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zell\Desktop\Compressed\"/>
    </mc:Choice>
  </mc:AlternateContent>
  <xr:revisionPtr revIDLastSave="0" documentId="13_ncr:1_{68C2742C-A6A1-4094-82B8-C9D929B92256}" xr6:coauthVersionLast="36" xr6:coauthVersionMax="36" xr10:uidLastSave="{00000000-0000-0000-0000-000000000000}"/>
  <bookViews>
    <workbookView xWindow="120" yWindow="135" windowWidth="15180" windowHeight="7815" tabRatio="598" xr2:uid="{00000000-000D-0000-FFFF-FFFF00000000}"/>
  </bookViews>
  <sheets>
    <sheet name="Analysis" sheetId="1" r:id="rId1"/>
    <sheet name="Pivot" sheetId="4" r:id="rId2"/>
    <sheet name="Data" sheetId="2" state="hidden" r:id="rId3"/>
    <sheet name="Summary" sheetId="8" r:id="rId4"/>
    <sheet name="Rules" sheetId="6" r:id="rId5"/>
    <sheet name="Exclusion" sheetId="3" r:id="rId6"/>
    <sheet name="Sheet2" sheetId="12" r:id="rId7"/>
  </sheets>
  <definedNames>
    <definedName name="_xlnm._FilterDatabase" localSheetId="0" hidden="1">Analysis!$A$6:$H$6</definedName>
    <definedName name="_xlnm._FilterDatabase" localSheetId="1" hidden="1">Pivot!$F$4:$H$458</definedName>
    <definedName name="_xlnm._FilterDatabase" localSheetId="3" hidden="1">Summary!$B$4:$C$500</definedName>
    <definedName name="solver_adj" localSheetId="0" hidden="1">Analysis!$L$2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Analysis!$F$7</definedName>
    <definedName name="solver_lhs2" localSheetId="0" hidden="1">Analysis!$G$7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Analysis!$D$7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1</definedName>
    <definedName name="solver_rhs1" localSheetId="0" hidden="1">0</definedName>
    <definedName name="solver_rhs2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9021"/>
  <pivotCaches>
    <pivotCache cacheId="7" r:id="rId8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C403" i="1" l="1"/>
  <c r="C407" i="1"/>
  <c r="C411" i="1"/>
  <c r="C415" i="1"/>
  <c r="C419" i="1"/>
  <c r="C423" i="1"/>
  <c r="C427" i="1"/>
  <c r="C431" i="1"/>
  <c r="C435" i="1"/>
  <c r="C439" i="1"/>
  <c r="C443" i="1"/>
  <c r="C447" i="1"/>
  <c r="C451" i="1"/>
  <c r="C455" i="1"/>
  <c r="C459" i="1"/>
  <c r="C463" i="1"/>
  <c r="C467" i="1"/>
  <c r="C471" i="1"/>
  <c r="C475" i="1"/>
  <c r="C479" i="1"/>
  <c r="C483" i="1"/>
  <c r="C487" i="1"/>
  <c r="C491" i="1"/>
  <c r="C495" i="1"/>
  <c r="C499" i="1"/>
  <c r="C503" i="1"/>
  <c r="C507" i="1"/>
  <c r="C511" i="1"/>
  <c r="C515" i="1"/>
  <c r="C519" i="1"/>
  <c r="C523" i="1"/>
  <c r="C399" i="1"/>
  <c r="F399" i="1"/>
  <c r="F403" i="1"/>
  <c r="F407" i="1"/>
  <c r="F411" i="1"/>
  <c r="F415" i="1"/>
  <c r="F419" i="1"/>
  <c r="F423" i="1"/>
  <c r="F427" i="1"/>
  <c r="F431" i="1"/>
  <c r="F435" i="1"/>
  <c r="F439" i="1"/>
  <c r="F443" i="1"/>
  <c r="F447" i="1"/>
  <c r="F451" i="1"/>
  <c r="F455" i="1"/>
  <c r="F459" i="1"/>
  <c r="F463" i="1"/>
  <c r="F467" i="1"/>
  <c r="F471" i="1"/>
  <c r="F475" i="1"/>
  <c r="F479" i="1"/>
  <c r="F483" i="1"/>
  <c r="F487" i="1"/>
  <c r="F491" i="1"/>
  <c r="F495" i="1"/>
  <c r="F499" i="1"/>
  <c r="F503" i="1"/>
  <c r="F507" i="1"/>
  <c r="F511" i="1"/>
  <c r="F515" i="1"/>
  <c r="F519" i="1"/>
  <c r="F523" i="1"/>
  <c r="B403" i="1"/>
  <c r="B407" i="1"/>
  <c r="B411" i="1"/>
  <c r="B415" i="1"/>
  <c r="B419" i="1"/>
  <c r="B423" i="1"/>
  <c r="B427" i="1"/>
  <c r="B431" i="1"/>
  <c r="B435" i="1"/>
  <c r="B439" i="1"/>
  <c r="B443" i="1"/>
  <c r="B447" i="1"/>
  <c r="B451" i="1"/>
  <c r="B455" i="1"/>
  <c r="B459" i="1"/>
  <c r="B463" i="1"/>
  <c r="B467" i="1"/>
  <c r="B471" i="1"/>
  <c r="B475" i="1"/>
  <c r="B479" i="1"/>
  <c r="B483" i="1"/>
  <c r="B487" i="1"/>
  <c r="B491" i="1"/>
  <c r="B495" i="1"/>
  <c r="B499" i="1"/>
  <c r="B503" i="1"/>
  <c r="B507" i="1"/>
  <c r="B511" i="1"/>
  <c r="B515" i="1"/>
  <c r="B519" i="1"/>
  <c r="B523" i="1"/>
  <c r="B399" i="1"/>
  <c r="D13" i="12" l="1"/>
  <c r="E13" i="12"/>
  <c r="C13" i="12"/>
  <c r="I9" i="12"/>
  <c r="J9" i="12"/>
  <c r="K9" i="12"/>
  <c r="D9" i="12"/>
  <c r="E9" i="12"/>
  <c r="F9" i="12"/>
  <c r="G9" i="12"/>
  <c r="H9" i="12"/>
  <c r="C9" i="12"/>
  <c r="C5" i="12"/>
  <c r="D5" i="12"/>
  <c r="E5" i="12"/>
  <c r="F5" i="12"/>
  <c r="G5" i="12"/>
  <c r="H5" i="12"/>
  <c r="K6" i="8" l="1"/>
  <c r="K7" i="8" l="1"/>
  <c r="L7" i="8"/>
  <c r="M7" i="8"/>
  <c r="N7" i="8"/>
  <c r="K8" i="8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K15" i="8"/>
  <c r="L15" i="8"/>
  <c r="M15" i="8"/>
  <c r="N15" i="8"/>
  <c r="K16" i="8"/>
  <c r="L16" i="8"/>
  <c r="M16" i="8"/>
  <c r="N16" i="8"/>
  <c r="K17" i="8"/>
  <c r="L17" i="8"/>
  <c r="M17" i="8"/>
  <c r="N17" i="8"/>
  <c r="K18" i="8"/>
  <c r="L18" i="8"/>
  <c r="M18" i="8"/>
  <c r="N18" i="8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K29" i="8"/>
  <c r="L29" i="8"/>
  <c r="M29" i="8"/>
  <c r="N29" i="8"/>
  <c r="K30" i="8"/>
  <c r="L30" i="8"/>
  <c r="M30" i="8"/>
  <c r="N30" i="8"/>
  <c r="K31" i="8"/>
  <c r="L31" i="8"/>
  <c r="M31" i="8"/>
  <c r="N31" i="8"/>
  <c r="K32" i="8"/>
  <c r="L32" i="8"/>
  <c r="M32" i="8"/>
  <c r="N32" i="8"/>
  <c r="K33" i="8"/>
  <c r="L33" i="8"/>
  <c r="M33" i="8"/>
  <c r="N33" i="8"/>
  <c r="K34" i="8"/>
  <c r="L34" i="8"/>
  <c r="M34" i="8"/>
  <c r="N34" i="8"/>
  <c r="K35" i="8"/>
  <c r="L35" i="8"/>
  <c r="M35" i="8"/>
  <c r="N35" i="8"/>
  <c r="K36" i="8"/>
  <c r="L36" i="8"/>
  <c r="M36" i="8"/>
  <c r="N36" i="8"/>
  <c r="K37" i="8"/>
  <c r="L37" i="8"/>
  <c r="M37" i="8"/>
  <c r="N37" i="8"/>
  <c r="K38" i="8"/>
  <c r="L38" i="8"/>
  <c r="M38" i="8"/>
  <c r="N38" i="8"/>
  <c r="K39" i="8"/>
  <c r="L39" i="8"/>
  <c r="M39" i="8"/>
  <c r="N39" i="8"/>
  <c r="K40" i="8"/>
  <c r="L40" i="8"/>
  <c r="M40" i="8"/>
  <c r="N40" i="8"/>
  <c r="K41" i="8"/>
  <c r="L41" i="8"/>
  <c r="M41" i="8"/>
  <c r="N41" i="8"/>
  <c r="K42" i="8"/>
  <c r="L42" i="8"/>
  <c r="M42" i="8"/>
  <c r="N42" i="8"/>
  <c r="K43" i="8"/>
  <c r="L43" i="8"/>
  <c r="M43" i="8"/>
  <c r="N43" i="8"/>
  <c r="K44" i="8"/>
  <c r="L44" i="8"/>
  <c r="M44" i="8"/>
  <c r="N44" i="8"/>
  <c r="K45" i="8"/>
  <c r="L45" i="8"/>
  <c r="M45" i="8"/>
  <c r="N45" i="8"/>
  <c r="K46" i="8"/>
  <c r="L46" i="8"/>
  <c r="M46" i="8"/>
  <c r="N46" i="8"/>
  <c r="K47" i="8"/>
  <c r="L47" i="8"/>
  <c r="M47" i="8"/>
  <c r="N47" i="8"/>
  <c r="K48" i="8"/>
  <c r="L48" i="8"/>
  <c r="M48" i="8"/>
  <c r="N48" i="8"/>
  <c r="K49" i="8"/>
  <c r="L49" i="8"/>
  <c r="M49" i="8"/>
  <c r="N49" i="8"/>
  <c r="K50" i="8"/>
  <c r="L50" i="8"/>
  <c r="M50" i="8"/>
  <c r="N50" i="8"/>
  <c r="K51" i="8"/>
  <c r="L51" i="8"/>
  <c r="M51" i="8"/>
  <c r="N51" i="8"/>
  <c r="K52" i="8"/>
  <c r="L52" i="8"/>
  <c r="M52" i="8"/>
  <c r="N52" i="8"/>
  <c r="K53" i="8"/>
  <c r="L53" i="8"/>
  <c r="M53" i="8"/>
  <c r="N53" i="8"/>
  <c r="K54" i="8"/>
  <c r="L54" i="8"/>
  <c r="M54" i="8"/>
  <c r="N54" i="8"/>
  <c r="K55" i="8"/>
  <c r="L55" i="8"/>
  <c r="M55" i="8"/>
  <c r="N55" i="8"/>
  <c r="K56" i="8"/>
  <c r="L56" i="8"/>
  <c r="M56" i="8"/>
  <c r="N56" i="8"/>
  <c r="K57" i="8"/>
  <c r="L57" i="8"/>
  <c r="M57" i="8"/>
  <c r="N57" i="8"/>
  <c r="K58" i="8"/>
  <c r="L58" i="8"/>
  <c r="M58" i="8"/>
  <c r="N58" i="8"/>
  <c r="K59" i="8"/>
  <c r="L59" i="8"/>
  <c r="M59" i="8"/>
  <c r="N59" i="8"/>
  <c r="K60" i="8"/>
  <c r="L60" i="8"/>
  <c r="M60" i="8"/>
  <c r="N60" i="8"/>
  <c r="K61" i="8"/>
  <c r="L61" i="8"/>
  <c r="M61" i="8"/>
  <c r="N61" i="8"/>
  <c r="K62" i="8"/>
  <c r="L62" i="8"/>
  <c r="M62" i="8"/>
  <c r="N62" i="8"/>
  <c r="K63" i="8"/>
  <c r="L63" i="8"/>
  <c r="M63" i="8"/>
  <c r="N63" i="8"/>
  <c r="K64" i="8"/>
  <c r="L64" i="8"/>
  <c r="M64" i="8"/>
  <c r="N64" i="8"/>
  <c r="K65" i="8"/>
  <c r="L65" i="8"/>
  <c r="M65" i="8"/>
  <c r="N65" i="8"/>
  <c r="K66" i="8"/>
  <c r="L66" i="8"/>
  <c r="M66" i="8"/>
  <c r="N66" i="8"/>
  <c r="K67" i="8"/>
  <c r="L67" i="8"/>
  <c r="M67" i="8"/>
  <c r="N67" i="8"/>
  <c r="K68" i="8"/>
  <c r="L68" i="8"/>
  <c r="M68" i="8"/>
  <c r="N68" i="8"/>
  <c r="K69" i="8"/>
  <c r="L69" i="8"/>
  <c r="M69" i="8"/>
  <c r="N69" i="8"/>
  <c r="K70" i="8"/>
  <c r="L70" i="8"/>
  <c r="M70" i="8"/>
  <c r="N70" i="8"/>
  <c r="K71" i="8"/>
  <c r="L71" i="8"/>
  <c r="M71" i="8"/>
  <c r="N71" i="8"/>
  <c r="K72" i="8"/>
  <c r="L72" i="8"/>
  <c r="M72" i="8"/>
  <c r="N72" i="8"/>
  <c r="K73" i="8"/>
  <c r="L73" i="8"/>
  <c r="M73" i="8"/>
  <c r="N73" i="8"/>
  <c r="K74" i="8"/>
  <c r="L74" i="8"/>
  <c r="M74" i="8"/>
  <c r="N74" i="8"/>
  <c r="K75" i="8"/>
  <c r="L75" i="8"/>
  <c r="M75" i="8"/>
  <c r="N75" i="8"/>
  <c r="K76" i="8"/>
  <c r="L76" i="8"/>
  <c r="M76" i="8"/>
  <c r="N76" i="8"/>
  <c r="K77" i="8"/>
  <c r="L77" i="8"/>
  <c r="M77" i="8"/>
  <c r="N77" i="8"/>
  <c r="K78" i="8"/>
  <c r="L78" i="8"/>
  <c r="M78" i="8"/>
  <c r="N78" i="8"/>
  <c r="K79" i="8"/>
  <c r="L79" i="8"/>
  <c r="M79" i="8"/>
  <c r="N79" i="8"/>
  <c r="K80" i="8"/>
  <c r="L80" i="8"/>
  <c r="M80" i="8"/>
  <c r="N80" i="8"/>
  <c r="K81" i="8"/>
  <c r="L81" i="8"/>
  <c r="M81" i="8"/>
  <c r="N81" i="8"/>
  <c r="K82" i="8"/>
  <c r="L82" i="8"/>
  <c r="M82" i="8"/>
  <c r="N82" i="8"/>
  <c r="K83" i="8"/>
  <c r="L83" i="8"/>
  <c r="M83" i="8"/>
  <c r="N83" i="8"/>
  <c r="K84" i="8"/>
  <c r="L84" i="8"/>
  <c r="M84" i="8"/>
  <c r="N84" i="8"/>
  <c r="K85" i="8"/>
  <c r="L85" i="8"/>
  <c r="M85" i="8"/>
  <c r="N85" i="8"/>
  <c r="K86" i="8"/>
  <c r="L86" i="8"/>
  <c r="M86" i="8"/>
  <c r="N86" i="8"/>
  <c r="K87" i="8"/>
  <c r="L87" i="8"/>
  <c r="M87" i="8"/>
  <c r="N87" i="8"/>
  <c r="K88" i="8"/>
  <c r="L88" i="8"/>
  <c r="M88" i="8"/>
  <c r="N88" i="8"/>
  <c r="K89" i="8"/>
  <c r="L89" i="8"/>
  <c r="M89" i="8"/>
  <c r="N89" i="8"/>
  <c r="K90" i="8"/>
  <c r="L90" i="8"/>
  <c r="M90" i="8"/>
  <c r="N90" i="8"/>
  <c r="K91" i="8"/>
  <c r="L91" i="8"/>
  <c r="M91" i="8"/>
  <c r="N91" i="8"/>
  <c r="K92" i="8"/>
  <c r="L92" i="8"/>
  <c r="M92" i="8"/>
  <c r="N92" i="8"/>
  <c r="K93" i="8"/>
  <c r="L93" i="8"/>
  <c r="M93" i="8"/>
  <c r="N93" i="8"/>
  <c r="K94" i="8"/>
  <c r="L94" i="8"/>
  <c r="M94" i="8"/>
  <c r="N94" i="8"/>
  <c r="K95" i="8"/>
  <c r="L95" i="8"/>
  <c r="M95" i="8"/>
  <c r="N95" i="8"/>
  <c r="K96" i="8"/>
  <c r="L96" i="8"/>
  <c r="M96" i="8"/>
  <c r="N96" i="8"/>
  <c r="K97" i="8"/>
  <c r="L97" i="8"/>
  <c r="M97" i="8"/>
  <c r="N97" i="8"/>
  <c r="K98" i="8"/>
  <c r="L98" i="8"/>
  <c r="M98" i="8"/>
  <c r="N98" i="8"/>
  <c r="K99" i="8"/>
  <c r="L99" i="8"/>
  <c r="M99" i="8"/>
  <c r="N99" i="8"/>
  <c r="K100" i="8"/>
  <c r="L100" i="8"/>
  <c r="M100" i="8"/>
  <c r="N100" i="8"/>
  <c r="K101" i="8"/>
  <c r="L101" i="8"/>
  <c r="M101" i="8"/>
  <c r="N101" i="8"/>
  <c r="K102" i="8"/>
  <c r="L102" i="8"/>
  <c r="M102" i="8"/>
  <c r="N102" i="8"/>
  <c r="K103" i="8"/>
  <c r="L103" i="8"/>
  <c r="M103" i="8"/>
  <c r="N103" i="8"/>
  <c r="K104" i="8"/>
  <c r="L104" i="8"/>
  <c r="M104" i="8"/>
  <c r="N104" i="8"/>
  <c r="K105" i="8"/>
  <c r="L105" i="8"/>
  <c r="M105" i="8"/>
  <c r="N105" i="8"/>
  <c r="K106" i="8"/>
  <c r="L106" i="8"/>
  <c r="M106" i="8"/>
  <c r="N106" i="8"/>
  <c r="K107" i="8"/>
  <c r="L107" i="8"/>
  <c r="M107" i="8"/>
  <c r="N107" i="8"/>
  <c r="K108" i="8"/>
  <c r="L108" i="8"/>
  <c r="M108" i="8"/>
  <c r="N108" i="8"/>
  <c r="K109" i="8"/>
  <c r="L109" i="8"/>
  <c r="M109" i="8"/>
  <c r="N109" i="8"/>
  <c r="K110" i="8"/>
  <c r="L110" i="8"/>
  <c r="M110" i="8"/>
  <c r="N110" i="8"/>
  <c r="K111" i="8"/>
  <c r="L111" i="8"/>
  <c r="M111" i="8"/>
  <c r="N111" i="8"/>
  <c r="K112" i="8"/>
  <c r="L112" i="8"/>
  <c r="M112" i="8"/>
  <c r="N112" i="8"/>
  <c r="K113" i="8"/>
  <c r="L113" i="8"/>
  <c r="M113" i="8"/>
  <c r="N113" i="8"/>
  <c r="K114" i="8"/>
  <c r="L114" i="8"/>
  <c r="M114" i="8"/>
  <c r="N114" i="8"/>
  <c r="K115" i="8"/>
  <c r="L115" i="8"/>
  <c r="M115" i="8"/>
  <c r="N115" i="8"/>
  <c r="K116" i="8"/>
  <c r="L116" i="8"/>
  <c r="M116" i="8"/>
  <c r="N116" i="8"/>
  <c r="K117" i="8"/>
  <c r="L117" i="8"/>
  <c r="M117" i="8"/>
  <c r="N117" i="8"/>
  <c r="K118" i="8"/>
  <c r="L118" i="8"/>
  <c r="M118" i="8"/>
  <c r="N118" i="8"/>
  <c r="K119" i="8"/>
  <c r="L119" i="8"/>
  <c r="M119" i="8"/>
  <c r="N119" i="8"/>
  <c r="K120" i="8"/>
  <c r="L120" i="8"/>
  <c r="M120" i="8"/>
  <c r="N120" i="8"/>
  <c r="K121" i="8"/>
  <c r="L121" i="8"/>
  <c r="M121" i="8"/>
  <c r="N121" i="8"/>
  <c r="K122" i="8"/>
  <c r="L122" i="8"/>
  <c r="M122" i="8"/>
  <c r="N122" i="8"/>
  <c r="K123" i="8"/>
  <c r="L123" i="8"/>
  <c r="M123" i="8"/>
  <c r="N123" i="8"/>
  <c r="K124" i="8"/>
  <c r="L124" i="8"/>
  <c r="M124" i="8"/>
  <c r="N124" i="8"/>
  <c r="K125" i="8"/>
  <c r="L125" i="8"/>
  <c r="M125" i="8"/>
  <c r="N125" i="8"/>
  <c r="K126" i="8"/>
  <c r="L126" i="8"/>
  <c r="M126" i="8"/>
  <c r="N126" i="8"/>
  <c r="K127" i="8"/>
  <c r="L127" i="8"/>
  <c r="M127" i="8"/>
  <c r="N127" i="8"/>
  <c r="K128" i="8"/>
  <c r="L128" i="8"/>
  <c r="M128" i="8"/>
  <c r="N128" i="8"/>
  <c r="K129" i="8"/>
  <c r="L129" i="8"/>
  <c r="M129" i="8"/>
  <c r="N129" i="8"/>
  <c r="K130" i="8"/>
  <c r="L130" i="8"/>
  <c r="M130" i="8"/>
  <c r="N130" i="8"/>
  <c r="K131" i="8"/>
  <c r="L131" i="8"/>
  <c r="M131" i="8"/>
  <c r="N131" i="8"/>
  <c r="K132" i="8"/>
  <c r="L132" i="8"/>
  <c r="M132" i="8"/>
  <c r="N132" i="8"/>
  <c r="K133" i="8"/>
  <c r="L133" i="8"/>
  <c r="M133" i="8"/>
  <c r="N133" i="8"/>
  <c r="K134" i="8"/>
  <c r="L134" i="8"/>
  <c r="M134" i="8"/>
  <c r="N134" i="8"/>
  <c r="K135" i="8"/>
  <c r="L135" i="8"/>
  <c r="M135" i="8"/>
  <c r="N135" i="8"/>
  <c r="K136" i="8"/>
  <c r="L136" i="8"/>
  <c r="M136" i="8"/>
  <c r="N136" i="8"/>
  <c r="K137" i="8"/>
  <c r="L137" i="8"/>
  <c r="M137" i="8"/>
  <c r="N137" i="8"/>
  <c r="K138" i="8"/>
  <c r="L138" i="8"/>
  <c r="M138" i="8"/>
  <c r="N138" i="8"/>
  <c r="K139" i="8"/>
  <c r="L139" i="8"/>
  <c r="M139" i="8"/>
  <c r="N139" i="8"/>
  <c r="K140" i="8"/>
  <c r="L140" i="8"/>
  <c r="M140" i="8"/>
  <c r="N140" i="8"/>
  <c r="K141" i="8"/>
  <c r="L141" i="8"/>
  <c r="M141" i="8"/>
  <c r="N141" i="8"/>
  <c r="K142" i="8"/>
  <c r="L142" i="8"/>
  <c r="M142" i="8"/>
  <c r="N142" i="8"/>
  <c r="K143" i="8"/>
  <c r="L143" i="8"/>
  <c r="M143" i="8"/>
  <c r="N143" i="8"/>
  <c r="K144" i="8"/>
  <c r="L144" i="8"/>
  <c r="M144" i="8"/>
  <c r="N144" i="8"/>
  <c r="K145" i="8"/>
  <c r="L145" i="8"/>
  <c r="M145" i="8"/>
  <c r="N145" i="8"/>
  <c r="K146" i="8"/>
  <c r="L146" i="8"/>
  <c r="M146" i="8"/>
  <c r="N146" i="8"/>
  <c r="K147" i="8"/>
  <c r="L147" i="8"/>
  <c r="M147" i="8"/>
  <c r="N147" i="8"/>
  <c r="K148" i="8"/>
  <c r="L148" i="8"/>
  <c r="M148" i="8"/>
  <c r="N148" i="8"/>
  <c r="K149" i="8"/>
  <c r="L149" i="8"/>
  <c r="M149" i="8"/>
  <c r="N149" i="8"/>
  <c r="K150" i="8"/>
  <c r="L150" i="8"/>
  <c r="M150" i="8"/>
  <c r="N150" i="8"/>
  <c r="K151" i="8"/>
  <c r="L151" i="8"/>
  <c r="M151" i="8"/>
  <c r="N151" i="8"/>
  <c r="K152" i="8"/>
  <c r="L152" i="8"/>
  <c r="M152" i="8"/>
  <c r="N152" i="8"/>
  <c r="K153" i="8"/>
  <c r="L153" i="8"/>
  <c r="M153" i="8"/>
  <c r="N153" i="8"/>
  <c r="K154" i="8"/>
  <c r="L154" i="8"/>
  <c r="M154" i="8"/>
  <c r="N154" i="8"/>
  <c r="K155" i="8"/>
  <c r="L155" i="8"/>
  <c r="M155" i="8"/>
  <c r="N155" i="8"/>
  <c r="K156" i="8"/>
  <c r="L156" i="8"/>
  <c r="M156" i="8"/>
  <c r="N156" i="8"/>
  <c r="K157" i="8"/>
  <c r="L157" i="8"/>
  <c r="M157" i="8"/>
  <c r="N157" i="8"/>
  <c r="K158" i="8"/>
  <c r="L158" i="8"/>
  <c r="M158" i="8"/>
  <c r="N158" i="8"/>
  <c r="K159" i="8"/>
  <c r="L159" i="8"/>
  <c r="M159" i="8"/>
  <c r="N159" i="8"/>
  <c r="K160" i="8"/>
  <c r="L160" i="8"/>
  <c r="M160" i="8"/>
  <c r="N160" i="8"/>
  <c r="K161" i="8"/>
  <c r="L161" i="8"/>
  <c r="M161" i="8"/>
  <c r="N161" i="8"/>
  <c r="K162" i="8"/>
  <c r="L162" i="8"/>
  <c r="M162" i="8"/>
  <c r="N162" i="8"/>
  <c r="K163" i="8"/>
  <c r="L163" i="8"/>
  <c r="M163" i="8"/>
  <c r="N163" i="8"/>
  <c r="K164" i="8"/>
  <c r="L164" i="8"/>
  <c r="M164" i="8"/>
  <c r="N164" i="8"/>
  <c r="K165" i="8"/>
  <c r="L165" i="8"/>
  <c r="M165" i="8"/>
  <c r="N165" i="8"/>
  <c r="K166" i="8"/>
  <c r="L166" i="8"/>
  <c r="M166" i="8"/>
  <c r="N166" i="8"/>
  <c r="K167" i="8"/>
  <c r="L167" i="8"/>
  <c r="M167" i="8"/>
  <c r="N167" i="8"/>
  <c r="K168" i="8"/>
  <c r="L168" i="8"/>
  <c r="M168" i="8"/>
  <c r="N168" i="8"/>
  <c r="K169" i="8"/>
  <c r="L169" i="8"/>
  <c r="M169" i="8"/>
  <c r="N169" i="8"/>
  <c r="K170" i="8"/>
  <c r="L170" i="8"/>
  <c r="M170" i="8"/>
  <c r="N170" i="8"/>
  <c r="K171" i="8"/>
  <c r="L171" i="8"/>
  <c r="M171" i="8"/>
  <c r="N171" i="8"/>
  <c r="K172" i="8"/>
  <c r="L172" i="8"/>
  <c r="M172" i="8"/>
  <c r="N172" i="8"/>
  <c r="K173" i="8"/>
  <c r="L173" i="8"/>
  <c r="M173" i="8"/>
  <c r="N173" i="8"/>
  <c r="K174" i="8"/>
  <c r="L174" i="8"/>
  <c r="M174" i="8"/>
  <c r="N174" i="8"/>
  <c r="K175" i="8"/>
  <c r="L175" i="8"/>
  <c r="M175" i="8"/>
  <c r="N175" i="8"/>
  <c r="K176" i="8"/>
  <c r="L176" i="8"/>
  <c r="M176" i="8"/>
  <c r="N176" i="8"/>
  <c r="K177" i="8"/>
  <c r="L177" i="8"/>
  <c r="M177" i="8"/>
  <c r="N177" i="8"/>
  <c r="K178" i="8"/>
  <c r="L178" i="8"/>
  <c r="M178" i="8"/>
  <c r="N178" i="8"/>
  <c r="K179" i="8"/>
  <c r="L179" i="8"/>
  <c r="M179" i="8"/>
  <c r="N179" i="8"/>
  <c r="K180" i="8"/>
  <c r="L180" i="8"/>
  <c r="M180" i="8"/>
  <c r="N180" i="8"/>
  <c r="K181" i="8"/>
  <c r="L181" i="8"/>
  <c r="M181" i="8"/>
  <c r="N181" i="8"/>
  <c r="K182" i="8"/>
  <c r="L182" i="8"/>
  <c r="M182" i="8"/>
  <c r="N182" i="8"/>
  <c r="K183" i="8"/>
  <c r="L183" i="8"/>
  <c r="M183" i="8"/>
  <c r="N183" i="8"/>
  <c r="K184" i="8"/>
  <c r="L184" i="8"/>
  <c r="M184" i="8"/>
  <c r="N184" i="8"/>
  <c r="K185" i="8"/>
  <c r="L185" i="8"/>
  <c r="M185" i="8"/>
  <c r="N185" i="8"/>
  <c r="K186" i="8"/>
  <c r="L186" i="8"/>
  <c r="M186" i="8"/>
  <c r="N186" i="8"/>
  <c r="K187" i="8"/>
  <c r="L187" i="8"/>
  <c r="M187" i="8"/>
  <c r="N187" i="8"/>
  <c r="K188" i="8"/>
  <c r="L188" i="8"/>
  <c r="M188" i="8"/>
  <c r="N188" i="8"/>
  <c r="K189" i="8"/>
  <c r="L189" i="8"/>
  <c r="M189" i="8"/>
  <c r="N189" i="8"/>
  <c r="K190" i="8"/>
  <c r="L190" i="8"/>
  <c r="M190" i="8"/>
  <c r="N190" i="8"/>
  <c r="K191" i="8"/>
  <c r="L191" i="8"/>
  <c r="M191" i="8"/>
  <c r="N191" i="8"/>
  <c r="K192" i="8"/>
  <c r="L192" i="8"/>
  <c r="M192" i="8"/>
  <c r="N192" i="8"/>
  <c r="K193" i="8"/>
  <c r="L193" i="8"/>
  <c r="M193" i="8"/>
  <c r="N193" i="8"/>
  <c r="K194" i="8"/>
  <c r="L194" i="8"/>
  <c r="M194" i="8"/>
  <c r="N194" i="8"/>
  <c r="K195" i="8"/>
  <c r="L195" i="8"/>
  <c r="M195" i="8"/>
  <c r="N195" i="8"/>
  <c r="K196" i="8"/>
  <c r="L196" i="8"/>
  <c r="M196" i="8"/>
  <c r="N196" i="8"/>
  <c r="K197" i="8"/>
  <c r="L197" i="8"/>
  <c r="M197" i="8"/>
  <c r="N197" i="8"/>
  <c r="K198" i="8"/>
  <c r="L198" i="8"/>
  <c r="M198" i="8"/>
  <c r="N198" i="8"/>
  <c r="K199" i="8"/>
  <c r="L199" i="8"/>
  <c r="M199" i="8"/>
  <c r="N199" i="8"/>
  <c r="K200" i="8"/>
  <c r="L200" i="8"/>
  <c r="M200" i="8"/>
  <c r="N200" i="8"/>
  <c r="K201" i="8"/>
  <c r="L201" i="8"/>
  <c r="M201" i="8"/>
  <c r="N201" i="8"/>
  <c r="K202" i="8"/>
  <c r="L202" i="8"/>
  <c r="M202" i="8"/>
  <c r="N202" i="8"/>
  <c r="K203" i="8"/>
  <c r="L203" i="8"/>
  <c r="M203" i="8"/>
  <c r="N203" i="8"/>
  <c r="K204" i="8"/>
  <c r="L204" i="8"/>
  <c r="M204" i="8"/>
  <c r="N204" i="8"/>
  <c r="K205" i="8"/>
  <c r="L205" i="8"/>
  <c r="M205" i="8"/>
  <c r="N205" i="8"/>
  <c r="K206" i="8"/>
  <c r="L206" i="8"/>
  <c r="M206" i="8"/>
  <c r="N206" i="8"/>
  <c r="K207" i="8"/>
  <c r="L207" i="8"/>
  <c r="M207" i="8"/>
  <c r="N207" i="8"/>
  <c r="K208" i="8"/>
  <c r="L208" i="8"/>
  <c r="M208" i="8"/>
  <c r="N208" i="8"/>
  <c r="K209" i="8"/>
  <c r="L209" i="8"/>
  <c r="M209" i="8"/>
  <c r="N209" i="8"/>
  <c r="K210" i="8"/>
  <c r="L210" i="8"/>
  <c r="M210" i="8"/>
  <c r="N210" i="8"/>
  <c r="K211" i="8"/>
  <c r="L211" i="8"/>
  <c r="M211" i="8"/>
  <c r="N211" i="8"/>
  <c r="K212" i="8"/>
  <c r="L212" i="8"/>
  <c r="M212" i="8"/>
  <c r="N212" i="8"/>
  <c r="K213" i="8"/>
  <c r="L213" i="8"/>
  <c r="M213" i="8"/>
  <c r="N213" i="8"/>
  <c r="K214" i="8"/>
  <c r="L214" i="8"/>
  <c r="M214" i="8"/>
  <c r="N214" i="8"/>
  <c r="K215" i="8"/>
  <c r="L215" i="8"/>
  <c r="M215" i="8"/>
  <c r="N215" i="8"/>
  <c r="K216" i="8"/>
  <c r="L216" i="8"/>
  <c r="M216" i="8"/>
  <c r="N216" i="8"/>
  <c r="K217" i="8"/>
  <c r="L217" i="8"/>
  <c r="M217" i="8"/>
  <c r="N217" i="8"/>
  <c r="K218" i="8"/>
  <c r="L218" i="8"/>
  <c r="M218" i="8"/>
  <c r="N218" i="8"/>
  <c r="K219" i="8"/>
  <c r="L219" i="8"/>
  <c r="M219" i="8"/>
  <c r="N219" i="8"/>
  <c r="K220" i="8"/>
  <c r="L220" i="8"/>
  <c r="M220" i="8"/>
  <c r="N220" i="8"/>
  <c r="K221" i="8"/>
  <c r="L221" i="8"/>
  <c r="M221" i="8"/>
  <c r="N221" i="8"/>
  <c r="K222" i="8"/>
  <c r="L222" i="8"/>
  <c r="M222" i="8"/>
  <c r="N222" i="8"/>
  <c r="K223" i="8"/>
  <c r="L223" i="8"/>
  <c r="M223" i="8"/>
  <c r="N223" i="8"/>
  <c r="K224" i="8"/>
  <c r="L224" i="8"/>
  <c r="M224" i="8"/>
  <c r="N224" i="8"/>
  <c r="K225" i="8"/>
  <c r="L225" i="8"/>
  <c r="M225" i="8"/>
  <c r="N225" i="8"/>
  <c r="K226" i="8"/>
  <c r="L226" i="8"/>
  <c r="M226" i="8"/>
  <c r="N226" i="8"/>
  <c r="K227" i="8"/>
  <c r="L227" i="8"/>
  <c r="M227" i="8"/>
  <c r="N227" i="8"/>
  <c r="K228" i="8"/>
  <c r="L228" i="8"/>
  <c r="M228" i="8"/>
  <c r="N228" i="8"/>
  <c r="K229" i="8"/>
  <c r="L229" i="8"/>
  <c r="M229" i="8"/>
  <c r="N229" i="8"/>
  <c r="K230" i="8"/>
  <c r="L230" i="8"/>
  <c r="M230" i="8"/>
  <c r="N230" i="8"/>
  <c r="K231" i="8"/>
  <c r="L231" i="8"/>
  <c r="M231" i="8"/>
  <c r="N231" i="8"/>
  <c r="K232" i="8"/>
  <c r="L232" i="8"/>
  <c r="M232" i="8"/>
  <c r="N232" i="8"/>
  <c r="K233" i="8"/>
  <c r="L233" i="8"/>
  <c r="M233" i="8"/>
  <c r="N233" i="8"/>
  <c r="K234" i="8"/>
  <c r="L234" i="8"/>
  <c r="M234" i="8"/>
  <c r="N234" i="8"/>
  <c r="K235" i="8"/>
  <c r="L235" i="8"/>
  <c r="M235" i="8"/>
  <c r="N235" i="8"/>
  <c r="K236" i="8"/>
  <c r="L236" i="8"/>
  <c r="M236" i="8"/>
  <c r="N236" i="8"/>
  <c r="K237" i="8"/>
  <c r="L237" i="8"/>
  <c r="M237" i="8"/>
  <c r="N237" i="8"/>
  <c r="K238" i="8"/>
  <c r="L238" i="8"/>
  <c r="M238" i="8"/>
  <c r="N238" i="8"/>
  <c r="K239" i="8"/>
  <c r="L239" i="8"/>
  <c r="M239" i="8"/>
  <c r="N239" i="8"/>
  <c r="K240" i="8"/>
  <c r="L240" i="8"/>
  <c r="M240" i="8"/>
  <c r="N240" i="8"/>
  <c r="K241" i="8"/>
  <c r="L241" i="8"/>
  <c r="M241" i="8"/>
  <c r="N241" i="8"/>
  <c r="K242" i="8"/>
  <c r="L242" i="8"/>
  <c r="M242" i="8"/>
  <c r="N242" i="8"/>
  <c r="K243" i="8"/>
  <c r="L243" i="8"/>
  <c r="M243" i="8"/>
  <c r="N243" i="8"/>
  <c r="K244" i="8"/>
  <c r="L244" i="8"/>
  <c r="M244" i="8"/>
  <c r="N244" i="8"/>
  <c r="K245" i="8"/>
  <c r="L245" i="8"/>
  <c r="M245" i="8"/>
  <c r="N245" i="8"/>
  <c r="K246" i="8"/>
  <c r="L246" i="8"/>
  <c r="M246" i="8"/>
  <c r="N246" i="8"/>
  <c r="K247" i="8"/>
  <c r="L247" i="8"/>
  <c r="M247" i="8"/>
  <c r="N247" i="8"/>
  <c r="K248" i="8"/>
  <c r="L248" i="8"/>
  <c r="M248" i="8"/>
  <c r="N248" i="8"/>
  <c r="K249" i="8"/>
  <c r="L249" i="8"/>
  <c r="M249" i="8"/>
  <c r="N249" i="8"/>
  <c r="K250" i="8"/>
  <c r="L250" i="8"/>
  <c r="M250" i="8"/>
  <c r="N250" i="8"/>
  <c r="K251" i="8"/>
  <c r="L251" i="8"/>
  <c r="M251" i="8"/>
  <c r="N251" i="8"/>
  <c r="K252" i="8"/>
  <c r="L252" i="8"/>
  <c r="M252" i="8"/>
  <c r="N252" i="8"/>
  <c r="K253" i="8"/>
  <c r="L253" i="8"/>
  <c r="M253" i="8"/>
  <c r="N253" i="8"/>
  <c r="K254" i="8"/>
  <c r="L254" i="8"/>
  <c r="M254" i="8"/>
  <c r="N254" i="8"/>
  <c r="K255" i="8"/>
  <c r="L255" i="8"/>
  <c r="M255" i="8"/>
  <c r="N255" i="8"/>
  <c r="K256" i="8"/>
  <c r="L256" i="8"/>
  <c r="M256" i="8"/>
  <c r="N256" i="8"/>
  <c r="K257" i="8"/>
  <c r="L257" i="8"/>
  <c r="M257" i="8"/>
  <c r="N257" i="8"/>
  <c r="K258" i="8"/>
  <c r="L258" i="8"/>
  <c r="M258" i="8"/>
  <c r="N258" i="8"/>
  <c r="K259" i="8"/>
  <c r="L259" i="8"/>
  <c r="M259" i="8"/>
  <c r="N259" i="8"/>
  <c r="K260" i="8"/>
  <c r="L260" i="8"/>
  <c r="M260" i="8"/>
  <c r="N260" i="8"/>
  <c r="K261" i="8"/>
  <c r="L261" i="8"/>
  <c r="M261" i="8"/>
  <c r="N261" i="8"/>
  <c r="K262" i="8"/>
  <c r="L262" i="8"/>
  <c r="M262" i="8"/>
  <c r="N262" i="8"/>
  <c r="K263" i="8"/>
  <c r="L263" i="8"/>
  <c r="M263" i="8"/>
  <c r="N263" i="8"/>
  <c r="K264" i="8"/>
  <c r="L264" i="8"/>
  <c r="M264" i="8"/>
  <c r="N264" i="8"/>
  <c r="K265" i="8"/>
  <c r="L265" i="8"/>
  <c r="M265" i="8"/>
  <c r="N265" i="8"/>
  <c r="K266" i="8"/>
  <c r="L266" i="8"/>
  <c r="M266" i="8"/>
  <c r="N266" i="8"/>
  <c r="K267" i="8"/>
  <c r="L267" i="8"/>
  <c r="M267" i="8"/>
  <c r="N267" i="8"/>
  <c r="K268" i="8"/>
  <c r="L268" i="8"/>
  <c r="M268" i="8"/>
  <c r="N268" i="8"/>
  <c r="K269" i="8"/>
  <c r="L269" i="8"/>
  <c r="M269" i="8"/>
  <c r="N269" i="8"/>
  <c r="K270" i="8"/>
  <c r="L270" i="8"/>
  <c r="M270" i="8"/>
  <c r="N270" i="8"/>
  <c r="K271" i="8"/>
  <c r="L271" i="8"/>
  <c r="M271" i="8"/>
  <c r="N271" i="8"/>
  <c r="K272" i="8"/>
  <c r="L272" i="8"/>
  <c r="M272" i="8"/>
  <c r="N272" i="8"/>
  <c r="K273" i="8"/>
  <c r="L273" i="8"/>
  <c r="M273" i="8"/>
  <c r="N273" i="8"/>
  <c r="K274" i="8"/>
  <c r="L274" i="8"/>
  <c r="M274" i="8"/>
  <c r="N274" i="8"/>
  <c r="K275" i="8"/>
  <c r="L275" i="8"/>
  <c r="M275" i="8"/>
  <c r="N275" i="8"/>
  <c r="K276" i="8"/>
  <c r="L276" i="8"/>
  <c r="M276" i="8"/>
  <c r="N276" i="8"/>
  <c r="K277" i="8"/>
  <c r="L277" i="8"/>
  <c r="M277" i="8"/>
  <c r="N277" i="8"/>
  <c r="K278" i="8"/>
  <c r="L278" i="8"/>
  <c r="M278" i="8"/>
  <c r="N278" i="8"/>
  <c r="K279" i="8"/>
  <c r="L279" i="8"/>
  <c r="M279" i="8"/>
  <c r="N279" i="8"/>
  <c r="K280" i="8"/>
  <c r="L280" i="8"/>
  <c r="M280" i="8"/>
  <c r="N280" i="8"/>
  <c r="K281" i="8"/>
  <c r="L281" i="8"/>
  <c r="M281" i="8"/>
  <c r="N281" i="8"/>
  <c r="K282" i="8"/>
  <c r="L282" i="8"/>
  <c r="M282" i="8"/>
  <c r="N282" i="8"/>
  <c r="K283" i="8"/>
  <c r="L283" i="8"/>
  <c r="M283" i="8"/>
  <c r="N283" i="8"/>
  <c r="K284" i="8"/>
  <c r="L284" i="8"/>
  <c r="M284" i="8"/>
  <c r="N284" i="8"/>
  <c r="K285" i="8"/>
  <c r="L285" i="8"/>
  <c r="M285" i="8"/>
  <c r="N285" i="8"/>
  <c r="K286" i="8"/>
  <c r="L286" i="8"/>
  <c r="M286" i="8"/>
  <c r="N286" i="8"/>
  <c r="K287" i="8"/>
  <c r="L287" i="8"/>
  <c r="M287" i="8"/>
  <c r="N287" i="8"/>
  <c r="K288" i="8"/>
  <c r="L288" i="8"/>
  <c r="M288" i="8"/>
  <c r="N288" i="8"/>
  <c r="K289" i="8"/>
  <c r="L289" i="8"/>
  <c r="M289" i="8"/>
  <c r="N289" i="8"/>
  <c r="K290" i="8"/>
  <c r="L290" i="8"/>
  <c r="M290" i="8"/>
  <c r="N290" i="8"/>
  <c r="K291" i="8"/>
  <c r="L291" i="8"/>
  <c r="M291" i="8"/>
  <c r="N291" i="8"/>
  <c r="K292" i="8"/>
  <c r="L292" i="8"/>
  <c r="M292" i="8"/>
  <c r="N292" i="8"/>
  <c r="K293" i="8"/>
  <c r="L293" i="8"/>
  <c r="M293" i="8"/>
  <c r="N293" i="8"/>
  <c r="K294" i="8"/>
  <c r="L294" i="8"/>
  <c r="M294" i="8"/>
  <c r="N294" i="8"/>
  <c r="K295" i="8"/>
  <c r="L295" i="8"/>
  <c r="M295" i="8"/>
  <c r="N295" i="8"/>
  <c r="K296" i="8"/>
  <c r="L296" i="8"/>
  <c r="M296" i="8"/>
  <c r="N296" i="8"/>
  <c r="K297" i="8"/>
  <c r="L297" i="8"/>
  <c r="M297" i="8"/>
  <c r="N297" i="8"/>
  <c r="K298" i="8"/>
  <c r="L298" i="8"/>
  <c r="M298" i="8"/>
  <c r="N298" i="8"/>
  <c r="K299" i="8"/>
  <c r="L299" i="8"/>
  <c r="M299" i="8"/>
  <c r="N299" i="8"/>
  <c r="K300" i="8"/>
  <c r="L300" i="8"/>
  <c r="M300" i="8"/>
  <c r="N300" i="8"/>
  <c r="K301" i="8"/>
  <c r="L301" i="8"/>
  <c r="M301" i="8"/>
  <c r="N301" i="8"/>
  <c r="K302" i="8"/>
  <c r="L302" i="8"/>
  <c r="M302" i="8"/>
  <c r="N302" i="8"/>
  <c r="K303" i="8"/>
  <c r="L303" i="8"/>
  <c r="M303" i="8"/>
  <c r="N303" i="8"/>
  <c r="K304" i="8"/>
  <c r="L304" i="8"/>
  <c r="M304" i="8"/>
  <c r="N304" i="8"/>
  <c r="K305" i="8"/>
  <c r="L305" i="8"/>
  <c r="M305" i="8"/>
  <c r="N305" i="8"/>
  <c r="K306" i="8"/>
  <c r="L306" i="8"/>
  <c r="M306" i="8"/>
  <c r="N306" i="8"/>
  <c r="K307" i="8"/>
  <c r="L307" i="8"/>
  <c r="M307" i="8"/>
  <c r="N307" i="8"/>
  <c r="K308" i="8"/>
  <c r="L308" i="8"/>
  <c r="M308" i="8"/>
  <c r="N308" i="8"/>
  <c r="K309" i="8"/>
  <c r="L309" i="8"/>
  <c r="M309" i="8"/>
  <c r="N309" i="8"/>
  <c r="K310" i="8"/>
  <c r="L310" i="8"/>
  <c r="M310" i="8"/>
  <c r="N310" i="8"/>
  <c r="K311" i="8"/>
  <c r="L311" i="8"/>
  <c r="M311" i="8"/>
  <c r="N311" i="8"/>
  <c r="K312" i="8"/>
  <c r="L312" i="8"/>
  <c r="M312" i="8"/>
  <c r="N312" i="8"/>
  <c r="K313" i="8"/>
  <c r="L313" i="8"/>
  <c r="M313" i="8"/>
  <c r="N313" i="8"/>
  <c r="K314" i="8"/>
  <c r="L314" i="8"/>
  <c r="M314" i="8"/>
  <c r="N314" i="8"/>
  <c r="K315" i="8"/>
  <c r="L315" i="8"/>
  <c r="M315" i="8"/>
  <c r="N315" i="8"/>
  <c r="K316" i="8"/>
  <c r="L316" i="8"/>
  <c r="M316" i="8"/>
  <c r="N316" i="8"/>
  <c r="K317" i="8"/>
  <c r="L317" i="8"/>
  <c r="M317" i="8"/>
  <c r="N317" i="8"/>
  <c r="K318" i="8"/>
  <c r="L318" i="8"/>
  <c r="M318" i="8"/>
  <c r="N318" i="8"/>
  <c r="K319" i="8"/>
  <c r="L319" i="8"/>
  <c r="M319" i="8"/>
  <c r="N319" i="8"/>
  <c r="K320" i="8"/>
  <c r="L320" i="8"/>
  <c r="M320" i="8"/>
  <c r="N320" i="8"/>
  <c r="K321" i="8"/>
  <c r="L321" i="8"/>
  <c r="M321" i="8"/>
  <c r="N321" i="8"/>
  <c r="K322" i="8"/>
  <c r="L322" i="8"/>
  <c r="M322" i="8"/>
  <c r="N322" i="8"/>
  <c r="K323" i="8"/>
  <c r="L323" i="8"/>
  <c r="M323" i="8"/>
  <c r="N323" i="8"/>
  <c r="K324" i="8"/>
  <c r="L324" i="8"/>
  <c r="M324" i="8"/>
  <c r="N324" i="8"/>
  <c r="K325" i="8"/>
  <c r="L325" i="8"/>
  <c r="M325" i="8"/>
  <c r="N325" i="8"/>
  <c r="K326" i="8"/>
  <c r="L326" i="8"/>
  <c r="M326" i="8"/>
  <c r="N326" i="8"/>
  <c r="K327" i="8"/>
  <c r="L327" i="8"/>
  <c r="M327" i="8"/>
  <c r="N327" i="8"/>
  <c r="K328" i="8"/>
  <c r="L328" i="8"/>
  <c r="M328" i="8"/>
  <c r="N328" i="8"/>
  <c r="K329" i="8"/>
  <c r="L329" i="8"/>
  <c r="M329" i="8"/>
  <c r="N329" i="8"/>
  <c r="K330" i="8"/>
  <c r="L330" i="8"/>
  <c r="M330" i="8"/>
  <c r="N330" i="8"/>
  <c r="K331" i="8"/>
  <c r="L331" i="8"/>
  <c r="M331" i="8"/>
  <c r="N331" i="8"/>
  <c r="K332" i="8"/>
  <c r="L332" i="8"/>
  <c r="M332" i="8"/>
  <c r="N332" i="8"/>
  <c r="K333" i="8"/>
  <c r="L333" i="8"/>
  <c r="M333" i="8"/>
  <c r="N333" i="8"/>
  <c r="K334" i="8"/>
  <c r="L334" i="8"/>
  <c r="M334" i="8"/>
  <c r="N334" i="8"/>
  <c r="K335" i="8"/>
  <c r="L335" i="8"/>
  <c r="M335" i="8"/>
  <c r="N335" i="8"/>
  <c r="K336" i="8"/>
  <c r="L336" i="8"/>
  <c r="M336" i="8"/>
  <c r="N336" i="8"/>
  <c r="K337" i="8"/>
  <c r="L337" i="8"/>
  <c r="M337" i="8"/>
  <c r="N337" i="8"/>
  <c r="K338" i="8"/>
  <c r="L338" i="8"/>
  <c r="M338" i="8"/>
  <c r="N338" i="8"/>
  <c r="K339" i="8"/>
  <c r="L339" i="8"/>
  <c r="M339" i="8"/>
  <c r="N339" i="8"/>
  <c r="K340" i="8"/>
  <c r="L340" i="8"/>
  <c r="M340" i="8"/>
  <c r="N340" i="8"/>
  <c r="K341" i="8"/>
  <c r="L341" i="8"/>
  <c r="M341" i="8"/>
  <c r="N341" i="8"/>
  <c r="K342" i="8"/>
  <c r="L342" i="8"/>
  <c r="M342" i="8"/>
  <c r="N342" i="8"/>
  <c r="K343" i="8"/>
  <c r="L343" i="8"/>
  <c r="M343" i="8"/>
  <c r="N343" i="8"/>
  <c r="K344" i="8"/>
  <c r="L344" i="8"/>
  <c r="M344" i="8"/>
  <c r="N344" i="8"/>
  <c r="K345" i="8"/>
  <c r="L345" i="8"/>
  <c r="M345" i="8"/>
  <c r="N345" i="8"/>
  <c r="K346" i="8"/>
  <c r="L346" i="8"/>
  <c r="M346" i="8"/>
  <c r="N346" i="8"/>
  <c r="K347" i="8"/>
  <c r="L347" i="8"/>
  <c r="M347" i="8"/>
  <c r="N347" i="8"/>
  <c r="K348" i="8"/>
  <c r="L348" i="8"/>
  <c r="M348" i="8"/>
  <c r="N348" i="8"/>
  <c r="K349" i="8"/>
  <c r="L349" i="8"/>
  <c r="M349" i="8"/>
  <c r="N349" i="8"/>
  <c r="K350" i="8"/>
  <c r="L350" i="8"/>
  <c r="M350" i="8"/>
  <c r="N350" i="8"/>
  <c r="K351" i="8"/>
  <c r="L351" i="8"/>
  <c r="M351" i="8"/>
  <c r="N351" i="8"/>
  <c r="K352" i="8"/>
  <c r="L352" i="8"/>
  <c r="M352" i="8"/>
  <c r="N352" i="8"/>
  <c r="K353" i="8"/>
  <c r="L353" i="8"/>
  <c r="M353" i="8"/>
  <c r="N353" i="8"/>
  <c r="K354" i="8"/>
  <c r="L354" i="8"/>
  <c r="M354" i="8"/>
  <c r="N354" i="8"/>
  <c r="K355" i="8"/>
  <c r="L355" i="8"/>
  <c r="M355" i="8"/>
  <c r="N355" i="8"/>
  <c r="K356" i="8"/>
  <c r="L356" i="8"/>
  <c r="M356" i="8"/>
  <c r="N356" i="8"/>
  <c r="K357" i="8"/>
  <c r="L357" i="8"/>
  <c r="M357" i="8"/>
  <c r="N357" i="8"/>
  <c r="K358" i="8"/>
  <c r="L358" i="8"/>
  <c r="M358" i="8"/>
  <c r="N358" i="8"/>
  <c r="K359" i="8"/>
  <c r="L359" i="8"/>
  <c r="M359" i="8"/>
  <c r="N359" i="8"/>
  <c r="K360" i="8"/>
  <c r="L360" i="8"/>
  <c r="M360" i="8"/>
  <c r="N360" i="8"/>
  <c r="K361" i="8"/>
  <c r="L361" i="8"/>
  <c r="M361" i="8"/>
  <c r="N361" i="8"/>
  <c r="K362" i="8"/>
  <c r="L362" i="8"/>
  <c r="M362" i="8"/>
  <c r="N362" i="8"/>
  <c r="K363" i="8"/>
  <c r="L363" i="8"/>
  <c r="M363" i="8"/>
  <c r="N363" i="8"/>
  <c r="K364" i="8"/>
  <c r="L364" i="8"/>
  <c r="M364" i="8"/>
  <c r="N364" i="8"/>
  <c r="K365" i="8"/>
  <c r="L365" i="8"/>
  <c r="M365" i="8"/>
  <c r="N365" i="8"/>
  <c r="K366" i="8"/>
  <c r="L366" i="8"/>
  <c r="M366" i="8"/>
  <c r="N366" i="8"/>
  <c r="K367" i="8"/>
  <c r="L367" i="8"/>
  <c r="M367" i="8"/>
  <c r="N367" i="8"/>
  <c r="K368" i="8"/>
  <c r="L368" i="8"/>
  <c r="M368" i="8"/>
  <c r="N368" i="8"/>
  <c r="K369" i="8"/>
  <c r="L369" i="8"/>
  <c r="M369" i="8"/>
  <c r="N369" i="8"/>
  <c r="K370" i="8"/>
  <c r="L370" i="8"/>
  <c r="M370" i="8"/>
  <c r="N370" i="8"/>
  <c r="K371" i="8"/>
  <c r="L371" i="8"/>
  <c r="M371" i="8"/>
  <c r="N371" i="8"/>
  <c r="K372" i="8"/>
  <c r="L372" i="8"/>
  <c r="M372" i="8"/>
  <c r="N372" i="8"/>
  <c r="K373" i="8"/>
  <c r="L373" i="8"/>
  <c r="M373" i="8"/>
  <c r="N373" i="8"/>
  <c r="K374" i="8"/>
  <c r="L374" i="8"/>
  <c r="M374" i="8"/>
  <c r="N374" i="8"/>
  <c r="K375" i="8"/>
  <c r="L375" i="8"/>
  <c r="M375" i="8"/>
  <c r="N375" i="8"/>
  <c r="K376" i="8"/>
  <c r="L376" i="8"/>
  <c r="M376" i="8"/>
  <c r="N376" i="8"/>
  <c r="K377" i="8"/>
  <c r="L377" i="8"/>
  <c r="M377" i="8"/>
  <c r="N377" i="8"/>
  <c r="K378" i="8"/>
  <c r="L378" i="8"/>
  <c r="M378" i="8"/>
  <c r="N378" i="8"/>
  <c r="K379" i="8"/>
  <c r="L379" i="8"/>
  <c r="M379" i="8"/>
  <c r="N379" i="8"/>
  <c r="K380" i="8"/>
  <c r="L380" i="8"/>
  <c r="M380" i="8"/>
  <c r="N380" i="8"/>
  <c r="K381" i="8"/>
  <c r="L381" i="8"/>
  <c r="M381" i="8"/>
  <c r="N381" i="8"/>
  <c r="K382" i="8"/>
  <c r="L382" i="8"/>
  <c r="M382" i="8"/>
  <c r="N382" i="8"/>
  <c r="K383" i="8"/>
  <c r="L383" i="8"/>
  <c r="M383" i="8"/>
  <c r="N383" i="8"/>
  <c r="K384" i="8"/>
  <c r="L384" i="8"/>
  <c r="M384" i="8"/>
  <c r="N384" i="8"/>
  <c r="K385" i="8"/>
  <c r="L385" i="8"/>
  <c r="M385" i="8"/>
  <c r="N385" i="8"/>
  <c r="K386" i="8"/>
  <c r="L386" i="8"/>
  <c r="M386" i="8"/>
  <c r="N386" i="8"/>
  <c r="K387" i="8"/>
  <c r="L387" i="8"/>
  <c r="M387" i="8"/>
  <c r="N387" i="8"/>
  <c r="K388" i="8"/>
  <c r="L388" i="8"/>
  <c r="M388" i="8"/>
  <c r="N388" i="8"/>
  <c r="K389" i="8"/>
  <c r="L389" i="8"/>
  <c r="M389" i="8"/>
  <c r="N389" i="8"/>
  <c r="K390" i="8"/>
  <c r="L390" i="8"/>
  <c r="M390" i="8"/>
  <c r="N390" i="8"/>
  <c r="K391" i="8"/>
  <c r="L391" i="8"/>
  <c r="M391" i="8"/>
  <c r="N391" i="8"/>
  <c r="K392" i="8"/>
  <c r="L392" i="8"/>
  <c r="M392" i="8"/>
  <c r="N392" i="8"/>
  <c r="K393" i="8"/>
  <c r="L393" i="8"/>
  <c r="M393" i="8"/>
  <c r="N393" i="8"/>
  <c r="K394" i="8"/>
  <c r="L394" i="8"/>
  <c r="M394" i="8"/>
  <c r="N394" i="8"/>
  <c r="K395" i="8"/>
  <c r="L395" i="8"/>
  <c r="M395" i="8"/>
  <c r="N395" i="8"/>
  <c r="K396" i="8"/>
  <c r="L396" i="8"/>
  <c r="M396" i="8"/>
  <c r="N396" i="8"/>
  <c r="K397" i="8"/>
  <c r="L397" i="8"/>
  <c r="M397" i="8"/>
  <c r="N397" i="8"/>
  <c r="K398" i="8"/>
  <c r="L398" i="8"/>
  <c r="M398" i="8"/>
  <c r="N398" i="8"/>
  <c r="K399" i="8"/>
  <c r="L399" i="8"/>
  <c r="M399" i="8"/>
  <c r="N399" i="8"/>
  <c r="K400" i="8"/>
  <c r="L400" i="8"/>
  <c r="M400" i="8"/>
  <c r="N400" i="8"/>
  <c r="K401" i="8"/>
  <c r="L401" i="8"/>
  <c r="M401" i="8"/>
  <c r="N401" i="8"/>
  <c r="K402" i="8"/>
  <c r="L402" i="8"/>
  <c r="M402" i="8"/>
  <c r="N402" i="8"/>
  <c r="K403" i="8"/>
  <c r="L403" i="8"/>
  <c r="M403" i="8"/>
  <c r="N403" i="8"/>
  <c r="K404" i="8"/>
  <c r="L404" i="8"/>
  <c r="M404" i="8"/>
  <c r="N404" i="8"/>
  <c r="K405" i="8"/>
  <c r="L405" i="8"/>
  <c r="M405" i="8"/>
  <c r="N405" i="8"/>
  <c r="K406" i="8"/>
  <c r="L406" i="8"/>
  <c r="M406" i="8"/>
  <c r="N406" i="8"/>
  <c r="K407" i="8"/>
  <c r="L407" i="8"/>
  <c r="M407" i="8"/>
  <c r="N407" i="8"/>
  <c r="K408" i="8"/>
  <c r="L408" i="8"/>
  <c r="M408" i="8"/>
  <c r="N408" i="8"/>
  <c r="K409" i="8"/>
  <c r="L409" i="8"/>
  <c r="M409" i="8"/>
  <c r="N409" i="8"/>
  <c r="K410" i="8"/>
  <c r="L410" i="8"/>
  <c r="M410" i="8"/>
  <c r="N410" i="8"/>
  <c r="K411" i="8"/>
  <c r="L411" i="8"/>
  <c r="M411" i="8"/>
  <c r="N411" i="8"/>
  <c r="K412" i="8"/>
  <c r="L412" i="8"/>
  <c r="M412" i="8"/>
  <c r="N412" i="8"/>
  <c r="K413" i="8"/>
  <c r="L413" i="8"/>
  <c r="M413" i="8"/>
  <c r="N413" i="8"/>
  <c r="K414" i="8"/>
  <c r="L414" i="8"/>
  <c r="M414" i="8"/>
  <c r="N414" i="8"/>
  <c r="K415" i="8"/>
  <c r="L415" i="8"/>
  <c r="M415" i="8"/>
  <c r="N415" i="8"/>
  <c r="K416" i="8"/>
  <c r="L416" i="8"/>
  <c r="M416" i="8"/>
  <c r="N416" i="8"/>
  <c r="K417" i="8"/>
  <c r="L417" i="8"/>
  <c r="M417" i="8"/>
  <c r="N417" i="8"/>
  <c r="K418" i="8"/>
  <c r="L418" i="8"/>
  <c r="M418" i="8"/>
  <c r="N418" i="8"/>
  <c r="K419" i="8"/>
  <c r="L419" i="8"/>
  <c r="M419" i="8"/>
  <c r="N419" i="8"/>
  <c r="K420" i="8"/>
  <c r="L420" i="8"/>
  <c r="M420" i="8"/>
  <c r="N420" i="8"/>
  <c r="K421" i="8"/>
  <c r="L421" i="8"/>
  <c r="M421" i="8"/>
  <c r="N421" i="8"/>
  <c r="K422" i="8"/>
  <c r="L422" i="8"/>
  <c r="M422" i="8"/>
  <c r="N422" i="8"/>
  <c r="K423" i="8"/>
  <c r="L423" i="8"/>
  <c r="M423" i="8"/>
  <c r="N423" i="8"/>
  <c r="K424" i="8"/>
  <c r="L424" i="8"/>
  <c r="M424" i="8"/>
  <c r="N424" i="8"/>
  <c r="K425" i="8"/>
  <c r="L425" i="8"/>
  <c r="M425" i="8"/>
  <c r="N425" i="8"/>
  <c r="K426" i="8"/>
  <c r="L426" i="8"/>
  <c r="M426" i="8"/>
  <c r="N426" i="8"/>
  <c r="K427" i="8"/>
  <c r="L427" i="8"/>
  <c r="M427" i="8"/>
  <c r="N427" i="8"/>
  <c r="K428" i="8"/>
  <c r="L428" i="8"/>
  <c r="M428" i="8"/>
  <c r="N428" i="8"/>
  <c r="K429" i="8"/>
  <c r="L429" i="8"/>
  <c r="M429" i="8"/>
  <c r="N429" i="8"/>
  <c r="K430" i="8"/>
  <c r="L430" i="8"/>
  <c r="M430" i="8"/>
  <c r="N430" i="8"/>
  <c r="K431" i="8"/>
  <c r="L431" i="8"/>
  <c r="M431" i="8"/>
  <c r="N431" i="8"/>
  <c r="K432" i="8"/>
  <c r="L432" i="8"/>
  <c r="M432" i="8"/>
  <c r="N432" i="8"/>
  <c r="K433" i="8"/>
  <c r="L433" i="8"/>
  <c r="M433" i="8"/>
  <c r="N433" i="8"/>
  <c r="K434" i="8"/>
  <c r="L434" i="8"/>
  <c r="M434" i="8"/>
  <c r="N434" i="8"/>
  <c r="K435" i="8"/>
  <c r="L435" i="8"/>
  <c r="M435" i="8"/>
  <c r="N435" i="8"/>
  <c r="K436" i="8"/>
  <c r="L436" i="8"/>
  <c r="M436" i="8"/>
  <c r="N436" i="8"/>
  <c r="K437" i="8"/>
  <c r="L437" i="8"/>
  <c r="M437" i="8"/>
  <c r="N437" i="8"/>
  <c r="K438" i="8"/>
  <c r="L438" i="8"/>
  <c r="M438" i="8"/>
  <c r="N438" i="8"/>
  <c r="K439" i="8"/>
  <c r="L439" i="8"/>
  <c r="M439" i="8"/>
  <c r="N439" i="8"/>
  <c r="K440" i="8"/>
  <c r="L440" i="8"/>
  <c r="M440" i="8"/>
  <c r="N440" i="8"/>
  <c r="K441" i="8"/>
  <c r="L441" i="8"/>
  <c r="M441" i="8"/>
  <c r="N441" i="8"/>
  <c r="K442" i="8"/>
  <c r="L442" i="8"/>
  <c r="M442" i="8"/>
  <c r="N442" i="8"/>
  <c r="K443" i="8"/>
  <c r="L443" i="8"/>
  <c r="M443" i="8"/>
  <c r="N443" i="8"/>
  <c r="K444" i="8"/>
  <c r="L444" i="8"/>
  <c r="M444" i="8"/>
  <c r="N444" i="8"/>
  <c r="K445" i="8"/>
  <c r="L445" i="8"/>
  <c r="M445" i="8"/>
  <c r="N445" i="8"/>
  <c r="K446" i="8"/>
  <c r="L446" i="8"/>
  <c r="M446" i="8"/>
  <c r="N446" i="8"/>
  <c r="K447" i="8"/>
  <c r="L447" i="8"/>
  <c r="M447" i="8"/>
  <c r="N447" i="8"/>
  <c r="K448" i="8"/>
  <c r="L448" i="8"/>
  <c r="M448" i="8"/>
  <c r="N448" i="8"/>
  <c r="K449" i="8"/>
  <c r="L449" i="8"/>
  <c r="M449" i="8"/>
  <c r="N449" i="8"/>
  <c r="K450" i="8"/>
  <c r="L450" i="8"/>
  <c r="M450" i="8"/>
  <c r="N450" i="8"/>
  <c r="K451" i="8"/>
  <c r="L451" i="8"/>
  <c r="M451" i="8"/>
  <c r="N451" i="8"/>
  <c r="K452" i="8"/>
  <c r="L452" i="8"/>
  <c r="M452" i="8"/>
  <c r="N452" i="8"/>
  <c r="K453" i="8"/>
  <c r="L453" i="8"/>
  <c r="M453" i="8"/>
  <c r="N453" i="8"/>
  <c r="K454" i="8"/>
  <c r="L454" i="8"/>
  <c r="M454" i="8"/>
  <c r="N454" i="8"/>
  <c r="K455" i="8"/>
  <c r="L455" i="8"/>
  <c r="M455" i="8"/>
  <c r="N455" i="8"/>
  <c r="K456" i="8"/>
  <c r="L456" i="8"/>
  <c r="M456" i="8"/>
  <c r="N456" i="8"/>
  <c r="K457" i="8"/>
  <c r="L457" i="8"/>
  <c r="M457" i="8"/>
  <c r="N457" i="8"/>
  <c r="K458" i="8"/>
  <c r="L458" i="8"/>
  <c r="M458" i="8"/>
  <c r="N458" i="8"/>
  <c r="K459" i="8"/>
  <c r="L459" i="8"/>
  <c r="M459" i="8"/>
  <c r="N459" i="8"/>
  <c r="K460" i="8"/>
  <c r="L460" i="8"/>
  <c r="M460" i="8"/>
  <c r="N460" i="8"/>
  <c r="K461" i="8"/>
  <c r="L461" i="8"/>
  <c r="M461" i="8"/>
  <c r="N461" i="8"/>
  <c r="K462" i="8"/>
  <c r="L462" i="8"/>
  <c r="M462" i="8"/>
  <c r="N462" i="8"/>
  <c r="K463" i="8"/>
  <c r="L463" i="8"/>
  <c r="M463" i="8"/>
  <c r="N463" i="8"/>
  <c r="K464" i="8"/>
  <c r="L464" i="8"/>
  <c r="M464" i="8"/>
  <c r="N464" i="8"/>
  <c r="K465" i="8"/>
  <c r="L465" i="8"/>
  <c r="M465" i="8"/>
  <c r="N465" i="8"/>
  <c r="K466" i="8"/>
  <c r="L466" i="8"/>
  <c r="M466" i="8"/>
  <c r="N466" i="8"/>
  <c r="K467" i="8"/>
  <c r="L467" i="8"/>
  <c r="M467" i="8"/>
  <c r="N467" i="8"/>
  <c r="K468" i="8"/>
  <c r="L468" i="8"/>
  <c r="M468" i="8"/>
  <c r="N468" i="8"/>
  <c r="K469" i="8"/>
  <c r="L469" i="8"/>
  <c r="M469" i="8"/>
  <c r="N469" i="8"/>
  <c r="K470" i="8"/>
  <c r="L470" i="8"/>
  <c r="M470" i="8"/>
  <c r="N470" i="8"/>
  <c r="K471" i="8"/>
  <c r="L471" i="8"/>
  <c r="M471" i="8"/>
  <c r="N471" i="8"/>
  <c r="K472" i="8"/>
  <c r="L472" i="8"/>
  <c r="M472" i="8"/>
  <c r="N472" i="8"/>
  <c r="K473" i="8"/>
  <c r="L473" i="8"/>
  <c r="M473" i="8"/>
  <c r="N473" i="8"/>
  <c r="K474" i="8"/>
  <c r="L474" i="8"/>
  <c r="M474" i="8"/>
  <c r="N474" i="8"/>
  <c r="K475" i="8"/>
  <c r="L475" i="8"/>
  <c r="M475" i="8"/>
  <c r="N475" i="8"/>
  <c r="K476" i="8"/>
  <c r="L476" i="8"/>
  <c r="M476" i="8"/>
  <c r="N476" i="8"/>
  <c r="K477" i="8"/>
  <c r="L477" i="8"/>
  <c r="M477" i="8"/>
  <c r="N477" i="8"/>
  <c r="K478" i="8"/>
  <c r="L478" i="8"/>
  <c r="M478" i="8"/>
  <c r="N478" i="8"/>
  <c r="K479" i="8"/>
  <c r="L479" i="8"/>
  <c r="M479" i="8"/>
  <c r="N479" i="8"/>
  <c r="K480" i="8"/>
  <c r="L480" i="8"/>
  <c r="M480" i="8"/>
  <c r="N480" i="8"/>
  <c r="K481" i="8"/>
  <c r="L481" i="8"/>
  <c r="M481" i="8"/>
  <c r="N481" i="8"/>
  <c r="K482" i="8"/>
  <c r="L482" i="8"/>
  <c r="M482" i="8"/>
  <c r="N482" i="8"/>
  <c r="K483" i="8"/>
  <c r="L483" i="8"/>
  <c r="M483" i="8"/>
  <c r="N483" i="8"/>
  <c r="K484" i="8"/>
  <c r="L484" i="8"/>
  <c r="M484" i="8"/>
  <c r="N484" i="8"/>
  <c r="K485" i="8"/>
  <c r="L485" i="8"/>
  <c r="M485" i="8"/>
  <c r="N485" i="8"/>
  <c r="K486" i="8"/>
  <c r="L486" i="8"/>
  <c r="M486" i="8"/>
  <c r="N486" i="8"/>
  <c r="K487" i="8"/>
  <c r="L487" i="8"/>
  <c r="M487" i="8"/>
  <c r="N487" i="8"/>
  <c r="K488" i="8"/>
  <c r="L488" i="8"/>
  <c r="M488" i="8"/>
  <c r="N488" i="8"/>
  <c r="K489" i="8"/>
  <c r="L489" i="8"/>
  <c r="M489" i="8"/>
  <c r="N489" i="8"/>
  <c r="K490" i="8"/>
  <c r="L490" i="8"/>
  <c r="M490" i="8"/>
  <c r="N490" i="8"/>
  <c r="K491" i="8"/>
  <c r="L491" i="8"/>
  <c r="M491" i="8"/>
  <c r="N491" i="8"/>
  <c r="K492" i="8"/>
  <c r="L492" i="8"/>
  <c r="M492" i="8"/>
  <c r="N492" i="8"/>
  <c r="K493" i="8"/>
  <c r="L493" i="8"/>
  <c r="M493" i="8"/>
  <c r="N493" i="8"/>
  <c r="K494" i="8"/>
  <c r="L494" i="8"/>
  <c r="M494" i="8"/>
  <c r="N494" i="8"/>
  <c r="K495" i="8"/>
  <c r="L495" i="8"/>
  <c r="M495" i="8"/>
  <c r="N495" i="8"/>
  <c r="K496" i="8"/>
  <c r="L496" i="8"/>
  <c r="M496" i="8"/>
  <c r="N496" i="8"/>
  <c r="K497" i="8"/>
  <c r="L497" i="8"/>
  <c r="M497" i="8"/>
  <c r="N497" i="8"/>
  <c r="K498" i="8"/>
  <c r="L498" i="8"/>
  <c r="M498" i="8"/>
  <c r="N498" i="8"/>
  <c r="K499" i="8"/>
  <c r="L499" i="8"/>
  <c r="M499" i="8"/>
  <c r="N499" i="8"/>
  <c r="K500" i="8"/>
  <c r="L500" i="8"/>
  <c r="M500" i="8"/>
  <c r="N500" i="8"/>
  <c r="N6" i="8"/>
  <c r="M6" i="8"/>
  <c r="L6" i="8"/>
  <c r="I7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J104" i="8" s="1"/>
  <c r="I105" i="8"/>
  <c r="J105" i="8" s="1"/>
  <c r="I106" i="8"/>
  <c r="J106" i="8" s="1"/>
  <c r="I107" i="8"/>
  <c r="J107" i="8" s="1"/>
  <c r="I108" i="8"/>
  <c r="J108" i="8" s="1"/>
  <c r="I109" i="8"/>
  <c r="J109" i="8" s="1"/>
  <c r="I110" i="8"/>
  <c r="J110" i="8" s="1"/>
  <c r="I111" i="8"/>
  <c r="J111" i="8" s="1"/>
  <c r="I112" i="8"/>
  <c r="J112" i="8" s="1"/>
  <c r="I113" i="8"/>
  <c r="J113" i="8" s="1"/>
  <c r="I114" i="8"/>
  <c r="J114" i="8" s="1"/>
  <c r="I115" i="8"/>
  <c r="J115" i="8" s="1"/>
  <c r="I116" i="8"/>
  <c r="J116" i="8" s="1"/>
  <c r="I117" i="8"/>
  <c r="J117" i="8" s="1"/>
  <c r="I118" i="8"/>
  <c r="J118" i="8" s="1"/>
  <c r="I119" i="8"/>
  <c r="J119" i="8" s="1"/>
  <c r="I120" i="8"/>
  <c r="J120" i="8" s="1"/>
  <c r="I121" i="8"/>
  <c r="J121" i="8" s="1"/>
  <c r="I122" i="8"/>
  <c r="J122" i="8" s="1"/>
  <c r="I123" i="8"/>
  <c r="J123" i="8" s="1"/>
  <c r="I124" i="8"/>
  <c r="J124" i="8" s="1"/>
  <c r="I125" i="8"/>
  <c r="J125" i="8" s="1"/>
  <c r="I126" i="8"/>
  <c r="J126" i="8" s="1"/>
  <c r="I127" i="8"/>
  <c r="J127" i="8" s="1"/>
  <c r="I128" i="8"/>
  <c r="J128" i="8" s="1"/>
  <c r="I129" i="8"/>
  <c r="J129" i="8" s="1"/>
  <c r="I130" i="8"/>
  <c r="J130" i="8" s="1"/>
  <c r="I131" i="8"/>
  <c r="J131" i="8" s="1"/>
  <c r="I132" i="8"/>
  <c r="J132" i="8" s="1"/>
  <c r="I133" i="8"/>
  <c r="J133" i="8" s="1"/>
  <c r="I134" i="8"/>
  <c r="J134" i="8" s="1"/>
  <c r="I135" i="8"/>
  <c r="J135" i="8" s="1"/>
  <c r="I136" i="8"/>
  <c r="J136" i="8" s="1"/>
  <c r="I137" i="8"/>
  <c r="J137" i="8" s="1"/>
  <c r="I138" i="8"/>
  <c r="J138" i="8" s="1"/>
  <c r="I139" i="8"/>
  <c r="J139" i="8" s="1"/>
  <c r="I140" i="8"/>
  <c r="J140" i="8" s="1"/>
  <c r="I141" i="8"/>
  <c r="J141" i="8" s="1"/>
  <c r="I142" i="8"/>
  <c r="J142" i="8" s="1"/>
  <c r="I143" i="8"/>
  <c r="J143" i="8" s="1"/>
  <c r="I144" i="8"/>
  <c r="J144" i="8" s="1"/>
  <c r="I145" i="8"/>
  <c r="J145" i="8" s="1"/>
  <c r="I146" i="8"/>
  <c r="J146" i="8" s="1"/>
  <c r="I147" i="8"/>
  <c r="J147" i="8" s="1"/>
  <c r="I148" i="8"/>
  <c r="J148" i="8" s="1"/>
  <c r="I149" i="8"/>
  <c r="J149" i="8" s="1"/>
  <c r="I150" i="8"/>
  <c r="J150" i="8" s="1"/>
  <c r="I151" i="8"/>
  <c r="J151" i="8" s="1"/>
  <c r="I152" i="8"/>
  <c r="J152" i="8" s="1"/>
  <c r="I153" i="8"/>
  <c r="J153" i="8" s="1"/>
  <c r="I154" i="8"/>
  <c r="J154" i="8" s="1"/>
  <c r="I155" i="8"/>
  <c r="J155" i="8" s="1"/>
  <c r="I156" i="8"/>
  <c r="J156" i="8" s="1"/>
  <c r="I157" i="8"/>
  <c r="J157" i="8" s="1"/>
  <c r="I158" i="8"/>
  <c r="J158" i="8" s="1"/>
  <c r="I159" i="8"/>
  <c r="J159" i="8" s="1"/>
  <c r="I160" i="8"/>
  <c r="J160" i="8" s="1"/>
  <c r="I161" i="8"/>
  <c r="J161" i="8" s="1"/>
  <c r="I162" i="8"/>
  <c r="J162" i="8" s="1"/>
  <c r="I163" i="8"/>
  <c r="J163" i="8" s="1"/>
  <c r="I164" i="8"/>
  <c r="J164" i="8" s="1"/>
  <c r="I165" i="8"/>
  <c r="J165" i="8" s="1"/>
  <c r="I166" i="8"/>
  <c r="J166" i="8" s="1"/>
  <c r="I167" i="8"/>
  <c r="J167" i="8" s="1"/>
  <c r="I168" i="8"/>
  <c r="J168" i="8" s="1"/>
  <c r="I169" i="8"/>
  <c r="J169" i="8" s="1"/>
  <c r="I170" i="8"/>
  <c r="J170" i="8" s="1"/>
  <c r="I171" i="8"/>
  <c r="J171" i="8" s="1"/>
  <c r="I172" i="8"/>
  <c r="J172" i="8" s="1"/>
  <c r="I173" i="8"/>
  <c r="J173" i="8" s="1"/>
  <c r="I174" i="8"/>
  <c r="J174" i="8" s="1"/>
  <c r="I175" i="8"/>
  <c r="J175" i="8" s="1"/>
  <c r="I176" i="8"/>
  <c r="J176" i="8" s="1"/>
  <c r="I177" i="8"/>
  <c r="J177" i="8" s="1"/>
  <c r="I178" i="8"/>
  <c r="J178" i="8" s="1"/>
  <c r="I179" i="8"/>
  <c r="J179" i="8" s="1"/>
  <c r="I180" i="8"/>
  <c r="J180" i="8" s="1"/>
  <c r="I181" i="8"/>
  <c r="J181" i="8" s="1"/>
  <c r="I182" i="8"/>
  <c r="J182" i="8" s="1"/>
  <c r="I183" i="8"/>
  <c r="J183" i="8" s="1"/>
  <c r="I184" i="8"/>
  <c r="J184" i="8" s="1"/>
  <c r="I185" i="8"/>
  <c r="J185" i="8" s="1"/>
  <c r="I186" i="8"/>
  <c r="J186" i="8" s="1"/>
  <c r="I187" i="8"/>
  <c r="J187" i="8" s="1"/>
  <c r="I188" i="8"/>
  <c r="J188" i="8" s="1"/>
  <c r="I189" i="8"/>
  <c r="J189" i="8" s="1"/>
  <c r="I190" i="8"/>
  <c r="J190" i="8" s="1"/>
  <c r="I191" i="8"/>
  <c r="J191" i="8" s="1"/>
  <c r="I192" i="8"/>
  <c r="J192" i="8" s="1"/>
  <c r="I193" i="8"/>
  <c r="J193" i="8" s="1"/>
  <c r="I194" i="8"/>
  <c r="J194" i="8" s="1"/>
  <c r="I195" i="8"/>
  <c r="J195" i="8" s="1"/>
  <c r="I196" i="8"/>
  <c r="J196" i="8" s="1"/>
  <c r="I197" i="8"/>
  <c r="J197" i="8" s="1"/>
  <c r="I198" i="8"/>
  <c r="J198" i="8" s="1"/>
  <c r="I199" i="8"/>
  <c r="J199" i="8" s="1"/>
  <c r="I200" i="8"/>
  <c r="J200" i="8" s="1"/>
  <c r="I201" i="8"/>
  <c r="J201" i="8" s="1"/>
  <c r="I202" i="8"/>
  <c r="J202" i="8" s="1"/>
  <c r="I203" i="8"/>
  <c r="J203" i="8" s="1"/>
  <c r="I204" i="8"/>
  <c r="J204" i="8" s="1"/>
  <c r="I205" i="8"/>
  <c r="J205" i="8" s="1"/>
  <c r="I206" i="8"/>
  <c r="J206" i="8" s="1"/>
  <c r="I207" i="8"/>
  <c r="J207" i="8" s="1"/>
  <c r="I208" i="8"/>
  <c r="J208" i="8" s="1"/>
  <c r="I209" i="8"/>
  <c r="J209" i="8" s="1"/>
  <c r="I210" i="8"/>
  <c r="J210" i="8" s="1"/>
  <c r="I211" i="8"/>
  <c r="J211" i="8" s="1"/>
  <c r="I212" i="8"/>
  <c r="J212" i="8" s="1"/>
  <c r="I213" i="8"/>
  <c r="J213" i="8" s="1"/>
  <c r="I214" i="8"/>
  <c r="J214" i="8" s="1"/>
  <c r="I215" i="8"/>
  <c r="J215" i="8" s="1"/>
  <c r="I216" i="8"/>
  <c r="J216" i="8" s="1"/>
  <c r="I217" i="8"/>
  <c r="J217" i="8" s="1"/>
  <c r="I218" i="8"/>
  <c r="J218" i="8" s="1"/>
  <c r="I219" i="8"/>
  <c r="J219" i="8" s="1"/>
  <c r="I220" i="8"/>
  <c r="J220" i="8" s="1"/>
  <c r="I221" i="8"/>
  <c r="J221" i="8" s="1"/>
  <c r="I222" i="8"/>
  <c r="J222" i="8" s="1"/>
  <c r="I223" i="8"/>
  <c r="J223" i="8" s="1"/>
  <c r="I224" i="8"/>
  <c r="J224" i="8" s="1"/>
  <c r="I225" i="8"/>
  <c r="J225" i="8" s="1"/>
  <c r="I226" i="8"/>
  <c r="J226" i="8" s="1"/>
  <c r="I227" i="8"/>
  <c r="J227" i="8" s="1"/>
  <c r="I228" i="8"/>
  <c r="J228" i="8" s="1"/>
  <c r="I229" i="8"/>
  <c r="J229" i="8" s="1"/>
  <c r="I230" i="8"/>
  <c r="J230" i="8" s="1"/>
  <c r="I231" i="8"/>
  <c r="J231" i="8" s="1"/>
  <c r="I232" i="8"/>
  <c r="J232" i="8" s="1"/>
  <c r="I233" i="8"/>
  <c r="J233" i="8" s="1"/>
  <c r="I234" i="8"/>
  <c r="J234" i="8" s="1"/>
  <c r="I235" i="8"/>
  <c r="J235" i="8" s="1"/>
  <c r="I236" i="8"/>
  <c r="J236" i="8" s="1"/>
  <c r="I237" i="8"/>
  <c r="J237" i="8" s="1"/>
  <c r="I238" i="8"/>
  <c r="J238" i="8" s="1"/>
  <c r="I239" i="8"/>
  <c r="J239" i="8" s="1"/>
  <c r="I240" i="8"/>
  <c r="J240" i="8" s="1"/>
  <c r="I241" i="8"/>
  <c r="J241" i="8" s="1"/>
  <c r="I242" i="8"/>
  <c r="J242" i="8" s="1"/>
  <c r="I243" i="8"/>
  <c r="J243" i="8" s="1"/>
  <c r="I244" i="8"/>
  <c r="J244" i="8" s="1"/>
  <c r="I245" i="8"/>
  <c r="J245" i="8" s="1"/>
  <c r="I246" i="8"/>
  <c r="J246" i="8" s="1"/>
  <c r="I247" i="8"/>
  <c r="J247" i="8" s="1"/>
  <c r="I248" i="8"/>
  <c r="J248" i="8" s="1"/>
  <c r="I249" i="8"/>
  <c r="J249" i="8" s="1"/>
  <c r="I250" i="8"/>
  <c r="J250" i="8" s="1"/>
  <c r="I251" i="8"/>
  <c r="J251" i="8" s="1"/>
  <c r="I252" i="8"/>
  <c r="J252" i="8" s="1"/>
  <c r="I253" i="8"/>
  <c r="J253" i="8" s="1"/>
  <c r="I254" i="8"/>
  <c r="J254" i="8" s="1"/>
  <c r="I255" i="8"/>
  <c r="J255" i="8" s="1"/>
  <c r="I256" i="8"/>
  <c r="J256" i="8" s="1"/>
  <c r="I257" i="8"/>
  <c r="J257" i="8" s="1"/>
  <c r="I258" i="8"/>
  <c r="J258" i="8" s="1"/>
  <c r="I259" i="8"/>
  <c r="J259" i="8" s="1"/>
  <c r="I260" i="8"/>
  <c r="J260" i="8" s="1"/>
  <c r="I261" i="8"/>
  <c r="J261" i="8" s="1"/>
  <c r="I262" i="8"/>
  <c r="J262" i="8" s="1"/>
  <c r="I263" i="8"/>
  <c r="J263" i="8" s="1"/>
  <c r="I264" i="8"/>
  <c r="J264" i="8" s="1"/>
  <c r="I265" i="8"/>
  <c r="J265" i="8" s="1"/>
  <c r="I266" i="8"/>
  <c r="J266" i="8" s="1"/>
  <c r="I267" i="8"/>
  <c r="J267" i="8" s="1"/>
  <c r="I268" i="8"/>
  <c r="J268" i="8" s="1"/>
  <c r="I269" i="8"/>
  <c r="J269" i="8" s="1"/>
  <c r="I270" i="8"/>
  <c r="J270" i="8" s="1"/>
  <c r="I271" i="8"/>
  <c r="J271" i="8" s="1"/>
  <c r="I272" i="8"/>
  <c r="J272" i="8" s="1"/>
  <c r="I273" i="8"/>
  <c r="J273" i="8" s="1"/>
  <c r="I274" i="8"/>
  <c r="J274" i="8" s="1"/>
  <c r="I275" i="8"/>
  <c r="J275" i="8" s="1"/>
  <c r="I276" i="8"/>
  <c r="J276" i="8" s="1"/>
  <c r="I277" i="8"/>
  <c r="J277" i="8" s="1"/>
  <c r="I278" i="8"/>
  <c r="J278" i="8" s="1"/>
  <c r="I279" i="8"/>
  <c r="J279" i="8" s="1"/>
  <c r="I280" i="8"/>
  <c r="J280" i="8" s="1"/>
  <c r="I281" i="8"/>
  <c r="J281" i="8" s="1"/>
  <c r="I282" i="8"/>
  <c r="J282" i="8" s="1"/>
  <c r="I283" i="8"/>
  <c r="J283" i="8" s="1"/>
  <c r="I284" i="8"/>
  <c r="J284" i="8" s="1"/>
  <c r="I285" i="8"/>
  <c r="J285" i="8" s="1"/>
  <c r="I286" i="8"/>
  <c r="J286" i="8" s="1"/>
  <c r="I287" i="8"/>
  <c r="J287" i="8" s="1"/>
  <c r="I288" i="8"/>
  <c r="J288" i="8" s="1"/>
  <c r="I289" i="8"/>
  <c r="J289" i="8" s="1"/>
  <c r="I290" i="8"/>
  <c r="J290" i="8" s="1"/>
  <c r="I291" i="8"/>
  <c r="J291" i="8" s="1"/>
  <c r="I292" i="8"/>
  <c r="J292" i="8" s="1"/>
  <c r="I293" i="8"/>
  <c r="J293" i="8" s="1"/>
  <c r="I294" i="8"/>
  <c r="J294" i="8" s="1"/>
  <c r="I295" i="8"/>
  <c r="J295" i="8" s="1"/>
  <c r="I296" i="8"/>
  <c r="J296" i="8" s="1"/>
  <c r="I297" i="8"/>
  <c r="J297" i="8" s="1"/>
  <c r="I298" i="8"/>
  <c r="J298" i="8" s="1"/>
  <c r="I299" i="8"/>
  <c r="J299" i="8" s="1"/>
  <c r="I300" i="8"/>
  <c r="J300" i="8" s="1"/>
  <c r="I301" i="8"/>
  <c r="J301" i="8" s="1"/>
  <c r="I302" i="8"/>
  <c r="J302" i="8" s="1"/>
  <c r="I303" i="8"/>
  <c r="J303" i="8" s="1"/>
  <c r="I304" i="8"/>
  <c r="J304" i="8" s="1"/>
  <c r="I305" i="8"/>
  <c r="J305" i="8" s="1"/>
  <c r="I306" i="8"/>
  <c r="J306" i="8" s="1"/>
  <c r="I307" i="8"/>
  <c r="J307" i="8" s="1"/>
  <c r="I308" i="8"/>
  <c r="J308" i="8" s="1"/>
  <c r="I309" i="8"/>
  <c r="J309" i="8" s="1"/>
  <c r="I310" i="8"/>
  <c r="J310" i="8" s="1"/>
  <c r="I311" i="8"/>
  <c r="J311" i="8" s="1"/>
  <c r="I312" i="8"/>
  <c r="J312" i="8" s="1"/>
  <c r="I313" i="8"/>
  <c r="J313" i="8" s="1"/>
  <c r="I314" i="8"/>
  <c r="J314" i="8" s="1"/>
  <c r="I315" i="8"/>
  <c r="J315" i="8" s="1"/>
  <c r="I316" i="8"/>
  <c r="J316" i="8" s="1"/>
  <c r="I317" i="8"/>
  <c r="J317" i="8" s="1"/>
  <c r="I318" i="8"/>
  <c r="J318" i="8" s="1"/>
  <c r="I319" i="8"/>
  <c r="J319" i="8" s="1"/>
  <c r="I320" i="8"/>
  <c r="J320" i="8" s="1"/>
  <c r="I321" i="8"/>
  <c r="J321" i="8" s="1"/>
  <c r="I322" i="8"/>
  <c r="J322" i="8" s="1"/>
  <c r="I323" i="8"/>
  <c r="J323" i="8" s="1"/>
  <c r="I324" i="8"/>
  <c r="J324" i="8" s="1"/>
  <c r="I325" i="8"/>
  <c r="J325" i="8" s="1"/>
  <c r="I326" i="8"/>
  <c r="J326" i="8" s="1"/>
  <c r="I327" i="8"/>
  <c r="J327" i="8" s="1"/>
  <c r="I328" i="8"/>
  <c r="J328" i="8" s="1"/>
  <c r="I329" i="8"/>
  <c r="J329" i="8" s="1"/>
  <c r="I330" i="8"/>
  <c r="J330" i="8" s="1"/>
  <c r="I331" i="8"/>
  <c r="J331" i="8" s="1"/>
  <c r="I332" i="8"/>
  <c r="J332" i="8" s="1"/>
  <c r="I333" i="8"/>
  <c r="J333" i="8" s="1"/>
  <c r="I334" i="8"/>
  <c r="J334" i="8" s="1"/>
  <c r="I335" i="8"/>
  <c r="J335" i="8" s="1"/>
  <c r="I336" i="8"/>
  <c r="J336" i="8" s="1"/>
  <c r="I337" i="8"/>
  <c r="J337" i="8" s="1"/>
  <c r="I338" i="8"/>
  <c r="J338" i="8" s="1"/>
  <c r="I339" i="8"/>
  <c r="J339" i="8" s="1"/>
  <c r="I340" i="8"/>
  <c r="J340" i="8" s="1"/>
  <c r="I341" i="8"/>
  <c r="J341" i="8" s="1"/>
  <c r="I342" i="8"/>
  <c r="J342" i="8" s="1"/>
  <c r="I343" i="8"/>
  <c r="J343" i="8" s="1"/>
  <c r="I344" i="8"/>
  <c r="J344" i="8" s="1"/>
  <c r="I345" i="8"/>
  <c r="J345" i="8" s="1"/>
  <c r="I346" i="8"/>
  <c r="J346" i="8" s="1"/>
  <c r="I347" i="8"/>
  <c r="J347" i="8" s="1"/>
  <c r="I348" i="8"/>
  <c r="J348" i="8" s="1"/>
  <c r="I349" i="8"/>
  <c r="J349" i="8" s="1"/>
  <c r="I350" i="8"/>
  <c r="J350" i="8" s="1"/>
  <c r="I351" i="8"/>
  <c r="J351" i="8" s="1"/>
  <c r="I352" i="8"/>
  <c r="J352" i="8" s="1"/>
  <c r="I353" i="8"/>
  <c r="J353" i="8" s="1"/>
  <c r="I354" i="8"/>
  <c r="J354" i="8" s="1"/>
  <c r="I355" i="8"/>
  <c r="J355" i="8" s="1"/>
  <c r="I356" i="8"/>
  <c r="J356" i="8" s="1"/>
  <c r="I357" i="8"/>
  <c r="J357" i="8" s="1"/>
  <c r="I358" i="8"/>
  <c r="J358" i="8" s="1"/>
  <c r="I359" i="8"/>
  <c r="J359" i="8" s="1"/>
  <c r="I360" i="8"/>
  <c r="J360" i="8" s="1"/>
  <c r="I361" i="8"/>
  <c r="J361" i="8" s="1"/>
  <c r="I362" i="8"/>
  <c r="J362" i="8" s="1"/>
  <c r="I363" i="8"/>
  <c r="J363" i="8" s="1"/>
  <c r="I364" i="8"/>
  <c r="J364" i="8" s="1"/>
  <c r="I365" i="8"/>
  <c r="J365" i="8" s="1"/>
  <c r="I366" i="8"/>
  <c r="J366" i="8" s="1"/>
  <c r="I367" i="8"/>
  <c r="J367" i="8" s="1"/>
  <c r="I368" i="8"/>
  <c r="J368" i="8" s="1"/>
  <c r="I369" i="8"/>
  <c r="J369" i="8" s="1"/>
  <c r="I370" i="8"/>
  <c r="J370" i="8" s="1"/>
  <c r="I371" i="8"/>
  <c r="J371" i="8" s="1"/>
  <c r="I372" i="8"/>
  <c r="J372" i="8" s="1"/>
  <c r="I373" i="8"/>
  <c r="J373" i="8" s="1"/>
  <c r="I374" i="8"/>
  <c r="J374" i="8" s="1"/>
  <c r="I375" i="8"/>
  <c r="J375" i="8" s="1"/>
  <c r="I376" i="8"/>
  <c r="J376" i="8" s="1"/>
  <c r="I377" i="8"/>
  <c r="J377" i="8" s="1"/>
  <c r="I378" i="8"/>
  <c r="J378" i="8" s="1"/>
  <c r="I379" i="8"/>
  <c r="J379" i="8" s="1"/>
  <c r="I380" i="8"/>
  <c r="J380" i="8" s="1"/>
  <c r="I381" i="8"/>
  <c r="J381" i="8" s="1"/>
  <c r="I382" i="8"/>
  <c r="J382" i="8" s="1"/>
  <c r="I383" i="8"/>
  <c r="J383" i="8" s="1"/>
  <c r="I384" i="8"/>
  <c r="J384" i="8" s="1"/>
  <c r="I385" i="8"/>
  <c r="J385" i="8" s="1"/>
  <c r="I386" i="8"/>
  <c r="J386" i="8" s="1"/>
  <c r="I387" i="8"/>
  <c r="J387" i="8" s="1"/>
  <c r="I388" i="8"/>
  <c r="J388" i="8" s="1"/>
  <c r="I389" i="8"/>
  <c r="J389" i="8" s="1"/>
  <c r="I390" i="8"/>
  <c r="J390" i="8" s="1"/>
  <c r="I391" i="8"/>
  <c r="J391" i="8" s="1"/>
  <c r="I392" i="8"/>
  <c r="J392" i="8" s="1"/>
  <c r="I393" i="8"/>
  <c r="J393" i="8" s="1"/>
  <c r="I394" i="8"/>
  <c r="J394" i="8" s="1"/>
  <c r="I395" i="8"/>
  <c r="J395" i="8" s="1"/>
  <c r="I396" i="8"/>
  <c r="J396" i="8" s="1"/>
  <c r="I397" i="8"/>
  <c r="J397" i="8" s="1"/>
  <c r="I398" i="8"/>
  <c r="J398" i="8" s="1"/>
  <c r="I399" i="8"/>
  <c r="J399" i="8" s="1"/>
  <c r="I400" i="8"/>
  <c r="J400" i="8" s="1"/>
  <c r="I401" i="8"/>
  <c r="J401" i="8" s="1"/>
  <c r="I402" i="8"/>
  <c r="J402" i="8" s="1"/>
  <c r="I403" i="8"/>
  <c r="J403" i="8" s="1"/>
  <c r="I404" i="8"/>
  <c r="J404" i="8" s="1"/>
  <c r="I405" i="8"/>
  <c r="J405" i="8" s="1"/>
  <c r="I406" i="8"/>
  <c r="J406" i="8" s="1"/>
  <c r="I407" i="8"/>
  <c r="J407" i="8" s="1"/>
  <c r="I408" i="8"/>
  <c r="J408" i="8" s="1"/>
  <c r="I409" i="8"/>
  <c r="J409" i="8" s="1"/>
  <c r="I410" i="8"/>
  <c r="J410" i="8" s="1"/>
  <c r="I411" i="8"/>
  <c r="J411" i="8" s="1"/>
  <c r="I412" i="8"/>
  <c r="J412" i="8" s="1"/>
  <c r="I413" i="8"/>
  <c r="J413" i="8" s="1"/>
  <c r="I414" i="8"/>
  <c r="J414" i="8" s="1"/>
  <c r="I415" i="8"/>
  <c r="J415" i="8" s="1"/>
  <c r="I416" i="8"/>
  <c r="J416" i="8" s="1"/>
  <c r="I417" i="8"/>
  <c r="J417" i="8" s="1"/>
  <c r="I418" i="8"/>
  <c r="J418" i="8" s="1"/>
  <c r="I419" i="8"/>
  <c r="J419" i="8" s="1"/>
  <c r="I420" i="8"/>
  <c r="J420" i="8" s="1"/>
  <c r="I421" i="8"/>
  <c r="J421" i="8" s="1"/>
  <c r="I422" i="8"/>
  <c r="J422" i="8" s="1"/>
  <c r="I423" i="8"/>
  <c r="J423" i="8" s="1"/>
  <c r="I424" i="8"/>
  <c r="J424" i="8" s="1"/>
  <c r="I425" i="8"/>
  <c r="J425" i="8" s="1"/>
  <c r="I426" i="8"/>
  <c r="J426" i="8" s="1"/>
  <c r="I427" i="8"/>
  <c r="J427" i="8" s="1"/>
  <c r="I428" i="8"/>
  <c r="J428" i="8" s="1"/>
  <c r="I429" i="8"/>
  <c r="J429" i="8" s="1"/>
  <c r="I430" i="8"/>
  <c r="J430" i="8" s="1"/>
  <c r="I431" i="8"/>
  <c r="J431" i="8" s="1"/>
  <c r="I432" i="8"/>
  <c r="J432" i="8" s="1"/>
  <c r="I433" i="8"/>
  <c r="J433" i="8" s="1"/>
  <c r="I434" i="8"/>
  <c r="J434" i="8" s="1"/>
  <c r="I435" i="8"/>
  <c r="J435" i="8" s="1"/>
  <c r="I436" i="8"/>
  <c r="J436" i="8" s="1"/>
  <c r="I437" i="8"/>
  <c r="J437" i="8" s="1"/>
  <c r="I438" i="8"/>
  <c r="J438" i="8" s="1"/>
  <c r="I439" i="8"/>
  <c r="J439" i="8" s="1"/>
  <c r="I440" i="8"/>
  <c r="J440" i="8" s="1"/>
  <c r="I441" i="8"/>
  <c r="J441" i="8" s="1"/>
  <c r="I442" i="8"/>
  <c r="J442" i="8" s="1"/>
  <c r="I443" i="8"/>
  <c r="J443" i="8" s="1"/>
  <c r="I444" i="8"/>
  <c r="J444" i="8" s="1"/>
  <c r="I445" i="8"/>
  <c r="J445" i="8" s="1"/>
  <c r="I446" i="8"/>
  <c r="J446" i="8" s="1"/>
  <c r="I447" i="8"/>
  <c r="J447" i="8" s="1"/>
  <c r="I448" i="8"/>
  <c r="J448" i="8" s="1"/>
  <c r="I449" i="8"/>
  <c r="J449" i="8" s="1"/>
  <c r="I450" i="8"/>
  <c r="J450" i="8" s="1"/>
  <c r="I451" i="8"/>
  <c r="J451" i="8" s="1"/>
  <c r="I452" i="8"/>
  <c r="J452" i="8" s="1"/>
  <c r="I453" i="8"/>
  <c r="J453" i="8" s="1"/>
  <c r="I454" i="8"/>
  <c r="J454" i="8" s="1"/>
  <c r="I455" i="8"/>
  <c r="J455" i="8" s="1"/>
  <c r="I456" i="8"/>
  <c r="J456" i="8" s="1"/>
  <c r="I457" i="8"/>
  <c r="J457" i="8" s="1"/>
  <c r="I458" i="8"/>
  <c r="J458" i="8" s="1"/>
  <c r="I459" i="8"/>
  <c r="J459" i="8" s="1"/>
  <c r="I460" i="8"/>
  <c r="J460" i="8" s="1"/>
  <c r="I461" i="8"/>
  <c r="J461" i="8" s="1"/>
  <c r="I462" i="8"/>
  <c r="J462" i="8" s="1"/>
  <c r="I463" i="8"/>
  <c r="J463" i="8" s="1"/>
  <c r="I464" i="8"/>
  <c r="J464" i="8" s="1"/>
  <c r="I465" i="8"/>
  <c r="J465" i="8" s="1"/>
  <c r="I466" i="8"/>
  <c r="J466" i="8" s="1"/>
  <c r="I467" i="8"/>
  <c r="J467" i="8" s="1"/>
  <c r="I468" i="8"/>
  <c r="J468" i="8" s="1"/>
  <c r="I469" i="8"/>
  <c r="J469" i="8" s="1"/>
  <c r="I470" i="8"/>
  <c r="J470" i="8" s="1"/>
  <c r="I471" i="8"/>
  <c r="J471" i="8" s="1"/>
  <c r="I472" i="8"/>
  <c r="J472" i="8" s="1"/>
  <c r="I473" i="8"/>
  <c r="J473" i="8" s="1"/>
  <c r="I474" i="8"/>
  <c r="J474" i="8" s="1"/>
  <c r="I475" i="8"/>
  <c r="J475" i="8" s="1"/>
  <c r="I476" i="8"/>
  <c r="J476" i="8" s="1"/>
  <c r="I477" i="8"/>
  <c r="J477" i="8" s="1"/>
  <c r="I478" i="8"/>
  <c r="J478" i="8" s="1"/>
  <c r="I479" i="8"/>
  <c r="J479" i="8" s="1"/>
  <c r="I480" i="8"/>
  <c r="J480" i="8" s="1"/>
  <c r="I481" i="8"/>
  <c r="J481" i="8" s="1"/>
  <c r="I482" i="8"/>
  <c r="J482" i="8" s="1"/>
  <c r="I483" i="8"/>
  <c r="J483" i="8" s="1"/>
  <c r="I484" i="8"/>
  <c r="J484" i="8" s="1"/>
  <c r="I485" i="8"/>
  <c r="J485" i="8" s="1"/>
  <c r="I486" i="8"/>
  <c r="J486" i="8" s="1"/>
  <c r="I487" i="8"/>
  <c r="J487" i="8" s="1"/>
  <c r="I488" i="8"/>
  <c r="J488" i="8" s="1"/>
  <c r="I489" i="8"/>
  <c r="J489" i="8" s="1"/>
  <c r="I490" i="8"/>
  <c r="J490" i="8" s="1"/>
  <c r="I491" i="8"/>
  <c r="J491" i="8" s="1"/>
  <c r="I492" i="8"/>
  <c r="J492" i="8" s="1"/>
  <c r="I493" i="8"/>
  <c r="J493" i="8" s="1"/>
  <c r="I494" i="8"/>
  <c r="J494" i="8" s="1"/>
  <c r="I495" i="8"/>
  <c r="J495" i="8" s="1"/>
  <c r="I496" i="8"/>
  <c r="J496" i="8" s="1"/>
  <c r="I497" i="8"/>
  <c r="J497" i="8" s="1"/>
  <c r="I498" i="8"/>
  <c r="J498" i="8" s="1"/>
  <c r="I499" i="8"/>
  <c r="J499" i="8" s="1"/>
  <c r="I500" i="8"/>
  <c r="J500" i="8" s="1"/>
  <c r="I6" i="8"/>
  <c r="J6" i="8" s="1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6" i="8"/>
  <c r="A2" i="2"/>
  <c r="J103" i="8" l="1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11" i="1"/>
  <c r="B15" i="1"/>
  <c r="B7" i="1"/>
  <c r="C19" i="1" l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1" i="1"/>
  <c r="C235" i="1"/>
  <c r="C239" i="1"/>
  <c r="C243" i="1"/>
  <c r="C247" i="1"/>
  <c r="C251" i="1"/>
  <c r="C255" i="1"/>
  <c r="C259" i="1"/>
  <c r="C263" i="1"/>
  <c r="C267" i="1"/>
  <c r="C271" i="1"/>
  <c r="C275" i="1"/>
  <c r="C279" i="1"/>
  <c r="C283" i="1"/>
  <c r="C287" i="1"/>
  <c r="C291" i="1"/>
  <c r="C295" i="1"/>
  <c r="C299" i="1"/>
  <c r="C303" i="1"/>
  <c r="C307" i="1"/>
  <c r="C311" i="1"/>
  <c r="C315" i="1"/>
  <c r="C319" i="1"/>
  <c r="C323" i="1"/>
  <c r="C327" i="1"/>
  <c r="C331" i="1"/>
  <c r="C335" i="1"/>
  <c r="C339" i="1"/>
  <c r="C343" i="1"/>
  <c r="C347" i="1"/>
  <c r="C351" i="1"/>
  <c r="C355" i="1"/>
  <c r="C359" i="1"/>
  <c r="C363" i="1"/>
  <c r="C367" i="1"/>
  <c r="C371" i="1"/>
  <c r="C375" i="1"/>
  <c r="C379" i="1"/>
  <c r="C383" i="1"/>
  <c r="C387" i="1"/>
  <c r="C391" i="1"/>
  <c r="C395" i="1"/>
  <c r="C15" i="1"/>
  <c r="C11" i="1"/>
  <c r="C7" i="1"/>
  <c r="G6" i="4" l="1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5" i="4"/>
  <c r="F5" i="4" l="1"/>
  <c r="K154" i="6" l="1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F395" i="1" s="1"/>
  <c r="K125" i="6"/>
  <c r="F391" i="1" s="1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F387" i="1" s="1"/>
  <c r="K105" i="6"/>
  <c r="F383" i="1" s="1"/>
  <c r="K104" i="6"/>
  <c r="F379" i="1" s="1"/>
  <c r="K103" i="6"/>
  <c r="F375" i="1" s="1"/>
  <c r="K102" i="6"/>
  <c r="F371" i="1" s="1"/>
  <c r="K101" i="6"/>
  <c r="F367" i="1" s="1"/>
  <c r="K100" i="6"/>
  <c r="F363" i="1" s="1"/>
  <c r="K99" i="6"/>
  <c r="F359" i="1" s="1"/>
  <c r="K98" i="6"/>
  <c r="F355" i="1" s="1"/>
  <c r="K97" i="6"/>
  <c r="F351" i="1" s="1"/>
  <c r="K96" i="6"/>
  <c r="F347" i="1" s="1"/>
  <c r="K95" i="6"/>
  <c r="F343" i="1" s="1"/>
  <c r="K94" i="6"/>
  <c r="F339" i="1" s="1"/>
  <c r="K93" i="6"/>
  <c r="F335" i="1" s="1"/>
  <c r="K92" i="6"/>
  <c r="F331" i="1" s="1"/>
  <c r="K91" i="6"/>
  <c r="F327" i="1" s="1"/>
  <c r="K90" i="6"/>
  <c r="F323" i="1" s="1"/>
  <c r="K89" i="6"/>
  <c r="F319" i="1" s="1"/>
  <c r="K88" i="6"/>
  <c r="F315" i="1" s="1"/>
  <c r="K87" i="6"/>
  <c r="F311" i="1" s="1"/>
  <c r="K86" i="6"/>
  <c r="F307" i="1" s="1"/>
  <c r="K85" i="6"/>
  <c r="F303" i="1" s="1"/>
  <c r="K84" i="6"/>
  <c r="F299" i="1" s="1"/>
  <c r="K83" i="6"/>
  <c r="F295" i="1" s="1"/>
  <c r="K82" i="6"/>
  <c r="F291" i="1" s="1"/>
  <c r="K81" i="6"/>
  <c r="K80" i="6"/>
  <c r="K79" i="6"/>
  <c r="K78" i="6"/>
  <c r="F287" i="1" s="1"/>
  <c r="K77" i="6"/>
  <c r="F283" i="1" s="1"/>
  <c r="K76" i="6"/>
  <c r="F279" i="1" s="1"/>
  <c r="K75" i="6"/>
  <c r="F275" i="1" s="1"/>
  <c r="K74" i="6"/>
  <c r="F271" i="1" s="1"/>
  <c r="K73" i="6"/>
  <c r="F267" i="1" s="1"/>
  <c r="K72" i="6"/>
  <c r="F263" i="1" s="1"/>
  <c r="K71" i="6"/>
  <c r="F259" i="1" s="1"/>
  <c r="K70" i="6"/>
  <c r="F255" i="1" s="1"/>
  <c r="K69" i="6"/>
  <c r="F251" i="1" s="1"/>
  <c r="K68" i="6"/>
  <c r="F247" i="1" s="1"/>
  <c r="K67" i="6"/>
  <c r="F243" i="1" s="1"/>
  <c r="K66" i="6"/>
  <c r="F239" i="1" s="1"/>
  <c r="K65" i="6"/>
  <c r="F235" i="1" s="1"/>
  <c r="K64" i="6"/>
  <c r="F231" i="1" s="1"/>
  <c r="K63" i="6"/>
  <c r="F227" i="1" s="1"/>
  <c r="K62" i="6"/>
  <c r="F223" i="1" s="1"/>
  <c r="K61" i="6"/>
  <c r="F219" i="1" s="1"/>
  <c r="K60" i="6"/>
  <c r="F215" i="1" s="1"/>
  <c r="K59" i="6"/>
  <c r="F211" i="1" s="1"/>
  <c r="K58" i="6"/>
  <c r="F207" i="1" s="1"/>
  <c r="K57" i="6"/>
  <c r="F203" i="1" s="1"/>
  <c r="K56" i="6"/>
  <c r="F199" i="1" s="1"/>
  <c r="K55" i="6"/>
  <c r="F195" i="1" s="1"/>
  <c r="K54" i="6"/>
  <c r="F191" i="1" s="1"/>
  <c r="K53" i="6"/>
  <c r="F187" i="1" s="1"/>
  <c r="K52" i="6"/>
  <c r="F183" i="1" s="1"/>
  <c r="K51" i="6"/>
  <c r="F179" i="1" s="1"/>
  <c r="K50" i="6"/>
  <c r="F175" i="1" s="1"/>
  <c r="K49" i="6"/>
  <c r="F171" i="1" s="1"/>
  <c r="K48" i="6"/>
  <c r="F167" i="1" s="1"/>
  <c r="K47" i="6"/>
  <c r="F163" i="1" s="1"/>
  <c r="K46" i="6"/>
  <c r="F159" i="1" s="1"/>
  <c r="K45" i="6"/>
  <c r="F155" i="1" s="1"/>
  <c r="K44" i="6"/>
  <c r="F151" i="1" s="1"/>
  <c r="K43" i="6"/>
  <c r="F147" i="1" s="1"/>
  <c r="K42" i="6"/>
  <c r="F143" i="1" s="1"/>
  <c r="K41" i="6"/>
  <c r="F139" i="1" s="1"/>
  <c r="K40" i="6"/>
  <c r="F135" i="1" s="1"/>
  <c r="K39" i="6"/>
  <c r="F131" i="1" s="1"/>
  <c r="K38" i="6"/>
  <c r="F127" i="1" s="1"/>
  <c r="K37" i="6"/>
  <c r="F123" i="1" s="1"/>
  <c r="K36" i="6"/>
  <c r="F119" i="1" s="1"/>
  <c r="K35" i="6"/>
  <c r="F115" i="1" s="1"/>
  <c r="K34" i="6"/>
  <c r="F111" i="1" s="1"/>
  <c r="K33" i="6"/>
  <c r="F107" i="1" s="1"/>
  <c r="K32" i="6"/>
  <c r="F103" i="1" s="1"/>
  <c r="K31" i="6"/>
  <c r="F99" i="1" s="1"/>
  <c r="K30" i="6"/>
  <c r="F95" i="1" s="1"/>
  <c r="K29" i="6"/>
  <c r="F91" i="1" s="1"/>
  <c r="K28" i="6"/>
  <c r="F87" i="1" s="1"/>
  <c r="K27" i="6"/>
  <c r="F83" i="1" s="1"/>
  <c r="K26" i="6"/>
  <c r="F79" i="1" s="1"/>
  <c r="K25" i="6"/>
  <c r="F75" i="1" s="1"/>
  <c r="K24" i="6"/>
  <c r="F71" i="1" s="1"/>
  <c r="K23" i="6"/>
  <c r="F67" i="1" s="1"/>
  <c r="K22" i="6"/>
  <c r="F63" i="1" s="1"/>
  <c r="K21" i="6"/>
  <c r="F59" i="1" s="1"/>
  <c r="K20" i="6"/>
  <c r="F55" i="1" s="1"/>
  <c r="K19" i="6"/>
  <c r="F51" i="1" s="1"/>
  <c r="K18" i="6"/>
  <c r="F47" i="1" s="1"/>
  <c r="K17" i="6"/>
  <c r="F43" i="1" s="1"/>
  <c r="K16" i="6"/>
  <c r="F39" i="1" s="1"/>
  <c r="K15" i="6"/>
  <c r="F35" i="1" s="1"/>
  <c r="K14" i="6"/>
  <c r="F31" i="1" s="1"/>
  <c r="K13" i="6"/>
  <c r="F27" i="1" s="1"/>
  <c r="K12" i="6"/>
  <c r="F23" i="1" s="1"/>
  <c r="K11" i="6"/>
  <c r="F19" i="1" s="1"/>
  <c r="K10" i="6"/>
  <c r="F15" i="1" s="1"/>
  <c r="K9" i="6"/>
  <c r="F11" i="1" s="1"/>
  <c r="K8" i="6"/>
  <c r="F7" i="1" s="1"/>
  <c r="F6" i="4" l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A29" i="3"/>
  <c r="A15" i="3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14" i="3"/>
  <c r="A13" i="3" s="1"/>
  <c r="A12" i="3" s="1"/>
  <c r="A11" i="3" s="1"/>
  <c r="A10" i="3" s="1"/>
  <c r="A9" i="3" s="1"/>
  <c r="A8" i="3" s="1"/>
  <c r="A7" i="3" s="1"/>
  <c r="A6" i="3" s="1"/>
  <c r="A5" i="3" s="1"/>
  <c r="A4" i="3" s="1"/>
  <c r="A3" i="3" s="1"/>
  <c r="A2" i="3" s="1"/>
  <c r="H45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rpnav" type="4" refreshedVersion="0" background="1">
    <webPr xml="1" sourceData="1" parsePre="1" consecutive="1" url="C:\MRP Data\mrpnav.xml" htmlTables="1"/>
  </connection>
</connections>
</file>

<file path=xl/sharedStrings.xml><?xml version="1.0" encoding="utf-8"?>
<sst xmlns="http://schemas.openxmlformats.org/spreadsheetml/2006/main" count="5332" uniqueCount="679">
  <si>
    <t>PST305</t>
  </si>
  <si>
    <t>PST305-L</t>
  </si>
  <si>
    <t>PST305-R</t>
  </si>
  <si>
    <t>0856WB1-AI</t>
  </si>
  <si>
    <t>0856WB2-AI</t>
  </si>
  <si>
    <t>0851FJ-1-AI</t>
  </si>
  <si>
    <t>ST340-2GP</t>
  </si>
  <si>
    <t>ST515-3CH</t>
  </si>
  <si>
    <t>ST550-2NAX</t>
  </si>
  <si>
    <t>0851HT-1-AI</t>
  </si>
  <si>
    <t>PH1100-1-DH</t>
  </si>
  <si>
    <t>PH1100-1-INV</t>
  </si>
  <si>
    <t>PH1100-1-INVF</t>
  </si>
  <si>
    <t>PH1100-1-RCD</t>
  </si>
  <si>
    <t>PH1100-1-RCDW</t>
  </si>
  <si>
    <t>PH1100-1-RCJW</t>
  </si>
  <si>
    <t>PH1100-1-VBW</t>
  </si>
  <si>
    <t>PH1100-1-VC</t>
  </si>
  <si>
    <t>PH1100-1-VCW</t>
  </si>
  <si>
    <t>PH1100-MU-L-1</t>
  </si>
  <si>
    <t>PH1100-MU-R-1</t>
  </si>
  <si>
    <t>PH1100-MUR-EN</t>
  </si>
  <si>
    <t>PH1100-RW-LEFT-W</t>
  </si>
  <si>
    <t>PH1100-RW-RIGHT-W</t>
  </si>
  <si>
    <t>PH502</t>
  </si>
  <si>
    <t>PH502-1</t>
  </si>
  <si>
    <t>PH502-10</t>
  </si>
  <si>
    <t>PH502-12CR</t>
  </si>
  <si>
    <t>PH502-13</t>
  </si>
  <si>
    <t>PH502-14</t>
  </si>
  <si>
    <t>PH502-3</t>
  </si>
  <si>
    <t>PH502-5</t>
  </si>
  <si>
    <t>PH502-BKM</t>
  </si>
  <si>
    <t>PH504</t>
  </si>
  <si>
    <t>PH506DH-EN</t>
  </si>
  <si>
    <t>HA1100-INV</t>
  </si>
  <si>
    <t>PH1100-1-BJ</t>
  </si>
  <si>
    <t>ST350-2</t>
  </si>
  <si>
    <t>PH500</t>
  </si>
  <si>
    <t>PH500-2</t>
  </si>
  <si>
    <t>PH500-BKC</t>
  </si>
  <si>
    <t>PH500-EC</t>
  </si>
  <si>
    <t>PH520</t>
  </si>
  <si>
    <t>PH557</t>
  </si>
  <si>
    <t>ST300-2PT</t>
  </si>
  <si>
    <t>ST300-2PT-1</t>
  </si>
  <si>
    <t>ST300-2PTH</t>
  </si>
  <si>
    <t>ST300-2PTN</t>
  </si>
  <si>
    <t>ST300-3H</t>
  </si>
  <si>
    <t>ST300-3HR</t>
  </si>
  <si>
    <t>ST314-2L</t>
  </si>
  <si>
    <t>ST314-2R</t>
  </si>
  <si>
    <t>ST315-3L</t>
  </si>
  <si>
    <t>ST320-COM</t>
  </si>
  <si>
    <t>H-SL0856LU5</t>
  </si>
  <si>
    <t>H-SL0856LU6</t>
  </si>
  <si>
    <t>0851-AI-M</t>
  </si>
  <si>
    <t>0851HL-AI</t>
  </si>
  <si>
    <t>0856AE19-AI</t>
  </si>
  <si>
    <t>0856AE19-AI-LR</t>
  </si>
  <si>
    <t>HSL856AE-2</t>
  </si>
  <si>
    <t>PT-28HB</t>
  </si>
  <si>
    <t>ST320-3LA</t>
  </si>
  <si>
    <t>ST320-3RA</t>
  </si>
  <si>
    <t>H-SL851HT</t>
  </si>
  <si>
    <t>H-SL856AE</t>
  </si>
  <si>
    <t>ST333-1</t>
  </si>
  <si>
    <t>MC816</t>
  </si>
  <si>
    <t>PK0856AE19-AI-LR</t>
  </si>
  <si>
    <t>SM4125</t>
  </si>
  <si>
    <t>WA001600</t>
  </si>
  <si>
    <t>PST3200-C3</t>
  </si>
  <si>
    <t>PST3200-C4</t>
  </si>
  <si>
    <t>PST3200-C5</t>
  </si>
  <si>
    <t>0856LU6-AI</t>
  </si>
  <si>
    <t>0856LU5-AI</t>
  </si>
  <si>
    <t>PST300-2SW-2</t>
  </si>
  <si>
    <t>PST300-2SW-C</t>
  </si>
  <si>
    <t>PST300-4G</t>
  </si>
  <si>
    <t>PST300-4GPA</t>
  </si>
  <si>
    <t>PST300-G120TP</t>
  </si>
  <si>
    <t>HA300</t>
  </si>
  <si>
    <t>HA300-2SW</t>
  </si>
  <si>
    <t>SM1100</t>
  </si>
  <si>
    <t>SM1110</t>
  </si>
  <si>
    <t>SM210</t>
  </si>
  <si>
    <t>SM220</t>
  </si>
  <si>
    <t>SM230</t>
  </si>
  <si>
    <t>SM2436</t>
  </si>
  <si>
    <t>SM2437-L</t>
  </si>
  <si>
    <t>SM2437-R</t>
  </si>
  <si>
    <t>SM2439</t>
  </si>
  <si>
    <t>SM300</t>
  </si>
  <si>
    <t>SM4151</t>
  </si>
  <si>
    <t>SM4161</t>
  </si>
  <si>
    <t>SM500-EC</t>
  </si>
  <si>
    <t>SM506DH</t>
  </si>
  <si>
    <t>SM557</t>
  </si>
  <si>
    <t>SM1100BJ</t>
  </si>
  <si>
    <t>HA1100</t>
  </si>
  <si>
    <t>HA1100-MU</t>
  </si>
  <si>
    <t>HA305</t>
  </si>
  <si>
    <t>HA500</t>
  </si>
  <si>
    <t>HA500-EC</t>
  </si>
  <si>
    <t>HA502</t>
  </si>
  <si>
    <t>HA506</t>
  </si>
  <si>
    <t>HA520</t>
  </si>
  <si>
    <t>HA557</t>
  </si>
  <si>
    <t>JFA/M</t>
  </si>
  <si>
    <t>PX1525</t>
  </si>
  <si>
    <t>WA001873</t>
  </si>
  <si>
    <t>WA160-40</t>
  </si>
  <si>
    <t>WA169-13</t>
  </si>
  <si>
    <t>WA1896-14</t>
  </si>
  <si>
    <t>Total</t>
  </si>
  <si>
    <t>Part ID</t>
  </si>
  <si>
    <t>Workstation</t>
  </si>
  <si>
    <t>Deb</t>
  </si>
  <si>
    <t>Elvis</t>
  </si>
  <si>
    <t>Felix</t>
  </si>
  <si>
    <t>Jeana</t>
  </si>
  <si>
    <t>Kim</t>
  </si>
  <si>
    <t>Luis</t>
  </si>
  <si>
    <t>Milly</t>
  </si>
  <si>
    <t>N/A</t>
  </si>
  <si>
    <t>Sam</t>
  </si>
  <si>
    <t>Tia</t>
  </si>
  <si>
    <t>Vendor</t>
  </si>
  <si>
    <t>PH3400</t>
  </si>
  <si>
    <t>H-SL3400</t>
  </si>
  <si>
    <t>Exclusion dates</t>
  </si>
  <si>
    <t>Order_Number</t>
  </si>
  <si>
    <t>Type</t>
  </si>
  <si>
    <t>App</t>
  </si>
  <si>
    <t>Rel</t>
  </si>
  <si>
    <t>Firm</t>
  </si>
  <si>
    <t>Ord_Qty</t>
  </si>
  <si>
    <t>Qty_Due</t>
  </si>
  <si>
    <t>BOM_Alt_Code</t>
  </si>
  <si>
    <t>Routing_Alt_Code</t>
  </si>
  <si>
    <t>Lot_Number</t>
  </si>
  <si>
    <t>Serial_Number</t>
  </si>
  <si>
    <t>Cur_Due</t>
  </si>
  <si>
    <t>Org_Due</t>
  </si>
  <si>
    <t>Start_Date</t>
  </si>
  <si>
    <t>Part_ID</t>
  </si>
  <si>
    <t>Description</t>
  </si>
  <si>
    <t>Priority</t>
  </si>
  <si>
    <t>Planner</t>
  </si>
  <si>
    <t>Stock</t>
  </si>
  <si>
    <t>Sched</t>
  </si>
  <si>
    <t>Rev</t>
  </si>
  <si>
    <t>Reference</t>
  </si>
  <si>
    <t>UDF_Key</t>
  </si>
  <si>
    <t>UDF_Ref</t>
  </si>
  <si>
    <t>MPN</t>
  </si>
  <si>
    <t>Manufacturer</t>
  </si>
  <si>
    <t>SortColRealValue</t>
  </si>
  <si>
    <t>OrgRowNumForSort</t>
  </si>
  <si>
    <t>MF</t>
  </si>
  <si>
    <t>06/30/2015</t>
  </si>
  <si>
    <t>09/24/2015</t>
  </si>
  <si>
    <t>11/14/2016</t>
  </si>
  <si>
    <t>08/15/2016</t>
  </si>
  <si>
    <t>10/03/2016</t>
  </si>
  <si>
    <t>10/24/2016</t>
  </si>
  <si>
    <t>09/12/2016</t>
  </si>
  <si>
    <t>08/01/2016</t>
  </si>
  <si>
    <t>10/14/2016</t>
  </si>
  <si>
    <t>10/31/2016</t>
  </si>
  <si>
    <t>08/08/2016</t>
  </si>
  <si>
    <t>10/10/2016</t>
  </si>
  <si>
    <t>11/21/2016</t>
  </si>
  <si>
    <t>09/26/2016</t>
  </si>
  <si>
    <t>11/07/2016</t>
  </si>
  <si>
    <t>10/17/2016</t>
  </si>
  <si>
    <t>07/14/2016</t>
  </si>
  <si>
    <t>09/19/2016</t>
  </si>
  <si>
    <t>08/29/2016</t>
  </si>
  <si>
    <t>08/22/2016</t>
  </si>
  <si>
    <t>09/27/2016</t>
  </si>
  <si>
    <t>09/29/2016</t>
  </si>
  <si>
    <t>09/18/2017</t>
  </si>
  <si>
    <t>09/13/2016</t>
  </si>
  <si>
    <t>07/13/2016</t>
  </si>
  <si>
    <t>07/27/2016</t>
  </si>
  <si>
    <t>07/28/2016</t>
  </si>
  <si>
    <t>08/11/2016</t>
  </si>
  <si>
    <t>08/31/2016</t>
  </si>
  <si>
    <t>09/02/2016</t>
  </si>
  <si>
    <t>09/30/2016</t>
  </si>
  <si>
    <t>06/30/2016</t>
  </si>
  <si>
    <t>07/22/2016</t>
  </si>
  <si>
    <t>02/06/2017</t>
  </si>
  <si>
    <t>12/30/2016</t>
  </si>
  <si>
    <t>07/18/2016</t>
  </si>
  <si>
    <t>09/08/2016</t>
  </si>
  <si>
    <t>09/15/2016</t>
  </si>
  <si>
    <t>08/04/2016</t>
  </si>
  <si>
    <t>08/25/2016</t>
  </si>
  <si>
    <t>07/08/2016</t>
  </si>
  <si>
    <t>07/25/2016</t>
  </si>
  <si>
    <t>07/26/2016</t>
  </si>
  <si>
    <t>12/21/2016</t>
  </si>
  <si>
    <t>09/22/2016</t>
  </si>
  <si>
    <t>11/03/2016</t>
  </si>
  <si>
    <t>08/05/2016</t>
  </si>
  <si>
    <t>09/14/2016</t>
  </si>
  <si>
    <t>08/18/2016</t>
  </si>
  <si>
    <t>06/27/2016</t>
  </si>
  <si>
    <t>07/11/2016</t>
  </si>
  <si>
    <t>07/05/2016</t>
  </si>
  <si>
    <t>07/21/2016</t>
  </si>
  <si>
    <t>11/24/2015</t>
  </si>
  <si>
    <t>11/25/2015</t>
  </si>
  <si>
    <t>11/02/2015</t>
  </si>
  <si>
    <t>10/27/2015</t>
  </si>
  <si>
    <t>06/07/2016</t>
  </si>
  <si>
    <t>04/29/2016</t>
  </si>
  <si>
    <t>10/30/2015</t>
  </si>
  <si>
    <t>12/30/2015</t>
  </si>
  <si>
    <t>02/29/2016</t>
  </si>
  <si>
    <t>08/24/2015</t>
  </si>
  <si>
    <t>06/08/2015</t>
  </si>
  <si>
    <t>06/06/2016</t>
  </si>
  <si>
    <t>06/20/2016</t>
  </si>
  <si>
    <t>06/22/2016</t>
  </si>
  <si>
    <t>01/25/2016</t>
  </si>
  <si>
    <t>11/30/2015</t>
  </si>
  <si>
    <t>12/07/2015</t>
  </si>
  <si>
    <t>06/23/2016</t>
  </si>
  <si>
    <t>01/19/2016</t>
  </si>
  <si>
    <t>07/07/2016</t>
  </si>
  <si>
    <t>04/01/2016</t>
  </si>
  <si>
    <t>12/17/2015</t>
  </si>
  <si>
    <t>04/07/2015</t>
  </si>
  <si>
    <t>05/02/2016</t>
  </si>
  <si>
    <t>06/10/2016</t>
  </si>
  <si>
    <t>08/03/2015</t>
  </si>
  <si>
    <t>04/12/2016</t>
  </si>
  <si>
    <t>08/31/2015</t>
  </si>
  <si>
    <t>09/02/2015</t>
  </si>
  <si>
    <t>07/06/2015</t>
  </si>
  <si>
    <t>04/25/2016</t>
  </si>
  <si>
    <t>12/28/2015</t>
  </si>
  <si>
    <t>09/30/2015</t>
  </si>
  <si>
    <t>05/31/2016</t>
  </si>
  <si>
    <t>07/20/2015</t>
  </si>
  <si>
    <t>04/05/2016</t>
  </si>
  <si>
    <t>07/13/2015</t>
  </si>
  <si>
    <t>06/14/2016</t>
  </si>
  <si>
    <t>06/29/2015</t>
  </si>
  <si>
    <t>04/20/2016</t>
  </si>
  <si>
    <t>02/22/2016</t>
  </si>
  <si>
    <t>09/21/2015</t>
  </si>
  <si>
    <t>10/26/2015</t>
  </si>
  <si>
    <t>03/07/2016</t>
  </si>
  <si>
    <t>05/27/2016</t>
  </si>
  <si>
    <t>04/28/2016</t>
  </si>
  <si>
    <t>05/13/2015</t>
  </si>
  <si>
    <t>08/07/2015</t>
  </si>
  <si>
    <t>06/24/2016</t>
  </si>
  <si>
    <t>08/19/2016</t>
  </si>
  <si>
    <t>10/06/2016</t>
  </si>
  <si>
    <t>10/27/2016</t>
  </si>
  <si>
    <t>06/09/2016</t>
  </si>
  <si>
    <t>08/10/2016</t>
  </si>
  <si>
    <t>06/15/2016</t>
  </si>
  <si>
    <t>05/18/2016</t>
  </si>
  <si>
    <t>06/29/2016</t>
  </si>
  <si>
    <t>08/30/2016</t>
  </si>
  <si>
    <t>10/12/2016</t>
  </si>
  <si>
    <t>07/20/2016</t>
  </si>
  <si>
    <t>09/06/2016</t>
  </si>
  <si>
    <t>08/02/2016</t>
  </si>
  <si>
    <t>07/12/2016</t>
  </si>
  <si>
    <t>08/16/2016</t>
  </si>
  <si>
    <t>09/28/2016</t>
  </si>
  <si>
    <t>10/18/2016</t>
  </si>
  <si>
    <t>10/11/2016</t>
  </si>
  <si>
    <t>09/01/2016</t>
  </si>
  <si>
    <t>08/24/2016</t>
  </si>
  <si>
    <t>10/05/2016</t>
  </si>
  <si>
    <t>10/07/2015</t>
  </si>
  <si>
    <t>10/08/2015</t>
  </si>
  <si>
    <t>09/16/2015</t>
  </si>
  <si>
    <t>07/06/2016</t>
  </si>
  <si>
    <t>*PH502</t>
  </si>
  <si>
    <t>*0851FJ-1-AI</t>
  </si>
  <si>
    <t>*0856LU6-AI</t>
  </si>
  <si>
    <t>*PH500</t>
  </si>
  <si>
    <t>PITOT PROBE, HEATED, 24V</t>
  </si>
  <si>
    <t>PITOT PROBE, HEATED, 28V</t>
  </si>
  <si>
    <t>PITOT TUBE, ELEC HEATED, 28V</t>
  </si>
  <si>
    <t>PITOT PROBE, HEATED</t>
  </si>
  <si>
    <t>PITOT PROBE NICKEL PL ELECT</t>
  </si>
  <si>
    <t>PITOT TUBE (NICKEL PLATE)</t>
  </si>
  <si>
    <t>PITOT PROBE, HEATED, 115V</t>
  </si>
  <si>
    <t>TUBE, PITOT STATIC, 24VDC</t>
  </si>
  <si>
    <t>TUBE, PITOT-STATIC, STRAIGHT</t>
  </si>
  <si>
    <t>PITOT-STATIC PROBE, HEATED 12V</t>
  </si>
  <si>
    <t>PITOT-STATIC PROBE, HEATED 24V</t>
  </si>
  <si>
    <t>PITOT-STATIC,STRAIGHT TUBE 24V</t>
  </si>
  <si>
    <t>PITOT-STATIC PROBE, LEFT</t>
  </si>
  <si>
    <t>PITOT STATIC PROBE, DUAL STATIC</t>
  </si>
  <si>
    <t>PITOT TUBE, ELEC HEATED, 28VDC</t>
  </si>
  <si>
    <t>STATIC PORT, HEATED, 28VDC</t>
  </si>
  <si>
    <t>STATIC PORT,ELECT</t>
  </si>
  <si>
    <t>STATIC PORT, HEATED, 28V</t>
  </si>
  <si>
    <t>STATIC PORT, HEATED, 115V</t>
  </si>
  <si>
    <t>STATIC PORT, ELEC HEATED</t>
  </si>
  <si>
    <t>SLEEVE, HEATER ASSEMBLY, LEFT</t>
  </si>
  <si>
    <t>SLEEVE, HEATER ASSEMBLY RIGHT</t>
  </si>
  <si>
    <t>SLEEVE-HEATER ASSEMBLY</t>
  </si>
  <si>
    <t>HEATER ASSY, SMALL "L" TUBULAR</t>
  </si>
  <si>
    <t>HEATER ASSY, LARGE STRAIGHT</t>
  </si>
  <si>
    <t>HEATER ASSY, LARGE L CARTRIDGE</t>
  </si>
  <si>
    <t>HEATER ASSY, SMALL STRAIGHT</t>
  </si>
  <si>
    <t>HEATER TUBULAR MACH ASSY 24VDC</t>
  </si>
  <si>
    <t>HEATER ASSY, SMALL L TUBULAR</t>
  </si>
  <si>
    <t>HEATER ASSMBLY, SMALL STRAIGHT</t>
  </si>
  <si>
    <t>RECEPTACLE</t>
  </si>
  <si>
    <t>AN 818-4J SS  FITTING STAMPED</t>
  </si>
  <si>
    <t>KIT,INSTALLATION, 0856AE19-AI-LR</t>
  </si>
  <si>
    <t>INSULATED BUSHING, STRT</t>
  </si>
  <si>
    <t>STEM ASSEMBLY</t>
  </si>
  <si>
    <t>STEM SUBASSEMBLY (LEFT SIDE)</t>
  </si>
  <si>
    <t>STEM SUBASSEMBLY (RIGHT SIDE)</t>
  </si>
  <si>
    <t>STEM SUB ASSEMBLY</t>
  </si>
  <si>
    <t>STEM ASSEMBLY HOSE, BARB</t>
  </si>
  <si>
    <t>WIRE ASSEMBLY</t>
  </si>
  <si>
    <t>WIRE, ASSEMBLY</t>
  </si>
  <si>
    <t>PROBE, PITOT</t>
  </si>
  <si>
    <t>PITOT-STATIC PROBE, RIGHT</t>
  </si>
  <si>
    <t>PROBE, PITOT PRESSURE</t>
  </si>
  <si>
    <t>PITOT PROBE ELECTICALLY HEATED</t>
  </si>
  <si>
    <t>PROBE, PITOT-STATIC</t>
  </si>
  <si>
    <t>DUAL STATIC PITOT PROBE</t>
  </si>
  <si>
    <t>PROBE, PITOT-STATIC ASSEMBLY</t>
  </si>
  <si>
    <t>CLOSED</t>
  </si>
  <si>
    <t>M20</t>
  </si>
  <si>
    <t>M21</t>
  </si>
  <si>
    <t>M30</t>
  </si>
  <si>
    <t>REPAIRS</t>
  </si>
  <si>
    <t>WAR</t>
  </si>
  <si>
    <t>AET02</t>
  </si>
  <si>
    <t>9040FI</t>
  </si>
  <si>
    <t>AET03</t>
  </si>
  <si>
    <t>R</t>
  </si>
  <si>
    <t>Q</t>
  </si>
  <si>
    <t>K</t>
  </si>
  <si>
    <t>P</t>
  </si>
  <si>
    <t>J</t>
  </si>
  <si>
    <t>M</t>
  </si>
  <si>
    <t>L</t>
  </si>
  <si>
    <t>E</t>
  </si>
  <si>
    <t>G</t>
  </si>
  <si>
    <t>N</t>
  </si>
  <si>
    <t>D</t>
  </si>
  <si>
    <t>H</t>
  </si>
  <si>
    <t>F</t>
  </si>
  <si>
    <t>A</t>
  </si>
  <si>
    <t>C</t>
  </si>
  <si>
    <t>T</t>
  </si>
  <si>
    <t>U</t>
  </si>
  <si>
    <t>~</t>
  </si>
  <si>
    <t>B</t>
  </si>
  <si>
    <t>80077227-04  2209103</t>
  </si>
  <si>
    <t>80076837-02  A2234</t>
  </si>
  <si>
    <t>REWORK</t>
  </si>
  <si>
    <t>Rework</t>
  </si>
  <si>
    <t>ENG BUILD JUSTIN 071116</t>
  </si>
  <si>
    <t>PULL-IN FY2016</t>
  </si>
  <si>
    <t>CHRIS FC 1255</t>
  </si>
  <si>
    <t>rework</t>
  </si>
  <si>
    <t>FROM 50178028</t>
  </si>
  <si>
    <t>RMA W/O</t>
  </si>
  <si>
    <t>from M930130</t>
  </si>
  <si>
    <t>RE-EVALUATION</t>
  </si>
  <si>
    <t>FROM 50177913</t>
  </si>
  <si>
    <t>80078068 REPLACEMENT SN</t>
  </si>
  <si>
    <t>eng build</t>
  </si>
  <si>
    <t>Eng. Request</t>
  </si>
  <si>
    <t>Eng Shop Order</t>
  </si>
  <si>
    <t>CHRIS FC 1253</t>
  </si>
  <si>
    <t>CHRIS FC 1254</t>
  </si>
  <si>
    <t>80077355-04  173281</t>
  </si>
  <si>
    <t>80077444-04   A0112</t>
  </si>
  <si>
    <t>80077267  /  A1733</t>
  </si>
  <si>
    <t>80077266  /  A1825</t>
  </si>
  <si>
    <t>From M950620</t>
  </si>
  <si>
    <t>FROM 50178301</t>
  </si>
  <si>
    <t>from M937890</t>
  </si>
  <si>
    <t>FROM M909440</t>
  </si>
  <si>
    <t>S</t>
  </si>
  <si>
    <t>7/7/16 MS</t>
  </si>
  <si>
    <t>6/27/16 MKC</t>
  </si>
  <si>
    <t>7/11/16 MKC</t>
  </si>
  <si>
    <t>6/15/16 MKC</t>
  </si>
  <si>
    <t>5/19/16 MS</t>
  </si>
  <si>
    <t>6/29/16 MS</t>
  </si>
  <si>
    <t>7/11/16 MS</t>
  </si>
  <si>
    <t>5/31/16 MS</t>
  </si>
  <si>
    <t>7/5/16 MS</t>
  </si>
  <si>
    <t>5/11/16 MS</t>
  </si>
  <si>
    <t>5/19/16 MKC</t>
  </si>
  <si>
    <t>4/27/16 MS</t>
  </si>
  <si>
    <t>6/21/16 MS</t>
  </si>
  <si>
    <t>5/26/16</t>
  </si>
  <si>
    <t>6/16/16 MS</t>
  </si>
  <si>
    <t>4/1/16 MS</t>
  </si>
  <si>
    <t>5/18/16 MS</t>
  </si>
  <si>
    <t>7/23/15 MS</t>
  </si>
  <si>
    <t>4/29/16 MS</t>
  </si>
  <si>
    <t>6/13/16 MS</t>
  </si>
  <si>
    <t>7/6/15 MS</t>
  </si>
  <si>
    <t>s</t>
  </si>
  <si>
    <t>7/14/16 MS</t>
  </si>
  <si>
    <t>6/30/16 MKC</t>
  </si>
  <si>
    <t>7/12/16 MS</t>
  </si>
  <si>
    <t>3/22/16 MS</t>
  </si>
  <si>
    <t>7/13/15 MS</t>
  </si>
  <si>
    <t>6/10/16 MS</t>
  </si>
  <si>
    <t>9/15/15 MS</t>
  </si>
  <si>
    <t>6/22/16 MS</t>
  </si>
  <si>
    <t>7/1/15 MKC-KIT</t>
  </si>
  <si>
    <t>wfm</t>
  </si>
  <si>
    <t>rework/re-evaluation</t>
  </si>
  <si>
    <t>wfm H-SL851HT</t>
  </si>
  <si>
    <t>Sum of Qty_Due</t>
  </si>
  <si>
    <t>Ship date</t>
  </si>
  <si>
    <t>Qty Due</t>
  </si>
  <si>
    <t>Start:</t>
  </si>
  <si>
    <t>End:</t>
  </si>
  <si>
    <t>7/18/16 MS</t>
  </si>
  <si>
    <t>7/18/16 MKC</t>
  </si>
  <si>
    <t>7/19/16 MS</t>
  </si>
  <si>
    <t>Level Load Analysis</t>
  </si>
  <si>
    <t>Build</t>
  </si>
  <si>
    <t>Braze</t>
  </si>
  <si>
    <t>Ship</t>
  </si>
  <si>
    <t>Item</t>
  </si>
  <si>
    <t>Last Refresh:</t>
  </si>
  <si>
    <t>10/26/2016</t>
  </si>
  <si>
    <t>09/07/2016</t>
  </si>
  <si>
    <t>7/19/16 MKC</t>
  </si>
  <si>
    <t>06/01/2015</t>
  </si>
  <si>
    <t>07/19/2016</t>
  </si>
  <si>
    <t>ST28-NRA</t>
  </si>
  <si>
    <t>ST520-2DH</t>
  </si>
  <si>
    <t>STATIC PORT, (NON HEATED)</t>
  </si>
  <si>
    <t>SLEEVE, HEATED ASSEMBLY</t>
  </si>
  <si>
    <t>STK</t>
  </si>
  <si>
    <t>DMR #115167 RWK SAI</t>
  </si>
  <si>
    <t>DMR #115169 RWK SAI</t>
  </si>
  <si>
    <t>ANO 7/22</t>
  </si>
  <si>
    <t>7/22/16 Mary L</t>
  </si>
  <si>
    <t>7/6/16</t>
  </si>
  <si>
    <t>7/8/15 MS</t>
  </si>
  <si>
    <t>7/22/16  Mary L</t>
  </si>
  <si>
    <t>7/22/16 ML</t>
  </si>
  <si>
    <t>Wind tunnel</t>
  </si>
  <si>
    <t>Testing</t>
  </si>
  <si>
    <t>Inspection</t>
  </si>
  <si>
    <t>Additional LT</t>
  </si>
  <si>
    <t>Not in production</t>
  </si>
  <si>
    <t>HA502-BKC</t>
  </si>
  <si>
    <t>MC817</t>
  </si>
  <si>
    <t>SL502-BK</t>
  </si>
  <si>
    <t>Lead time table</t>
  </si>
  <si>
    <t>FROM 50172281</t>
  </si>
  <si>
    <t>(blank)</t>
  </si>
  <si>
    <t/>
  </si>
  <si>
    <t>09/20/2016</t>
  </si>
  <si>
    <t>STATIC PORT,ELEC HEATED,28VDC</t>
  </si>
  <si>
    <t>STEM SUB-ASSEMBLY</t>
  </si>
  <si>
    <t>DAVE T.</t>
  </si>
  <si>
    <t>Dave T</t>
  </si>
  <si>
    <t>7/27/16  DAVE T</t>
  </si>
  <si>
    <t>7/27/16  Dave T</t>
  </si>
  <si>
    <t>Week 1</t>
  </si>
  <si>
    <t>Week 2</t>
  </si>
  <si>
    <t>Week 3</t>
  </si>
  <si>
    <t>Week 4</t>
  </si>
  <si>
    <t>Week 5</t>
  </si>
  <si>
    <t>September</t>
  </si>
  <si>
    <t>Week 6</t>
  </si>
  <si>
    <t>Week 7</t>
  </si>
  <si>
    <t>Week 8</t>
  </si>
  <si>
    <t>Week 9</t>
  </si>
  <si>
    <t>Week 10</t>
  </si>
  <si>
    <t>Week 11</t>
  </si>
  <si>
    <t>Qty</t>
  </si>
  <si>
    <t>Days</t>
  </si>
  <si>
    <t>October</t>
  </si>
  <si>
    <t>1</t>
  </si>
  <si>
    <t>Level load</t>
  </si>
  <si>
    <t>Lead time</t>
  </si>
  <si>
    <t>Safety stock</t>
  </si>
  <si>
    <t>Delinquent</t>
  </si>
  <si>
    <t>09/16/2016</t>
  </si>
  <si>
    <t>6/27/16 MS</t>
  </si>
  <si>
    <t>SS</t>
  </si>
  <si>
    <t>Dan</t>
  </si>
  <si>
    <t>Plating</t>
  </si>
  <si>
    <t>Operator</t>
  </si>
  <si>
    <t>9</t>
  </si>
  <si>
    <t>(All)</t>
  </si>
  <si>
    <t>Rate</t>
  </si>
  <si>
    <t>2nd Workstation</t>
  </si>
  <si>
    <t>3rd Workstation</t>
  </si>
  <si>
    <t>W1 Hours</t>
  </si>
  <si>
    <t>W2 Hours</t>
  </si>
  <si>
    <t>W3 Hours</t>
  </si>
  <si>
    <t>W4 Hours</t>
  </si>
  <si>
    <t>Est. Total Hours of Work</t>
  </si>
  <si>
    <t>August</t>
  </si>
  <si>
    <t>06/21/2016</t>
  </si>
  <si>
    <t>7</t>
  </si>
  <si>
    <t>2</t>
  </si>
  <si>
    <t>-99.999</t>
  </si>
  <si>
    <t>Cur date</t>
  </si>
  <si>
    <t>22.5</t>
  </si>
  <si>
    <t>08/17/2016</t>
  </si>
  <si>
    <t>17</t>
  </si>
  <si>
    <t>TUBE, PRESSURE, ASSEMBLY</t>
  </si>
  <si>
    <t>6.667</t>
  </si>
  <si>
    <t>21</t>
  </si>
  <si>
    <t>0.667</t>
  </si>
  <si>
    <t>6</t>
  </si>
  <si>
    <t>LL</t>
  </si>
  <si>
    <t>SS % decrease</t>
  </si>
  <si>
    <t>4.167</t>
  </si>
  <si>
    <t>14</t>
  </si>
  <si>
    <t>3.5</t>
  </si>
  <si>
    <t>19</t>
  </si>
  <si>
    <t>10.5</t>
  </si>
  <si>
    <t>4.667</t>
  </si>
  <si>
    <t>01/09/2017</t>
  </si>
  <si>
    <t>04/10/2017</t>
  </si>
  <si>
    <t>11/28/2016</t>
  </si>
  <si>
    <t>01/31/2022</t>
  </si>
  <si>
    <t>10/15/2015</t>
  </si>
  <si>
    <t>05/23/2016</t>
  </si>
  <si>
    <t>01/06/2016</t>
  </si>
  <si>
    <t>05/12/2016</t>
  </si>
  <si>
    <t>05/16/2016</t>
  </si>
  <si>
    <t>03/23/2017</t>
  </si>
  <si>
    <t>06/16/2016</t>
  </si>
  <si>
    <t>05/25/2016</t>
  </si>
  <si>
    <t>05/26/2016</t>
  </si>
  <si>
    <t>06/02/2016</t>
  </si>
  <si>
    <t>05/09/2016</t>
  </si>
  <si>
    <t>06/08/2016</t>
  </si>
  <si>
    <t>06/13/2016</t>
  </si>
  <si>
    <t>06/01/2016</t>
  </si>
  <si>
    <t>08/03/2016</t>
  </si>
  <si>
    <t>05/24/2016</t>
  </si>
  <si>
    <t>05/17/2016</t>
  </si>
  <si>
    <t>04/09/2015</t>
  </si>
  <si>
    <t>PITOT PROBE, HEATED, 12V</t>
  </si>
  <si>
    <t>HEATER ASSY, SMALL L CARTRIDGE</t>
  </si>
  <si>
    <t>27.25</t>
  </si>
  <si>
    <t>6.571</t>
  </si>
  <si>
    <t>18</t>
  </si>
  <si>
    <t>1.333</t>
  </si>
  <si>
    <t>5.5</t>
  </si>
  <si>
    <t>30</t>
  </si>
  <si>
    <t>3.6</t>
  </si>
  <si>
    <t>3.667</t>
  </si>
  <si>
    <t>10.6</t>
  </si>
  <si>
    <t>4</t>
  </si>
  <si>
    <t>11.667</t>
  </si>
  <si>
    <t>15.667</t>
  </si>
  <si>
    <t>17.667</t>
  </si>
  <si>
    <t>13.333</t>
  </si>
  <si>
    <t>53</t>
  </si>
  <si>
    <t>10.667</t>
  </si>
  <si>
    <t>12.8</t>
  </si>
  <si>
    <t>23.75</t>
  </si>
  <si>
    <t>31.5</t>
  </si>
  <si>
    <t>12</t>
  </si>
  <si>
    <t>36</t>
  </si>
  <si>
    <t>56</t>
  </si>
  <si>
    <t>36.333</t>
  </si>
  <si>
    <t>21.333</t>
  </si>
  <si>
    <t>12.25</t>
  </si>
  <si>
    <t>7.875</t>
  </si>
  <si>
    <t>31.667</t>
  </si>
  <si>
    <t>47.5</t>
  </si>
  <si>
    <t>1.571</t>
  </si>
  <si>
    <t>11.5</t>
  </si>
  <si>
    <t>8.571</t>
  </si>
  <si>
    <t>8.333</t>
  </si>
  <si>
    <t>32</t>
  </si>
  <si>
    <t>16</t>
  </si>
  <si>
    <t>6.4</t>
  </si>
  <si>
    <t>-2.5</t>
  </si>
  <si>
    <t>-0.429</t>
  </si>
  <si>
    <t>-0.286</t>
  </si>
  <si>
    <t>4.857</t>
  </si>
  <si>
    <t>-3</t>
  </si>
  <si>
    <t>1.789</t>
  </si>
  <si>
    <t>3.294</t>
  </si>
  <si>
    <t>5.765</t>
  </si>
  <si>
    <t>6.824</t>
  </si>
  <si>
    <t>2.462</t>
  </si>
  <si>
    <t>4.308</t>
  </si>
  <si>
    <t>5.769</t>
  </si>
  <si>
    <t>11.25</t>
  </si>
  <si>
    <t>12.5</t>
  </si>
  <si>
    <t>61.5</t>
  </si>
  <si>
    <t>7.571</t>
  </si>
  <si>
    <t>1.684</t>
  </si>
  <si>
    <t>5.278</t>
  </si>
  <si>
    <t>5.4</t>
  </si>
  <si>
    <t>10</t>
  </si>
  <si>
    <t>22.143</t>
  </si>
  <si>
    <t>25.833</t>
  </si>
  <si>
    <t>-10</t>
  </si>
  <si>
    <t>-1.111</t>
  </si>
  <si>
    <t>-0.875</t>
  </si>
  <si>
    <t>1.129</t>
  </si>
  <si>
    <t>-1.4</t>
  </si>
  <si>
    <t>1.4</t>
  </si>
  <si>
    <t>2.267</t>
  </si>
  <si>
    <t>0.7</t>
  </si>
  <si>
    <t>64</t>
  </si>
  <si>
    <t>0.458</t>
  </si>
  <si>
    <t>RTN</t>
  </si>
  <si>
    <t>DT42</t>
  </si>
  <si>
    <t>TRANSFERED FROM 50179470</t>
  </si>
  <si>
    <t>FROM 50179607</t>
  </si>
  <si>
    <t>r/w strip/plt 9/24</t>
  </si>
  <si>
    <t>CHRIS FC 1256</t>
  </si>
  <si>
    <t>SPLIT FROM 50177926</t>
  </si>
  <si>
    <t>FROM 50180203</t>
  </si>
  <si>
    <t>MULTI RMA</t>
  </si>
  <si>
    <t>MUHAMED</t>
  </si>
  <si>
    <t>FROM 50178609</t>
  </si>
  <si>
    <t>5/17/16 MS</t>
  </si>
  <si>
    <t>6/9/16 MKC</t>
  </si>
  <si>
    <t>6/10/16 MKC</t>
  </si>
  <si>
    <t>7/7/16 MKC</t>
  </si>
  <si>
    <t>7/6/16 MKC</t>
  </si>
  <si>
    <t>7/13/16 MS</t>
  </si>
  <si>
    <t>7/16/18 MS</t>
  </si>
  <si>
    <t>6/2/16 MS</t>
  </si>
  <si>
    <t>7/16/16 MKC</t>
  </si>
  <si>
    <t>6/9/16 MS</t>
  </si>
  <si>
    <t>6/15/16 MS</t>
  </si>
  <si>
    <t>7/23/16 MaryL</t>
  </si>
  <si>
    <t>7/13/16 MKC</t>
  </si>
  <si>
    <t>5/24/16 MKC</t>
  </si>
  <si>
    <t>6/1/16 MKC</t>
  </si>
  <si>
    <t>5/17/16 MKC</t>
  </si>
  <si>
    <t>5/14/16 MKC</t>
  </si>
  <si>
    <t>10/7/15 MS</t>
  </si>
  <si>
    <t>7/20/16 MS</t>
  </si>
  <si>
    <t>7/27/16 MS</t>
  </si>
  <si>
    <t>7/23/16 Mary L</t>
  </si>
  <si>
    <t>6/29/16</t>
  </si>
  <si>
    <t>7/19/16</t>
  </si>
  <si>
    <t>6/24/16 MS</t>
  </si>
  <si>
    <t>2/24/16 MS</t>
  </si>
  <si>
    <t>6/8/16 MKC</t>
  </si>
  <si>
    <t>6/21/16 MUHAMED</t>
  </si>
  <si>
    <t>7/11/16</t>
  </si>
  <si>
    <t>7/22/16 MaryL</t>
  </si>
  <si>
    <t>5/12/16 MD</t>
  </si>
  <si>
    <t>5/23/16 MS</t>
  </si>
  <si>
    <t>6/1/16</t>
  </si>
  <si>
    <t>7/22/16  MS</t>
  </si>
  <si>
    <t>6/13/16 MKC</t>
  </si>
  <si>
    <t>6/29/16 MKC</t>
  </si>
  <si>
    <t>4/20/16 MS</t>
  </si>
  <si>
    <t>4/26/16 MS</t>
  </si>
  <si>
    <t>5/2/16 MS</t>
  </si>
  <si>
    <t>Don L 7-21-16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</si>
</sst>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MS Sans Serif"/>
      <family val="2"/>
    </font>
    <font>
      <sz val="9"/>
      <name val="MS Sans Serif"/>
      <family val="2"/>
    </font>
    <font>
      <sz val="10"/>
      <name val="MS Sans Serif"/>
      <family val="2"/>
    </font>
    <font>
      <b/>
      <sz val="11"/>
      <color rgb="FFFFFF00"/>
      <name val="Calibri"/>
      <family val="2"/>
      <scheme val="minor"/>
    </font>
    <font>
      <b/>
      <sz val="10"/>
      <color rgb="FFFFFF00"/>
      <name val="Helvetica"/>
      <family val="2"/>
    </font>
    <font>
      <sz val="9"/>
      <color theme="1"/>
      <name val="Helvetica"/>
      <family val="2"/>
    </font>
    <font>
      <b/>
      <sz val="9"/>
      <color theme="0" tint="-4.9989318521683403E-2"/>
      <name val="MS Sans Serif"/>
      <family val="2"/>
    </font>
    <font>
      <sz val="11"/>
      <name val="Calibri"/>
      <family val="2"/>
      <scheme val="minor"/>
    </font>
    <font>
      <b/>
      <sz val="10"/>
      <color rgb="FFFFFF00"/>
      <name val="MS Sans Serif"/>
      <family val="2"/>
    </font>
    <font>
      <sz val="10"/>
      <color rgb="FFFFFF00"/>
      <name val="MS Sans Serif"/>
      <family val="2"/>
    </font>
    <font>
      <sz val="10"/>
      <color theme="0" tint="-4.9989318521683403E-2"/>
      <name val="MS Sans Serif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Verdana"/>
      <family val="2"/>
    </font>
    <font>
      <b/>
      <sz val="10"/>
      <name val="Helvetica"/>
      <family val="2"/>
    </font>
    <font>
      <b/>
      <sz val="12"/>
      <color theme="0"/>
      <name val="Calibri"/>
      <family val="2"/>
      <scheme val="minor"/>
    </font>
    <font>
      <sz val="10"/>
      <name val="Helvetica"/>
      <family val="2"/>
    </font>
    <font>
      <sz val="10"/>
      <color theme="1"/>
      <name val="Helvetica"/>
      <family val="2"/>
    </font>
    <font>
      <sz val="10"/>
      <name val="Calibri"/>
      <family val="2"/>
      <scheme val="minor"/>
    </font>
    <font>
      <b/>
      <sz val="12"/>
      <name val="Helvetica"/>
      <family val="2"/>
    </font>
    <font>
      <sz val="9"/>
      <name val="Helvetica"/>
      <family val="2"/>
    </font>
    <font>
      <sz val="9"/>
      <color indexed="8"/>
      <name val="Helvetica"/>
      <family val="2"/>
    </font>
    <font>
      <b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Alignment="0">
      <alignment vertical="top" wrapText="1"/>
      <protection locked="0"/>
    </xf>
    <xf numFmtId="0" fontId="4" fillId="0" borderId="0" applyAlignment="0">
      <alignment vertical="top" wrapText="1"/>
      <protection locked="0"/>
    </xf>
  </cellStyleXfs>
  <cellXfs count="18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4" fontId="9" fillId="3" borderId="2" xfId="0" applyNumberFormat="1" applyFont="1" applyFill="1" applyBorder="1" applyAlignment="1" applyProtection="1">
      <alignment horizontal="center" vertical="top"/>
    </xf>
    <xf numFmtId="14" fontId="5" fillId="4" borderId="3" xfId="0" applyNumberFormat="1" applyFont="1" applyFill="1" applyBorder="1" applyAlignment="1" applyProtection="1">
      <alignment horizontal="left" vertical="top"/>
      <protection locked="0"/>
    </xf>
    <xf numFmtId="0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6" fillId="3" borderId="0" xfId="0" applyNumberFormat="1" applyFont="1" applyFill="1" applyAlignment="1">
      <alignment horizontal="center"/>
    </xf>
    <xf numFmtId="14" fontId="0" fillId="0" borderId="0" xfId="0" pivotButton="1" applyNumberFormat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14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textRotation="90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5" fillId="0" borderId="0" xfId="1" applyFont="1" applyAlignment="1" applyProtection="1">
      <alignment horizontal="left" vertical="top"/>
    </xf>
    <xf numFmtId="0" fontId="5" fillId="0" borderId="0" xfId="1" applyFont="1" applyFill="1" applyBorder="1" applyAlignment="1" applyProtection="1">
      <alignment horizontal="left" vertical="center"/>
    </xf>
    <xf numFmtId="0" fontId="3" fillId="0" borderId="0" xfId="1" applyFont="1" applyFill="1" applyAlignment="1" applyProtection="1">
      <alignment horizontal="center" vertical="top"/>
    </xf>
    <xf numFmtId="0" fontId="3" fillId="0" borderId="0" xfId="1" applyFont="1" applyFill="1" applyBorder="1" applyAlignment="1" applyProtection="1">
      <alignment horizontal="center" vertical="top"/>
    </xf>
    <xf numFmtId="0" fontId="3" fillId="0" borderId="0" xfId="1" applyBorder="1" applyAlignment="1" applyProtection="1">
      <alignment horizontal="center" vertical="top"/>
      <protection locked="0"/>
    </xf>
    <xf numFmtId="0" fontId="3" fillId="0" borderId="0" xfId="1" applyAlignment="1" applyProtection="1">
      <alignment horizontal="center" vertical="top"/>
      <protection locked="0"/>
    </xf>
    <xf numFmtId="0" fontId="3" fillId="0" borderId="0" xfId="1" applyAlignment="1">
      <alignment vertical="top"/>
      <protection locked="0"/>
    </xf>
    <xf numFmtId="0" fontId="3" fillId="0" borderId="0" xfId="1" applyBorder="1" applyAlignment="1">
      <alignment vertical="top"/>
      <protection locked="0"/>
    </xf>
    <xf numFmtId="0" fontId="11" fillId="3" borderId="0" xfId="1" applyFont="1" applyFill="1" applyBorder="1" applyAlignment="1" applyProtection="1">
      <alignment horizontal="center" vertical="top"/>
    </xf>
    <xf numFmtId="0" fontId="11" fillId="3" borderId="0" xfId="1" applyFont="1" applyFill="1" applyBorder="1" applyAlignment="1" applyProtection="1">
      <alignment horizontal="center" vertical="center"/>
    </xf>
    <xf numFmtId="0" fontId="12" fillId="3" borderId="0" xfId="1" applyFont="1" applyFill="1" applyBorder="1" applyAlignment="1" applyProtection="1">
      <alignment horizontal="center" vertical="top"/>
      <protection locked="0"/>
    </xf>
    <xf numFmtId="0" fontId="13" fillId="3" borderId="0" xfId="1" applyFont="1" applyFill="1" applyBorder="1" applyAlignment="1" applyProtection="1">
      <alignment horizontal="center" vertical="top"/>
      <protection locked="0"/>
    </xf>
    <xf numFmtId="0" fontId="5" fillId="0" borderId="0" xfId="1" applyFont="1" applyAlignment="1">
      <alignment vertical="top"/>
      <protection locked="0"/>
    </xf>
    <xf numFmtId="0" fontId="5" fillId="0" borderId="0" xfId="1" applyFont="1" applyBorder="1" applyAlignment="1">
      <alignment horizontal="left" vertical="center"/>
      <protection locked="0"/>
    </xf>
    <xf numFmtId="0" fontId="3" fillId="0" borderId="0" xfId="1" applyBorder="1" applyAlignment="1">
      <alignment horizontal="center" vertical="top"/>
      <protection locked="0"/>
    </xf>
    <xf numFmtId="0" fontId="3" fillId="0" borderId="0" xfId="1" applyAlignment="1">
      <alignment horizontal="center" vertical="top"/>
      <protection locked="0"/>
    </xf>
    <xf numFmtId="0" fontId="0" fillId="0" borderId="0" xfId="0" pivotButton="1" applyAlignment="1">
      <alignment horizontal="left"/>
    </xf>
    <xf numFmtId="14" fontId="10" fillId="0" borderId="0" xfId="0" applyNumberFormat="1" applyFont="1" applyFill="1" applyBorder="1" applyAlignment="1">
      <alignment horizontal="center" textRotation="90"/>
    </xf>
    <xf numFmtId="14" fontId="0" fillId="0" borderId="0" xfId="0" applyNumberFormat="1" applyFill="1" applyBorder="1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14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4" fontId="10" fillId="12" borderId="14" xfId="0" applyNumberFormat="1" applyFont="1" applyFill="1" applyBorder="1" applyAlignment="1">
      <alignment horizontal="center" textRotation="90"/>
    </xf>
    <xf numFmtId="14" fontId="10" fillId="12" borderId="18" xfId="0" applyNumberFormat="1" applyFont="1" applyFill="1" applyBorder="1" applyAlignment="1">
      <alignment horizontal="center" textRotation="90"/>
    </xf>
    <xf numFmtId="14" fontId="0" fillId="0" borderId="0" xfId="0" applyNumberFormat="1" applyFill="1" applyBorder="1" applyAlignment="1">
      <alignment horizontal="center" textRotation="90"/>
    </xf>
    <xf numFmtId="14" fontId="10" fillId="12" borderId="19" xfId="0" applyNumberFormat="1" applyFont="1" applyFill="1" applyBorder="1" applyAlignment="1">
      <alignment horizontal="center" textRotation="90"/>
    </xf>
    <xf numFmtId="0" fontId="8" fillId="11" borderId="20" xfId="0" applyFont="1" applyFill="1" applyBorder="1" applyAlignment="1">
      <alignment horizontal="left" vertical="center"/>
    </xf>
    <xf numFmtId="0" fontId="8" fillId="6" borderId="25" xfId="0" applyFont="1" applyFill="1" applyBorder="1" applyAlignment="1">
      <alignment horizontal="left" vertical="center"/>
    </xf>
    <xf numFmtId="0" fontId="8" fillId="9" borderId="25" xfId="0" applyFont="1" applyFill="1" applyBorder="1" applyAlignment="1">
      <alignment horizontal="left" vertical="center"/>
    </xf>
    <xf numFmtId="0" fontId="8" fillId="7" borderId="25" xfId="0" applyFont="1" applyFill="1" applyBorder="1" applyAlignment="1">
      <alignment horizontal="left" vertical="center"/>
    </xf>
    <xf numFmtId="0" fontId="15" fillId="0" borderId="0" xfId="0" applyFont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17" fillId="2" borderId="4" xfId="0" applyNumberFormat="1" applyFont="1" applyFill="1" applyBorder="1" applyAlignment="1">
      <alignment horizontal="center" vertical="center"/>
    </xf>
    <xf numFmtId="0" fontId="7" fillId="16" borderId="27" xfId="0" applyFont="1" applyFill="1" applyBorder="1" applyAlignment="1" applyProtection="1">
      <alignment horizontal="center" vertical="center"/>
      <protection locked="0"/>
    </xf>
    <xf numFmtId="0" fontId="7" fillId="16" borderId="5" xfId="0" applyFont="1" applyFill="1" applyBorder="1" applyAlignment="1" applyProtection="1">
      <alignment horizontal="center" vertical="center"/>
      <protection locked="0"/>
    </xf>
    <xf numFmtId="0" fontId="7" fillId="16" borderId="27" xfId="0" applyNumberFormat="1" applyFont="1" applyFill="1" applyBorder="1" applyAlignment="1">
      <alignment horizontal="center" vertical="center"/>
    </xf>
    <xf numFmtId="0" fontId="7" fillId="16" borderId="27" xfId="0" applyFont="1" applyFill="1" applyBorder="1" applyAlignment="1">
      <alignment horizontal="center" vertical="center"/>
    </xf>
    <xf numFmtId="0" fontId="7" fillId="16" borderId="26" xfId="0" applyFont="1" applyFill="1" applyBorder="1" applyAlignment="1">
      <alignment horizontal="center" vertical="center"/>
    </xf>
    <xf numFmtId="0" fontId="7" fillId="16" borderId="7" xfId="0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NumberFormat="1" applyFont="1" applyFill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center"/>
    </xf>
    <xf numFmtId="0" fontId="19" fillId="0" borderId="0" xfId="1" applyNumberFormat="1" applyFont="1" applyFill="1" applyBorder="1" applyAlignment="1" applyProtection="1">
      <alignment horizontal="left" vertical="top"/>
    </xf>
    <xf numFmtId="0" fontId="20" fillId="0" borderId="0" xfId="0" applyFont="1" applyFill="1" applyBorder="1"/>
    <xf numFmtId="0" fontId="20" fillId="0" borderId="0" xfId="0" applyFont="1" applyBorder="1"/>
    <xf numFmtId="0" fontId="21" fillId="0" borderId="0" xfId="1" applyNumberFormat="1" applyFont="1" applyFill="1" applyBorder="1" applyAlignment="1" applyProtection="1">
      <alignment horizontal="center" vertical="top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0" xfId="0" applyFont="1"/>
    <xf numFmtId="0" fontId="0" fillId="0" borderId="0" xfId="0" applyNumberFormat="1" applyFont="1" applyAlignment="1">
      <alignment horizontal="center"/>
    </xf>
    <xf numFmtId="0" fontId="18" fillId="3" borderId="8" xfId="0" applyNumberFormat="1" applyFont="1" applyFill="1" applyBorder="1" applyAlignment="1">
      <alignment horizontal="center"/>
    </xf>
    <xf numFmtId="14" fontId="18" fillId="3" borderId="1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2" fillId="15" borderId="31" xfId="0" applyNumberFormat="1" applyFont="1" applyFill="1" applyBorder="1" applyAlignment="1">
      <alignment horizontal="center" vertical="center"/>
    </xf>
    <xf numFmtId="0" fontId="23" fillId="4" borderId="8" xfId="1" applyFont="1" applyFill="1" applyBorder="1" applyAlignment="1" applyProtection="1">
      <alignment horizontal="left" vertical="center"/>
      <protection locked="0"/>
    </xf>
    <xf numFmtId="0" fontId="23" fillId="4" borderId="0" xfId="1" applyFont="1" applyFill="1" applyBorder="1" applyAlignment="1" applyProtection="1">
      <alignment horizontal="left" vertical="center"/>
      <protection locked="0"/>
    </xf>
    <xf numFmtId="0" fontId="23" fillId="4" borderId="7" xfId="1" applyFont="1" applyFill="1" applyBorder="1" applyAlignment="1" applyProtection="1">
      <alignment horizontal="left" vertical="top"/>
      <protection locked="0"/>
    </xf>
    <xf numFmtId="0" fontId="23" fillId="4" borderId="6" xfId="1" applyFont="1" applyFill="1" applyBorder="1" applyAlignment="1" applyProtection="1">
      <alignment horizontal="left" vertical="top"/>
      <protection locked="0"/>
    </xf>
    <xf numFmtId="0" fontId="24" fillId="4" borderId="0" xfId="1" applyFont="1" applyFill="1" applyBorder="1" applyAlignment="1" applyProtection="1">
      <alignment horizontal="left" vertical="center"/>
      <protection locked="0"/>
    </xf>
    <xf numFmtId="0" fontId="23" fillId="4" borderId="6" xfId="1" applyFont="1" applyFill="1" applyBorder="1" applyAlignment="1" applyProtection="1">
      <alignment vertical="top"/>
      <protection locked="0"/>
    </xf>
    <xf numFmtId="0" fontId="23" fillId="4" borderId="6" xfId="1" applyNumberFormat="1" applyFont="1" applyFill="1" applyBorder="1" applyAlignment="1" applyProtection="1">
      <alignment horizontal="left" vertical="top"/>
    </xf>
    <xf numFmtId="0" fontId="23" fillId="4" borderId="0" xfId="1" applyFont="1" applyFill="1" applyBorder="1" applyAlignment="1" applyProtection="1">
      <alignment horizontal="left" vertical="top"/>
      <protection locked="0"/>
    </xf>
    <xf numFmtId="0" fontId="23" fillId="4" borderId="12" xfId="1" applyFont="1" applyFill="1" applyBorder="1" applyAlignment="1" applyProtection="1">
      <alignment vertical="top"/>
      <protection locked="0"/>
    </xf>
    <xf numFmtId="0" fontId="23" fillId="4" borderId="1" xfId="1" applyFont="1" applyFill="1" applyBorder="1" applyAlignment="1" applyProtection="1">
      <alignment horizontal="left" vertical="center"/>
      <protection locked="0"/>
    </xf>
    <xf numFmtId="0" fontId="0" fillId="4" borderId="8" xfId="0" applyFont="1" applyFill="1" applyBorder="1" applyAlignment="1" applyProtection="1">
      <alignment horizontal="center" vertical="top"/>
      <protection locked="0"/>
    </xf>
    <xf numFmtId="0" fontId="0" fillId="4" borderId="0" xfId="0" applyFont="1" applyFill="1" applyBorder="1" applyAlignment="1" applyProtection="1">
      <alignment horizontal="center" vertical="top"/>
      <protection locked="0"/>
    </xf>
    <xf numFmtId="0" fontId="10" fillId="4" borderId="0" xfId="1" applyFont="1" applyFill="1" applyBorder="1" applyAlignment="1" applyProtection="1">
      <alignment horizontal="center" vertical="top"/>
      <protection locked="0"/>
    </xf>
    <xf numFmtId="0" fontId="10" fillId="0" borderId="28" xfId="1" applyFont="1" applyBorder="1" applyAlignment="1" applyProtection="1">
      <alignment horizontal="center" vertical="top"/>
    </xf>
    <xf numFmtId="0" fontId="10" fillId="0" borderId="29" xfId="1" applyFont="1" applyBorder="1" applyAlignment="1" applyProtection="1">
      <alignment horizontal="center" vertical="top"/>
    </xf>
    <xf numFmtId="0" fontId="10" fillId="4" borderId="0" xfId="1" applyFont="1" applyFill="1" applyBorder="1" applyAlignment="1" applyProtection="1">
      <alignment horizontal="left" vertical="center"/>
      <protection locked="0"/>
    </xf>
    <xf numFmtId="0" fontId="10" fillId="4" borderId="1" xfId="1" applyFont="1" applyFill="1" applyBorder="1" applyAlignment="1" applyProtection="1">
      <alignment horizontal="left" vertical="center"/>
      <protection locked="0"/>
    </xf>
    <xf numFmtId="0" fontId="10" fillId="4" borderId="1" xfId="1" applyFont="1" applyFill="1" applyBorder="1" applyAlignment="1" applyProtection="1">
      <alignment horizontal="center" vertical="top"/>
      <protection locked="0"/>
    </xf>
    <xf numFmtId="0" fontId="10" fillId="0" borderId="30" xfId="1" applyFont="1" applyBorder="1" applyAlignment="1" applyProtection="1">
      <alignment horizontal="center" vertical="top"/>
    </xf>
    <xf numFmtId="0" fontId="8" fillId="6" borderId="32" xfId="0" applyFont="1" applyFill="1" applyBorder="1" applyAlignment="1">
      <alignment horizontal="left" vertical="center"/>
    </xf>
    <xf numFmtId="0" fontId="8" fillId="9" borderId="32" xfId="0" applyFont="1" applyFill="1" applyBorder="1" applyAlignment="1">
      <alignment horizontal="left" vertical="center"/>
    </xf>
    <xf numFmtId="0" fontId="8" fillId="7" borderId="33" xfId="0" applyFont="1" applyFill="1" applyBorder="1" applyAlignment="1">
      <alignment horizontal="left" vertical="center"/>
    </xf>
    <xf numFmtId="0" fontId="8" fillId="11" borderId="3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left" vertical="center"/>
    </xf>
    <xf numFmtId="0" fontId="8" fillId="7" borderId="32" xfId="0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/>
    <xf numFmtId="0" fontId="8" fillId="0" borderId="11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14" fontId="8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11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" fontId="8" fillId="0" borderId="11" xfId="0" applyNumberFormat="1" applyFont="1" applyFill="1" applyBorder="1" applyAlignment="1">
      <alignment horizontal="center" vertical="center"/>
    </xf>
    <xf numFmtId="1" fontId="8" fillId="0" borderId="0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8" fillId="0" borderId="0" xfId="0" applyNumberFormat="1" applyFont="1" applyFill="1" applyBorder="1" applyAlignment="1" applyProtection="1">
      <alignment horizontal="center" vertical="center"/>
      <protection locked="0"/>
    </xf>
    <xf numFmtId="14" fontId="1" fillId="14" borderId="16" xfId="0" applyNumberFormat="1" applyFont="1" applyFill="1" applyBorder="1" applyAlignment="1">
      <alignment horizontal="center"/>
    </xf>
    <xf numFmtId="14" fontId="1" fillId="14" borderId="17" xfId="0" applyNumberFormat="1" applyFont="1" applyFill="1" applyBorder="1" applyAlignment="1">
      <alignment horizontal="center"/>
    </xf>
    <xf numFmtId="0" fontId="2" fillId="15" borderId="24" xfId="0" applyNumberFormat="1" applyFont="1" applyFill="1" applyBorder="1" applyAlignment="1">
      <alignment horizontal="center" vertical="center"/>
    </xf>
    <xf numFmtId="0" fontId="2" fillId="15" borderId="22" xfId="0" applyNumberFormat="1" applyFont="1" applyFill="1" applyBorder="1" applyAlignment="1">
      <alignment horizontal="center" vertical="center"/>
    </xf>
    <xf numFmtId="0" fontId="2" fillId="15" borderId="23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/>
    </xf>
    <xf numFmtId="14" fontId="2" fillId="2" borderId="5" xfId="0" applyNumberFormat="1" applyFont="1" applyFill="1" applyBorder="1" applyAlignment="1">
      <alignment horizontal="center"/>
    </xf>
    <xf numFmtId="14" fontId="2" fillId="10" borderId="7" xfId="0" applyNumberFormat="1" applyFont="1" applyFill="1" applyBorder="1" applyAlignment="1">
      <alignment horizontal="center"/>
    </xf>
    <xf numFmtId="14" fontId="2" fillId="10" borderId="9" xfId="0" applyNumberFormat="1" applyFont="1" applyFill="1" applyBorder="1" applyAlignment="1">
      <alignment horizontal="center"/>
    </xf>
    <xf numFmtId="0" fontId="2" fillId="6" borderId="7" xfId="0" applyNumberFormat="1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center"/>
    </xf>
    <xf numFmtId="14" fontId="0" fillId="5" borderId="9" xfId="0" applyNumberFormat="1" applyFill="1" applyBorder="1" applyAlignment="1">
      <alignment horizontal="center"/>
    </xf>
    <xf numFmtId="19" fontId="0" fillId="5" borderId="6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14" fontId="1" fillId="14" borderId="15" xfId="0" applyNumberFormat="1" applyFont="1" applyFill="1" applyBorder="1" applyAlignment="1">
      <alignment horizontal="center"/>
    </xf>
    <xf numFmtId="0" fontId="2" fillId="15" borderId="21" xfId="0" applyNumberFormat="1" applyFont="1" applyFill="1" applyBorder="1" applyAlignment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 applyProtection="1">
      <alignment horizontal="center" vertical="center"/>
      <protection locked="0"/>
    </xf>
    <xf numFmtId="0" fontId="8" fillId="0" borderId="6" xfId="0" applyNumberFormat="1" applyFont="1" applyFill="1" applyBorder="1" applyAlignment="1" applyProtection="1">
      <alignment horizontal="center" vertical="center"/>
      <protection locked="0"/>
    </xf>
    <xf numFmtId="1" fontId="8" fillId="8" borderId="0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8" xfId="0" applyNumberFormat="1" applyFont="1" applyFill="1" applyBorder="1" applyAlignment="1">
      <alignment horizontal="center" vertical="center"/>
    </xf>
    <xf numFmtId="0" fontId="18" fillId="3" borderId="1" xfId="0" applyNumberFormat="1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2" fillId="13" borderId="7" xfId="1" applyFont="1" applyFill="1" applyBorder="1" applyAlignment="1" applyProtection="1">
      <alignment horizontal="center" vertical="center"/>
    </xf>
    <xf numFmtId="0" fontId="22" fillId="13" borderId="8" xfId="1" applyFont="1" applyFill="1" applyBorder="1" applyAlignment="1" applyProtection="1">
      <alignment horizontal="center" vertical="center"/>
    </xf>
    <xf numFmtId="0" fontId="22" fillId="13" borderId="9" xfId="1" applyFont="1" applyFill="1" applyBorder="1" applyAlignment="1" applyProtection="1">
      <alignment horizontal="center" vertical="center"/>
    </xf>
    <xf numFmtId="0" fontId="22" fillId="13" borderId="12" xfId="1" applyFont="1" applyFill="1" applyBorder="1" applyAlignment="1" applyProtection="1">
      <alignment horizontal="center" vertical="center"/>
    </xf>
    <xf numFmtId="0" fontId="22" fillId="13" borderId="1" xfId="1" applyFont="1" applyFill="1" applyBorder="1" applyAlignment="1" applyProtection="1">
      <alignment horizontal="center" vertical="center"/>
    </xf>
    <xf numFmtId="0" fontId="22" fillId="13" borderId="13" xfId="1" applyFont="1" applyFill="1" applyBorder="1" applyAlignment="1" applyProtection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1">
    <dxf>
      <fill>
        <patternFill>
          <bgColor rgb="FFFF7C80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>
          <fgColor indexed="64"/>
          <bgColor theme="9" tint="0.79998168889431442"/>
        </patternFill>
      </fill>
      <alignment horizont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>
          <fgColor indexed="64"/>
          <bgColor theme="9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>
          <fgColor indexed="64"/>
          <bgColor theme="9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Helvetica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Helvetica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Helvetica"/>
        <scheme val="none"/>
      </font>
      <fill>
        <patternFill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Helvetica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medium">
          <color indexed="64"/>
        </left>
        <right/>
        <top/>
        <bottom/>
      </border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 tint="-4.9989318521683403E-2"/>
        <name val="MS Sans Serif"/>
        <scheme val="none"/>
      </font>
      <fill>
        <patternFill patternType="solid">
          <fgColor indexed="64"/>
          <bgColor theme="1" tint="0.14999847407452621"/>
        </patternFill>
      </fill>
      <alignment horizontal="center" textRotation="0" wrapText="0" indent="0" justifyLastLine="0" shrinkToFit="0" readingOrder="0"/>
      <protection hidden="0"/>
    </dxf>
    <dxf>
      <numFmt numFmtId="19" formatCode="m/d/yyyy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F7C80"/>
      <color rgb="FF008080"/>
      <color rgb="FFFFFF99"/>
      <color rgb="FF99FF99"/>
      <color rgb="FFFF0000"/>
      <color rgb="FFCCFFFF"/>
      <color rgb="FFFFCCFF"/>
      <color rgb="FFCCCCFF"/>
      <color rgb="FFFF99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Order_Navigator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Order_Number" form="unqualified"/>
                  <xsd:element minOccurs="0" nillable="true" type="xsd:string" name="Type" form="unqualified"/>
                  <xsd:element minOccurs="0" nillable="true" type="xsd:integer" name="App" form="unqualified"/>
                  <xsd:element minOccurs="0" nillable="true" type="xsd:integer" name="Rel" form="unqualified"/>
                  <xsd:element minOccurs="0" nillable="true" type="xsd:integer" name="Firm" form="unqualified"/>
                  <xsd:element minOccurs="0" nillable="true" type="xsd:double" name="Ord_Qty" form="unqualified"/>
                  <xsd:element minOccurs="0" nillable="true" type="xsd:double" name="Qty_Due" form="unqualified"/>
                  <xsd:element minOccurs="0" nillable="true" type="xsd:string" name="BOM_Alt_Code" form="unqualified"/>
                  <xsd:element minOccurs="0" nillable="true" type="xsd:string" name="Routing_Alt_Code" form="unqualified"/>
                  <xsd:element minOccurs="0" nillable="true" type="xsd:string" name="Lot_Number" form="unqualified"/>
                  <xsd:element minOccurs="0" nillable="true" type="xsd:string" name="Serial_Number" form="unqualified"/>
                  <xsd:element minOccurs="0" nillable="true" type="xsd:string" name="Cur_Due" form="unqualified"/>
                  <xsd:element minOccurs="0" nillable="true" type="xsd:string" name="Org_Due" form="unqualified"/>
                  <xsd:element minOccurs="0" nillable="true" type="xsd:string" name="Start_Date" form="unqualified"/>
                  <xsd:element minOccurs="0" nillable="true" type="xsd:string" name="Part_ID" form="unqualified"/>
                  <xsd:element minOccurs="0" nillable="true" type="xsd:string" name="Description" form="unqualified"/>
                  <xsd:element minOccurs="0" nillable="true" type="xsd:string" name="Priority" form="unqualified"/>
                  <xsd:element minOccurs="0" nillable="true" type="xsd:string" name="Planner" form="unqualified"/>
                  <xsd:element minOccurs="0" nillable="true" type="xsd:string" name="Vendor" form="unqualified"/>
                  <xsd:element minOccurs="0" nillable="true" type="xsd:string" name="Stock" form="unqualified"/>
                  <xsd:element minOccurs="0" nillable="true" type="xsd:string" name="Sched" form="unqualified"/>
                  <xsd:element minOccurs="0" nillable="true" type="xsd:string" name="Rev" form="unqualified"/>
                  <xsd:element minOccurs="0" nillable="true" type="xsd:string" name="Reference" form="unqualified"/>
                  <xsd:element minOccurs="0" nillable="true" type="xsd:string" name="UDF_Key" form="unqualified"/>
                  <xsd:element minOccurs="0" nillable="true" type="xsd:string" name="UDF_Ref" form="unqualified"/>
                  <xsd:element minOccurs="0" nillable="true" type="xsd:string" name="MPN" form="unqualified"/>
                  <xsd:element minOccurs="0" nillable="true" type="xsd:string" name="Manufacturer" form="unqualified"/>
                  <xsd:element minOccurs="0" nillable="true" type="xsd:string" name="SortColRealValue" form="unqualified"/>
                  <xsd:element minOccurs="0" nillable="true" type="xsd:integer" name="OrgRowNumForSort" form="unqualified"/>
                </xsd:sequence>
              </xsd:complexType>
            </xsd:element>
          </xsd:sequence>
        </xsd:complexType>
      </xsd:element>
    </xsd:schema>
  </Schema>
  <Map ID="1" Name="Order_Navigator_Map" RootElement="Order_Navigato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68037</xdr:colOff>
      <xdr:row>0</xdr:row>
      <xdr:rowOff>57831</xdr:rowOff>
    </xdr:from>
    <xdr:to>
      <xdr:col>2</xdr:col>
      <xdr:colOff>916782</xdr:colOff>
      <xdr:row>2</xdr:row>
      <xdr:rowOff>109679</xdr:rowOff>
    </xdr:to>
    <xdr:pic>
      <xdr:nvPicPr>
        <xdr:cNvPr id="6" name="Picture 5" descr="\\AEROMAX\Apps\Aerosonic Logo\new logo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7" y="57831"/>
          <a:ext cx="3170464" cy="45666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3</xdr:row>
          <xdr:rowOff>76200</xdr:rowOff>
        </xdr:from>
        <xdr:to>
          <xdr:col>7</xdr:col>
          <xdr:colOff>361950</xdr:colOff>
          <xdr:row>4</xdr:row>
          <xdr:rowOff>323850</xdr:rowOff>
        </xdr:to>
        <xdr:sp macro="" textlink="">
          <xdr:nvSpPr>
            <xdr:cNvPr id="1031" name="Date_Rang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</xdr:row>
          <xdr:rowOff>47625</xdr:rowOff>
        </xdr:from>
        <xdr:to>
          <xdr:col>5</xdr:col>
          <xdr:colOff>676275</xdr:colOff>
          <xdr:row>3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Initialize 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4</xdr:row>
          <xdr:rowOff>333375</xdr:rowOff>
        </xdr:from>
        <xdr:to>
          <xdr:col>7</xdr:col>
          <xdr:colOff>361950</xdr:colOff>
          <xdr:row>4</xdr:row>
          <xdr:rowOff>790575</xdr:rowOff>
        </xdr:to>
        <xdr:sp macro="" textlink="">
          <xdr:nvSpPr>
            <xdr:cNvPr id="1035" name="Populate_Fiel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114300</xdr:rowOff>
        </xdr:from>
        <xdr:to>
          <xdr:col>5</xdr:col>
          <xdr:colOff>666750</xdr:colOff>
          <xdr:row>4</xdr:row>
          <xdr:rowOff>352425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Minimize 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4</xdr:row>
          <xdr:rowOff>381000</xdr:rowOff>
        </xdr:from>
        <xdr:to>
          <xdr:col>5</xdr:col>
          <xdr:colOff>676275</xdr:colOff>
          <xdr:row>4</xdr:row>
          <xdr:rowOff>771525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Recalculate 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1343025</xdr:colOff>
          <xdr:row>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603250</xdr:colOff>
      <xdr:row>1</xdr:row>
      <xdr:rowOff>52917</xdr:rowOff>
    </xdr:from>
    <xdr:to>
      <xdr:col>3</xdr:col>
      <xdr:colOff>447464</xdr:colOff>
      <xdr:row>3</xdr:row>
      <xdr:rowOff>85302</xdr:rowOff>
    </xdr:to>
    <xdr:pic>
      <xdr:nvPicPr>
        <xdr:cNvPr id="3" name="Picture 2" descr="\\AEROMAX\Apps\Aerosonic Logo\new logo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250" y="211667"/>
          <a:ext cx="2871047" cy="3498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dy Ezell" refreshedDate="43410.411356944445" createdVersion="4" refreshedVersion="6" minRefreshableVersion="3" recordCount="2000" xr:uid="{00000000-000A-0000-FFFF-FFFF24000000}">
  <cacheSource type="worksheet">
    <worksheetSource ref="A1:AD1048576" sheet="Data"/>
  </cacheSource>
  <cacheFields count="30">
    <cacheField name="Ship date" numFmtId="14">
      <sharedItems containsDate="1" containsBlank="1" containsMixedTypes="1" minDate="2014-07-28T00:00:00" maxDate="2022-02-01T00:00:00" count="131">
        <d v="2015-06-30T00:00:00"/>
        <d v="2015-09-24T00:00:00"/>
        <d v="2016-11-14T00:00:00"/>
        <d v="2016-08-15T00:00:00"/>
        <d v="2016-09-12T00:00:00"/>
        <d v="2016-08-01T00:00:00"/>
        <d v="2016-10-14T00:00:00"/>
        <d v="2016-10-31T00:00:00"/>
        <d v="2016-08-22T00:00:00"/>
        <d v="2016-09-26T00:00:00"/>
        <d v="2016-10-17T00:00:00"/>
        <d v="2016-07-28T00:00:00"/>
        <d v="2016-09-19T00:00:00"/>
        <d v="2016-08-29T00:00:00"/>
        <d v="2016-08-19T00:00:00"/>
        <d v="2016-09-27T00:00:00"/>
        <d v="2016-09-29T00:00:00"/>
        <d v="2016-09-01T00:00:00"/>
        <d v="2016-09-13T00:00:00"/>
        <d v="2016-09-22T00:00:00"/>
        <d v="2016-08-05T00:00:00"/>
        <d v="2016-09-02T00:00:00"/>
        <d v="2016-09-06T00:00:00"/>
        <d v="2016-09-30T00:00:00"/>
        <d v="2016-10-03T00:00:00"/>
        <d v="2016-08-11T00:00:00"/>
        <d v="2016-09-08T00:00:00"/>
        <d v="2016-09-15T00:00:00"/>
        <d v="2016-08-08T00:00:00"/>
        <d v="2016-07-14T00:00:00"/>
        <d v="2016-08-04T00:00:00"/>
        <d v="2016-08-10T00:00:00"/>
        <d v="2016-09-16T00:00:00"/>
        <d v="2017-01-09T00:00:00"/>
        <d v="2016-07-18T00:00:00"/>
        <d v="2016-07-25T00:00:00"/>
        <d v="2016-07-26T00:00:00"/>
        <d v="2016-08-31T00:00:00"/>
        <d v="2016-12-21T00:00:00"/>
        <d v="2016-07-22T00:00:00"/>
        <d v="2016-11-03T00:00:00"/>
        <d v="2016-11-21T00:00:00"/>
        <d v="2016-08-25T00:00:00"/>
        <d v="2016-10-11T00:00:00"/>
        <d v="2016-10-26T00:00:00"/>
        <d v="2016-11-28T00:00:00"/>
        <d v="2016-09-14T00:00:00"/>
        <d v="2016-09-20T00:00:00"/>
        <d v="2016-08-24T00:00:00"/>
        <d v="2016-10-06T00:00:00"/>
        <d v="2016-12-30T00:00:00"/>
        <d v="2016-07-08T00:00:00"/>
        <d v="2016-06-27T00:00:00"/>
        <d v="2016-06-30T00:00:00"/>
        <d v="2016-08-18T00:00:00"/>
        <d v="2016-07-27T00:00:00"/>
        <d v="2016-07-11T00:00:00"/>
        <d v="2016-08-17T00:00:00"/>
        <d v="2017-04-10T00:00:00"/>
        <d v="2015-11-24T00:00:00"/>
        <d v="2015-11-25T00:00:00"/>
        <d v="2015-11-02T00:00:00"/>
        <d v="2016-07-21T00:00:00"/>
        <d v="2015-06-08T00:00:00"/>
        <s v=""/>
        <m/>
        <d v="2016-10-24T00:00:00" u="1"/>
        <d v="2017-05-01T00:00:00" u="1"/>
        <d v="2017-03-27T00:00:00" u="1"/>
        <d v="2017-10-16T00:00:00" u="1"/>
        <d v="2017-07-10T00:00:00" u="1"/>
        <d v="2017-09-11T00:00:00" u="1"/>
        <d v="2017-06-05T00:00:00" u="1"/>
        <d v="2016-09-07T00:00:00" u="1"/>
        <d v="2016-05-16T00:00:00" u="1"/>
        <d v="2016-12-05T00:00:00" u="1"/>
        <d v="2017-08-14T00:00:00" u="1"/>
        <d v="2017-02-06T00:00:00" u="1"/>
        <d v="2017-05-08T00:00:00" u="1"/>
        <d v="2016-10-27T00:00:00" u="1"/>
        <d v="2016-08-02T00:00:00" u="1"/>
        <d v="2017-07-17T00:00:00" u="1"/>
        <d v="2016-10-19T00:00:00" u="1"/>
        <d v="2016-07-13T00:00:00" u="1"/>
        <d v="2018-01-05T00:00:00" u="1"/>
        <d v="2017-04-03T00:00:00" u="1"/>
        <d v="2016-07-05T00:00:00" u="1"/>
        <d v="2016-06-20T00:00:00" u="1"/>
        <d v="2017-09-18T00:00:00" u="1"/>
        <d v="2017-03-06T00:00:00" u="1"/>
        <d v="2016-05-23T00:00:00" u="1"/>
        <d v="2016-12-12T00:00:00" u="1"/>
        <d v="2017-02-17T00:00:00" u="1"/>
        <d v="2017-08-21T00:00:00" u="1"/>
        <d v="2017-02-13T00:00:00" u="1"/>
        <d v="2017-05-15T00:00:00" u="1"/>
        <d v="2017-12-04T00:00:00" u="1"/>
        <d v="2014-07-28T00:00:00" u="1"/>
        <d v="2017-10-30T00:00:00" u="1"/>
        <d v="2017-07-24T00:00:00" u="1"/>
        <d v="2017-01-16T00:00:00" u="1"/>
        <d v="2016-11-07T00:00:00" u="1"/>
        <d v="2014-09-29T00:00:00" u="1"/>
        <d v="2016-03-21T00:00:00" u="1"/>
        <d v="2016-10-10T00:00:00" u="1"/>
        <d v="2017-09-25T00:00:00" u="1"/>
        <d v="2017-06-19T00:00:00" u="1"/>
        <d v="2016-09-21T00:00:00" u="1"/>
        <d v="2017-03-13T00:00:00" u="1"/>
        <d v="2016-12-19T00:00:00" u="1"/>
        <d v="2017-05-26T00:00:00" u="1"/>
        <d v="2017-08-28T00:00:00" u="1"/>
        <d v="2017-05-22T00:00:00" u="1"/>
        <d v="2017-12-11T00:00:00" u="1"/>
        <d v="2022-01-31T00:00:00" u="1"/>
        <d v="2016-08-16T00:00:00" u="1"/>
        <d v="2017-07-31T00:00:00" u="1"/>
        <d v="2017-01-23T00:00:00" u="1"/>
        <d v="2017-11-06T00:00:00" u="1"/>
        <d v="2017-06-26T00:00:00" u="1"/>
        <d v="2016-09-28T00:00:00" u="1"/>
        <d v="2017-03-20T00:00:00" u="1"/>
        <d v="2017-10-09T00:00:00" u="1"/>
        <d v="2015-10-05T00:00:00" u="1"/>
        <d v="2017-07-03T00:00:00" u="1"/>
        <d v="2017-02-27T00:00:00" u="1"/>
        <d v="2016-06-06T00:00:00" u="1"/>
        <d v="2017-01-30T00:00:00" u="1"/>
        <d v="2021-12-06T00:00:00" u="1"/>
        <d v="2017-04-24T00:00:00" u="1"/>
        <d v="2017-08-07T00:00:00" u="1"/>
      </sharedItems>
    </cacheField>
    <cacheField name="Order_Number" numFmtId="0">
      <sharedItems containsString="0" containsBlank="1" containsNumber="1" containsInteger="1" minValue="50166916" maxValue="50181950"/>
    </cacheField>
    <cacheField name="Type" numFmtId="0">
      <sharedItems containsBlank="1"/>
    </cacheField>
    <cacheField name="App" numFmtId="0">
      <sharedItems containsString="0" containsBlank="1" containsNumber="1" containsInteger="1" minValue="1" maxValue="1"/>
    </cacheField>
    <cacheField name="Rel" numFmtId="0">
      <sharedItems containsString="0" containsBlank="1" containsNumber="1" containsInteger="1" minValue="1" maxValue="1"/>
    </cacheField>
    <cacheField name="Firm" numFmtId="0">
      <sharedItems containsString="0" containsBlank="1" containsNumber="1" containsInteger="1" minValue="0" maxValue="1"/>
    </cacheField>
    <cacheField name="Ord_Qty" numFmtId="0">
      <sharedItems containsString="0" containsBlank="1" containsNumber="1" containsInteger="1" minValue="1" maxValue="250"/>
    </cacheField>
    <cacheField name="Qty_Due" numFmtId="0">
      <sharedItems containsString="0" containsBlank="1" containsNumber="1" containsInteger="1" minValue="1" maxValue="250"/>
    </cacheField>
    <cacheField name="BOM_Alt_Code" numFmtId="0">
      <sharedItems containsNonDate="0" containsString="0" containsBlank="1"/>
    </cacheField>
    <cacheField name="Routing_Alt_Code" numFmtId="0">
      <sharedItems containsNonDate="0" containsString="0" containsBlank="1"/>
    </cacheField>
    <cacheField name="Lot_Number" numFmtId="0">
      <sharedItems containsNonDate="0" containsString="0" containsBlank="1"/>
    </cacheField>
    <cacheField name="Serial_Number" numFmtId="0">
      <sharedItems containsNonDate="0" containsString="0" containsBlank="1"/>
    </cacheField>
    <cacheField name="Cur_Due" numFmtId="14">
      <sharedItems containsBlank="1" count="130">
        <s v="06/30/2015"/>
        <s v="09/24/2015"/>
        <s v="11/14/2016"/>
        <s v="08/15/2016"/>
        <s v="09/12/2016"/>
        <s v="08/01/2016"/>
        <s v="10/14/2016"/>
        <s v="10/31/2016"/>
        <s v="08/22/2016"/>
        <s v="09/26/2016"/>
        <s v="10/17/2016"/>
        <s v="07/28/2016"/>
        <s v="09/19/2016"/>
        <s v="08/29/2016"/>
        <s v="08/19/2016"/>
        <s v="09/27/2016"/>
        <s v="09/29/2016"/>
        <s v="09/01/2016"/>
        <s v="09/13/2016"/>
        <s v="09/22/2016"/>
        <s v="08/05/2016"/>
        <s v="09/02/2016"/>
        <s v="09/06/2016"/>
        <s v="09/30/2016"/>
        <s v="10/03/2016"/>
        <s v="08/11/2016"/>
        <s v="09/08/2016"/>
        <s v="09/15/2016"/>
        <s v="08/08/2016"/>
        <s v="07/14/2016"/>
        <s v="08/04/2016"/>
        <s v="08/10/2016"/>
        <s v="09/16/2016"/>
        <s v="01/09/2017"/>
        <s v="07/18/2016"/>
        <s v="07/25/2016"/>
        <s v="07/26/2016"/>
        <s v="08/31/2016"/>
        <s v="12/21/2016"/>
        <s v="07/22/2016"/>
        <s v="11/03/2016"/>
        <s v="11/21/2016"/>
        <s v="08/25/2016"/>
        <s v="10/11/2016"/>
        <s v="10/26/2016"/>
        <s v="11/28/2016"/>
        <s v="09/14/2016"/>
        <s v="09/20/2016"/>
        <s v="08/24/2016"/>
        <s v="10/06/2016"/>
        <s v="12/30/2016"/>
        <s v="07/08/2016"/>
        <s v="06/27/2016"/>
        <s v="06/30/2016"/>
        <s v="08/18/2016"/>
        <s v="07/27/2016"/>
        <s v="07/11/2016"/>
        <s v="08/17/2016"/>
        <s v="04/10/2017"/>
        <s v="11/24/2015"/>
        <s v="11/25/2015"/>
        <s v="11/02/2015"/>
        <s v="07/21/2016"/>
        <s v="06/08/2015"/>
        <m/>
        <s v="07/03/2017" u="1"/>
        <s v="09/25/2017" u="1"/>
        <s v="02/27/2017" u="1"/>
        <s v="03/06/2017" u="1"/>
        <s v="12/05/2016" u="1"/>
        <s v="08/16/2016" u="1"/>
        <s v="09/28/2016" u="1"/>
        <s v="10/10/2016" u="1"/>
        <s v="05/26/2017" u="1"/>
        <s v="11/06/2017" u="1"/>
        <s v="06/05/2017" u="1"/>
        <s v="07/17/2017" u="1"/>
        <s v="05/22/2017" u="1"/>
        <s v="11/07/2016" u="1"/>
        <s v="08/21/2017" u="1"/>
        <s v="12/19/2016" u="1"/>
        <s v="02/06/2017" u="1"/>
        <s v="06/06/2016" u="1"/>
        <s v="10/24/2016" u="1"/>
        <s v="01/23/2017" u="1"/>
        <s v="05/23/2016" u="1"/>
        <s v="09/07/2016" u="1"/>
        <s v="06/19/2017" u="1"/>
        <s v="01/05/2018" u="1"/>
        <s v="04/24/2017" u="1"/>
        <s v="05/01/2017" u="1"/>
        <s v="09/18/2017" u="1"/>
        <s v="01/31/2022" u="1"/>
        <s v="10/16/2017" u="1"/>
        <s v="04/03/2017" u="1"/>
        <s v="05/15/2017" u="1"/>
        <s v="03/20/2017" u="1"/>
        <s v="08/14/2017" u="1"/>
        <s v="10/19/2016" u="1"/>
        <s v="07/31/2017" u="1"/>
        <s v="01/16/2017" u="1"/>
        <s v="05/16/2016" u="1"/>
        <s v="12/06/2021" u="1"/>
        <s v="03/21/2016" u="1"/>
        <s v="07/05/2016" u="1"/>
        <s v="07/28/2014" u="1"/>
        <s v="06/20/2016" u="1"/>
        <s v="08/28/2017" u="1"/>
        <s v="09/21/2016" u="1"/>
        <s v="12/11/2017" u="1"/>
        <s v="07/10/2017" u="1"/>
        <s v="10/27/2016" u="1"/>
        <s v="10/09/2017" u="1"/>
        <s v="05/08/2017" u="1"/>
        <s v="03/13/2017" u="1"/>
        <s v="07/13/2016" u="1"/>
        <s v="12/12/2016" u="1"/>
        <s v="09/29/2014" u="1"/>
        <s v="08/07/2017" u="1"/>
        <s v="07/24/2017" u="1"/>
        <s v="10/30/2017" u="1"/>
        <s v="02/17/2017" u="1"/>
        <s v="09/11/2017" u="1"/>
        <s v="03/27/2017" u="1"/>
        <s v="02/13/2017" u="1"/>
        <s v="01/30/2017" u="1"/>
        <s v="08/02/2016" u="1"/>
        <s v="06/26/2017" u="1"/>
        <s v="10/05/2015" u="1"/>
        <s v="12/04/2017" u="1"/>
      </sharedItems>
    </cacheField>
    <cacheField name="Org_Due" numFmtId="0">
      <sharedItems containsBlank="1"/>
    </cacheField>
    <cacheField name="Start_Date" numFmtId="0">
      <sharedItems containsBlank="1"/>
    </cacheField>
    <cacheField name="Part_ID" numFmtId="0">
      <sharedItems containsBlank="1" count="133">
        <s v="*PH502"/>
        <s v="PH1100-1-DH"/>
        <s v="PH1100-1-INV"/>
        <s v="PH1100-1-INVF"/>
        <s v="PH1100-1-RCD"/>
        <s v="PH1100-1-RCDW"/>
        <s v="PH1100-1-RCJW"/>
        <s v="PH1100-1-VBW"/>
        <s v="PH1100-1-VC"/>
        <s v="PH1100-1-VCW"/>
        <s v="PH1100-MU-L-1"/>
        <s v="PH1100-RW-LEFT-W"/>
        <s v="PH1100-RW-RIGHT-W"/>
        <s v="PH3400"/>
        <s v="PH500"/>
        <s v="PH500-2"/>
        <s v="PH500-BKC"/>
        <s v="PH500-EC"/>
        <s v="PH502"/>
        <s v="PH502-1"/>
        <s v="PH502-10"/>
        <s v="PH502-12CR"/>
        <s v="PH502-14"/>
        <s v="PH502-3"/>
        <s v="PH502-5"/>
        <s v="PH502-BKM"/>
        <s v="PH506DH-EN"/>
        <s v="PH520"/>
        <s v="PH557"/>
        <s v="PST300-2SW-2"/>
        <s v="PST300-2SW-C"/>
        <s v="PST300-4G"/>
        <s v="PST300-4GPA"/>
        <s v="PST300-G120TP"/>
        <s v="PST305"/>
        <s v="PST305-L"/>
        <s v="PST305-R"/>
        <s v="PST3200-C3"/>
        <s v="PST3200-C4"/>
        <s v="PST3200-C5"/>
        <s v="PT-28HB"/>
        <s v="ST28-NRA"/>
        <s v="ST300-2PT"/>
        <s v="ST300-2PT-1"/>
        <s v="ST300-2PTH"/>
        <s v="ST300-2PTN"/>
        <s v="ST300-3HR"/>
        <s v="ST314-2L"/>
        <s v="ST320-3LA"/>
        <s v="ST320-3RA"/>
        <s v="ST320-COM"/>
        <s v="ST333-1"/>
        <s v="ST350-2"/>
        <s v="ST515-3CH"/>
        <s v="ST520-2DH"/>
        <s v="ST550-2NAX"/>
        <s v="H-SL0856LU5"/>
        <s v="H-SL0856LU6"/>
        <s v="H-SL851HT"/>
        <s v="H-SL856AE"/>
        <s v="HA1100"/>
        <s v="HA1100-MU"/>
        <s v="HA300-2SW"/>
        <s v="HA305"/>
        <s v="HA500"/>
        <s v="HA500-EC"/>
        <s v="HA502"/>
        <s v="HA506"/>
        <s v="HA520"/>
        <s v="HA557"/>
        <s v="JFA/M"/>
        <s v="MC816"/>
        <s v="PK0856AE19-AI-LR"/>
        <s v="PX1525"/>
        <s v="SM1100"/>
        <s v="SM1110"/>
        <s v="SM210"/>
        <s v="SM220"/>
        <s v="SM230"/>
        <s v="SM2436"/>
        <s v="SM2437-L"/>
        <s v="SM2437-R"/>
        <s v="SM2439"/>
        <s v="SM300"/>
        <s v="SM4151"/>
        <s v="SM4161"/>
        <s v="SM500-EC"/>
        <s v="WA001600"/>
        <s v="WA001873"/>
        <s v="WA160-40"/>
        <s v="WA169-13"/>
        <s v="WA1896-14"/>
        <s v="*0851FJ-1-AI"/>
        <s v="*0856LU6-AI"/>
        <s v="*PH500"/>
        <s v="0851-AI-M"/>
        <s v="0851FJ-1-AI"/>
        <s v="0851HT-1-AI"/>
        <s v="0856AE19-AI"/>
        <s v="0856AE19-AI-LR"/>
        <s v="0856LU5-AI"/>
        <s v="0856LU6-AI"/>
        <s v="0856WB1-AI"/>
        <s v="0856WB2-AI"/>
        <m/>
        <s v="0851HL-AI" u="1"/>
        <s v="SM275" u="1"/>
        <s v="MC817" u="1"/>
        <s v="PH1100-1-BJ" u="1"/>
        <s v="ST315-3L" u="1"/>
        <s v="ST300-3H" u="1"/>
        <s v="HSL851HL-1" u="1"/>
        <s v="PH1100-MUR-EN" u="1"/>
        <s v="HA851HT-2" u="1"/>
        <s v="HA1100-INV" u="1"/>
        <s v="SM1100BJ" u="1"/>
        <s v="PST300-A" u="1"/>
        <s v="PH502-13" u="1"/>
        <s v="HSL856AE-2" u="1"/>
        <s v="PST300-PWC" u="1"/>
        <s v="PK0851-AI-M" u="1"/>
        <s v="SM4125" u="1"/>
        <s v="ST314-2R" u="1"/>
        <s v="SM557" u="1"/>
        <s v="JFA/MX-1" u="1"/>
        <s v="PH1100-MU-R-1" u="1"/>
        <s v="PST300-AR" u="1"/>
        <s v="H-SL3400" u="1"/>
        <s v="PH504" u="1"/>
        <s v="SM1100-VC" u="1"/>
        <s v="ST340-2GP" u="1"/>
        <s v="HA300" u="1"/>
        <s v="ST333-99" u="1"/>
      </sharedItems>
    </cacheField>
    <cacheField name="Description" numFmtId="0">
      <sharedItems containsBlank="1"/>
    </cacheField>
    <cacheField name="Priority" numFmtId="0">
      <sharedItems containsBlank="1"/>
    </cacheField>
    <cacheField name="Planner" numFmtId="0">
      <sharedItems containsBlank="1"/>
    </cacheField>
    <cacheField name="Vendor" numFmtId="0">
      <sharedItems containsNonDate="0" containsString="0" containsBlank="1"/>
    </cacheField>
    <cacheField name="Stock" numFmtId="0">
      <sharedItems containsBlank="1"/>
    </cacheField>
    <cacheField name="Sched" numFmtId="0">
      <sharedItems containsBlank="1"/>
    </cacheField>
    <cacheField name="Rev" numFmtId="0">
      <sharedItems containsBlank="1"/>
    </cacheField>
    <cacheField name="Reference" numFmtId="0">
      <sharedItems containsBlank="1" count="62">
        <s v="80077227-04  2209103"/>
        <s v="80076837-02  A2234"/>
        <m/>
        <s v="TRANSFERED FROM 50179470"/>
        <s v="REWORK"/>
        <s v="ENG BUILD JUSTIN 071116"/>
        <s v="STK"/>
        <s v="PULL-IN FY2016"/>
        <s v="DAVE T."/>
        <s v="Dave T"/>
        <s v="FROM 50178028"/>
        <s v="FROM 50179607"/>
        <s v="RMA W/O"/>
        <s v="r/w strip/plt 9/24"/>
        <s v="CHRIS FC 1256"/>
        <s v="from M930130"/>
        <s v="RE-EVALUATION"/>
        <s v="SPLIT FROM 50177926"/>
        <s v="80078068 REPLACEMENT SN"/>
        <s v="FROM 50180203"/>
        <s v="FROM 50177913"/>
        <s v="eng build"/>
        <s v="DMR #115167 RWK SAI"/>
        <s v="MULTI RMA"/>
        <s v="Eng. Request"/>
        <s v="Eng Shop Order"/>
        <s v="CHRIS FC 1253"/>
        <s v="DMR #115169 RWK SAI"/>
        <s v="MUHAMED"/>
        <s v="CHRIS FC 1254"/>
        <s v="CHRIS FC 1255"/>
        <s v="80077355-04  173281"/>
        <s v="80077444-04   A0112"/>
        <s v="80077267  /  A1733"/>
        <s v="80077266  /  A1825"/>
        <s v="FROM 50178609"/>
        <s v="ANO 7/22"/>
        <s v="From M950620"/>
        <s v="FROM 50178301"/>
        <s v="from M937890"/>
        <s v="FROM 50172281"/>
        <s v="FROM M909440"/>
        <s v="S"/>
        <s v="SPLIT FROM 50178795" u="1"/>
        <s v="SPLIT FROM 50178796" u="1"/>
        <s v="REWORK SCRAP" u="1"/>
        <s v="VND PLT 7/27" u="1"/>
        <s v="COVER FOR SCRAP" u="1"/>
        <s v="80080293-02  / AS11155912" u="1"/>
        <s v="machine shop" u="1"/>
        <s v="CHRIS FC 1256 STK" u="1"/>
        <s v="PH3211 ENG. BUILD" u="1"/>
        <s v="from 50171696" u="1"/>
        <s v="FROM 50181428" u="1"/>
        <s v="PST3200 ENG. BUILD" u="1"/>
        <s v="FROM 50182610" u="1"/>
        <s v="CHRIS FC 1256  Mach. Shop" u="1"/>
        <s v="FC BRITTON NORMAN" u="1"/>
        <s v="ENG BUILD - JUSTIN 081016" u="1"/>
        <s v="re-work" u="1"/>
        <s v="CHRIS FC 1256  STK" u="1"/>
        <s v="CHRIS FC 1256 mach.shop" u="1"/>
      </sharedItems>
    </cacheField>
    <cacheField name="UDF_Key" numFmtId="0">
      <sharedItems containsBlank="1"/>
    </cacheField>
    <cacheField name="UDF_Ref" numFmtId="0">
      <sharedItems containsBlank="1"/>
    </cacheField>
    <cacheField name="MPN" numFmtId="0">
      <sharedItems containsNonDate="0" containsString="0" containsBlank="1"/>
    </cacheField>
    <cacheField name="Manufacturer" numFmtId="0">
      <sharedItems containsNonDate="0" containsString="0" containsBlank="1"/>
    </cacheField>
    <cacheField name="SortColRealValue" numFmtId="0">
      <sharedItems containsNonDate="0" containsString="0" containsBlank="1"/>
    </cacheField>
    <cacheField name="OrgRowNumForSort" numFmtId="0">
      <sharedItems containsString="0" containsBlank="1" containsNumber="1" containsInteger="1" minValue="1" maxValue="56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n v="50172176"/>
    <s v="MF"/>
    <n v="1"/>
    <n v="1"/>
    <n v="1"/>
    <n v="1"/>
    <n v="1"/>
    <m/>
    <m/>
    <m/>
    <m/>
    <x v="0"/>
    <s v="10/27/2015"/>
    <s v="05/13/2015"/>
    <x v="0"/>
    <s v="PITOT PROBE, HEATED, 24V"/>
    <s v="CLOSED"/>
    <s v="M20"/>
    <m/>
    <s v="REPAIRS"/>
    <s v="R"/>
    <m/>
    <x v="0"/>
    <m/>
    <m/>
    <m/>
    <m/>
    <m/>
    <n v="1"/>
  </r>
  <r>
    <x v="1"/>
    <n v="50171565"/>
    <s v="MF"/>
    <n v="1"/>
    <n v="1"/>
    <n v="1"/>
    <n v="1"/>
    <n v="1"/>
    <m/>
    <m/>
    <m/>
    <m/>
    <x v="1"/>
    <s v="09/24/2015"/>
    <s v="08/07/2015"/>
    <x v="0"/>
    <s v="PITOT PROBE, HEATED, 24V"/>
    <s v="CLOSED"/>
    <s v="M20"/>
    <m/>
    <s v="WAR"/>
    <s v="R"/>
    <m/>
    <x v="1"/>
    <m/>
    <m/>
    <m/>
    <m/>
    <m/>
    <n v="2"/>
  </r>
  <r>
    <x v="2"/>
    <n v="50179441"/>
    <s v="MF"/>
    <n v="1"/>
    <n v="1"/>
    <n v="0"/>
    <n v="5"/>
    <n v="3"/>
    <m/>
    <m/>
    <m/>
    <m/>
    <x v="2"/>
    <s v="07/14/2016"/>
    <s v="09/27/2016"/>
    <x v="1"/>
    <s v="PITOT PROBE, HEATED, 28V"/>
    <s v="27.25"/>
    <s v="M20"/>
    <m/>
    <s v="AET02"/>
    <s v="R"/>
    <s v="R"/>
    <x v="2"/>
    <s v="5/17/16 MS"/>
    <m/>
    <m/>
    <m/>
    <m/>
    <n v="5"/>
  </r>
  <r>
    <x v="3"/>
    <n v="50180217"/>
    <s v="MF"/>
    <n v="1"/>
    <n v="1"/>
    <n v="1"/>
    <n v="10"/>
    <n v="10"/>
    <m/>
    <m/>
    <m/>
    <m/>
    <x v="3"/>
    <s v="08/15/2016"/>
    <s v="06/24/2016"/>
    <x v="2"/>
    <s v="PITOT TUBE, ELEC HEATED, 28V"/>
    <s v="6"/>
    <s v="M20"/>
    <m/>
    <s v="AET02"/>
    <s v="R"/>
    <s v="K"/>
    <x v="2"/>
    <s v="6/9/16 MKC"/>
    <m/>
    <m/>
    <m/>
    <m/>
    <n v="6"/>
  </r>
  <r>
    <x v="4"/>
    <n v="50180223"/>
    <s v="MF"/>
    <n v="1"/>
    <n v="1"/>
    <n v="0"/>
    <n v="2"/>
    <n v="2"/>
    <m/>
    <m/>
    <m/>
    <m/>
    <x v="4"/>
    <s v="06/07/2016"/>
    <s v="07/22/2016"/>
    <x v="3"/>
    <s v="PITOT PROBE, HEATED, 28V"/>
    <m/>
    <s v="M20"/>
    <m/>
    <s v="AET02"/>
    <s v="R"/>
    <s v="K"/>
    <x v="3"/>
    <m/>
    <m/>
    <m/>
    <m/>
    <m/>
    <n v="9"/>
  </r>
  <r>
    <x v="4"/>
    <n v="50181267"/>
    <s v="MF"/>
    <n v="1"/>
    <n v="1"/>
    <n v="1"/>
    <n v="25"/>
    <n v="25"/>
    <m/>
    <m/>
    <m/>
    <m/>
    <x v="4"/>
    <s v="09/12/2016"/>
    <s v="07/22/2016"/>
    <x v="3"/>
    <s v="PITOT PROBE, HEATED, 28V"/>
    <s v="6.571"/>
    <s v="M20"/>
    <m/>
    <s v="AET02"/>
    <s v="R"/>
    <s v="K"/>
    <x v="2"/>
    <s v="S"/>
    <m/>
    <m/>
    <m/>
    <m/>
    <n v="10"/>
  </r>
  <r>
    <x v="3"/>
    <n v="50180219"/>
    <s v="MF"/>
    <n v="1"/>
    <n v="1"/>
    <n v="0"/>
    <n v="5"/>
    <n v="5"/>
    <m/>
    <m/>
    <m/>
    <m/>
    <x v="3"/>
    <s v="08/15/2016"/>
    <s v="06/24/2016"/>
    <x v="4"/>
    <s v="PITOT PROBE, HEATED, 28V"/>
    <s v="18"/>
    <s v="M20"/>
    <m/>
    <s v="AET02"/>
    <s v="R"/>
    <s v="P"/>
    <x v="2"/>
    <s v="6/10/16 MKC"/>
    <m/>
    <m/>
    <m/>
    <m/>
    <n v="12"/>
  </r>
  <r>
    <x v="5"/>
    <n v="50180850"/>
    <s v="MF"/>
    <n v="1"/>
    <n v="1"/>
    <n v="1"/>
    <n v="10"/>
    <n v="10"/>
    <m/>
    <m/>
    <m/>
    <m/>
    <x v="5"/>
    <s v="08/29/2016"/>
    <s v="06/10/2016"/>
    <x v="5"/>
    <s v="PITOT PROBE, HEATED, 28V"/>
    <s v="1.333"/>
    <s v="M20"/>
    <m/>
    <s v="AET02"/>
    <s v="R"/>
    <s v="P"/>
    <x v="2"/>
    <s v="7/7/16 MKC"/>
    <m/>
    <m/>
    <m/>
    <m/>
    <n v="13"/>
  </r>
  <r>
    <x v="6"/>
    <n v="50177336"/>
    <s v="MF"/>
    <n v="1"/>
    <n v="1"/>
    <n v="1"/>
    <n v="3"/>
    <n v="3"/>
    <m/>
    <m/>
    <m/>
    <m/>
    <x v="6"/>
    <s v="04/29/2016"/>
    <s v="08/25/2016"/>
    <x v="5"/>
    <s v="PITOT PROBE, HEATED, 28V"/>
    <m/>
    <s v="M20"/>
    <m/>
    <s v="AET02"/>
    <s v="R"/>
    <s v="P"/>
    <x v="4"/>
    <m/>
    <m/>
    <m/>
    <m/>
    <m/>
    <n v="14"/>
  </r>
  <r>
    <x v="7"/>
    <n v="50177698"/>
    <s v="MF"/>
    <n v="1"/>
    <n v="1"/>
    <n v="1"/>
    <n v="1"/>
    <n v="1"/>
    <m/>
    <m/>
    <m/>
    <m/>
    <x v="7"/>
    <s v="04/29/2016"/>
    <s v="09/13/2016"/>
    <x v="6"/>
    <s v="PITOT PROBE, HEATED, 28V"/>
    <m/>
    <s v="M20"/>
    <m/>
    <s v="AET02"/>
    <s v="R"/>
    <s v="R"/>
    <x v="4"/>
    <m/>
    <m/>
    <m/>
    <m/>
    <m/>
    <n v="17"/>
  </r>
  <r>
    <x v="8"/>
    <n v="50181038"/>
    <s v="MF"/>
    <n v="1"/>
    <n v="1"/>
    <n v="1"/>
    <n v="6"/>
    <n v="6"/>
    <m/>
    <m/>
    <m/>
    <m/>
    <x v="8"/>
    <s v="09/02/2016"/>
    <s v="07/05/2016"/>
    <x v="7"/>
    <s v="PITOT PROBE, HEATED, 28V"/>
    <s v="5.5"/>
    <s v="M20"/>
    <m/>
    <s v="AET02"/>
    <s v="R"/>
    <s v="J"/>
    <x v="2"/>
    <s v="7/6/16 MKC"/>
    <m/>
    <m/>
    <m/>
    <m/>
    <n v="18"/>
  </r>
  <r>
    <x v="9"/>
    <n v="50181948"/>
    <s v="MF"/>
    <n v="1"/>
    <n v="1"/>
    <n v="1"/>
    <n v="10"/>
    <n v="10"/>
    <m/>
    <m/>
    <m/>
    <m/>
    <x v="9"/>
    <s v="09/26/2016"/>
    <s v="08/05/2016"/>
    <x v="7"/>
    <s v="PITOT PROBE, HEATED, 28V"/>
    <s v="CLOSED"/>
    <s v="M20"/>
    <m/>
    <s v="AET02"/>
    <s v="R"/>
    <s v="J"/>
    <x v="2"/>
    <s v="S"/>
    <m/>
    <m/>
    <m/>
    <m/>
    <n v="19"/>
  </r>
  <r>
    <x v="7"/>
    <n v="50173720"/>
    <s v="MF"/>
    <n v="1"/>
    <n v="1"/>
    <n v="1"/>
    <n v="1"/>
    <n v="1"/>
    <m/>
    <m/>
    <m/>
    <m/>
    <x v="7"/>
    <s v="11/25/2015"/>
    <s v="09/13/2016"/>
    <x v="7"/>
    <s v="PITOT PROBE, HEATED, 28V"/>
    <m/>
    <s v="M20"/>
    <m/>
    <s v="AET02"/>
    <s v="R"/>
    <s v="J"/>
    <x v="4"/>
    <m/>
    <m/>
    <m/>
    <m/>
    <m/>
    <n v="21"/>
  </r>
  <r>
    <x v="9"/>
    <n v="50180148"/>
    <s v="MF"/>
    <n v="1"/>
    <n v="1"/>
    <n v="1"/>
    <n v="8"/>
    <n v="8"/>
    <m/>
    <m/>
    <m/>
    <m/>
    <x v="9"/>
    <s v="07/18/2016"/>
    <s v="08/05/2016"/>
    <x v="8"/>
    <s v="PITOT PROBE, HEATED, 28V"/>
    <s v="30"/>
    <s v="M20"/>
    <m/>
    <s v="AET02"/>
    <s v="R"/>
    <s v="M"/>
    <x v="2"/>
    <s v="6/9/16 MKC"/>
    <m/>
    <m/>
    <m/>
    <m/>
    <n v="28"/>
  </r>
  <r>
    <x v="9"/>
    <n v="50181556"/>
    <s v="MF"/>
    <n v="1"/>
    <n v="1"/>
    <n v="1"/>
    <n v="7"/>
    <n v="7"/>
    <m/>
    <m/>
    <m/>
    <m/>
    <x v="9"/>
    <s v="09/26/2016"/>
    <s v="08/05/2016"/>
    <x v="8"/>
    <s v="PITOT PROBE, HEATED, 28V"/>
    <s v="30"/>
    <s v="M20"/>
    <m/>
    <s v="AET02"/>
    <s v="R"/>
    <s v="M"/>
    <x v="2"/>
    <s v="S"/>
    <m/>
    <m/>
    <m/>
    <m/>
    <n v="29"/>
  </r>
  <r>
    <x v="3"/>
    <n v="50180220"/>
    <s v="MF"/>
    <n v="1"/>
    <n v="1"/>
    <n v="0"/>
    <n v="15"/>
    <n v="15"/>
    <m/>
    <m/>
    <m/>
    <m/>
    <x v="3"/>
    <s v="08/15/2016"/>
    <s v="06/24/2016"/>
    <x v="9"/>
    <s v="PITOT PROBE, HEATED, 28V"/>
    <s v="3.6"/>
    <s v="M20"/>
    <m/>
    <s v="AET02"/>
    <s v="R"/>
    <s v="L"/>
    <x v="2"/>
    <s v="6/9/16 MKC"/>
    <m/>
    <m/>
    <m/>
    <m/>
    <n v="31"/>
  </r>
  <r>
    <x v="10"/>
    <n v="50173714"/>
    <s v="MF"/>
    <n v="1"/>
    <n v="1"/>
    <n v="0"/>
    <n v="1"/>
    <n v="1"/>
    <m/>
    <m/>
    <m/>
    <m/>
    <x v="10"/>
    <s v="11/25/2015"/>
    <s v="08/29/2016"/>
    <x v="10"/>
    <s v="PITOT PROBE, HEATED, 28V"/>
    <m/>
    <s v="M20"/>
    <m/>
    <s v="AET02"/>
    <s v="R"/>
    <s v="J"/>
    <x v="4"/>
    <m/>
    <m/>
    <m/>
    <m/>
    <m/>
    <n v="34"/>
  </r>
  <r>
    <x v="4"/>
    <n v="50181268"/>
    <s v="MF"/>
    <n v="1"/>
    <n v="1"/>
    <n v="1"/>
    <n v="8"/>
    <n v="8"/>
    <m/>
    <m/>
    <m/>
    <m/>
    <x v="4"/>
    <s v="09/12/2016"/>
    <s v="07/22/2016"/>
    <x v="11"/>
    <s v="PITOT PROBE, HEATED, 28V"/>
    <m/>
    <s v="M20"/>
    <m/>
    <s v="AET02"/>
    <s v="R"/>
    <s v="M"/>
    <x v="2"/>
    <s v="S"/>
    <m/>
    <m/>
    <m/>
    <m/>
    <n v="36"/>
  </r>
  <r>
    <x v="11"/>
    <n v="50180758"/>
    <s v="MF"/>
    <n v="1"/>
    <n v="1"/>
    <n v="1"/>
    <n v="5"/>
    <n v="5"/>
    <m/>
    <m/>
    <m/>
    <m/>
    <x v="11"/>
    <s v="08/08/2016"/>
    <s v="06/09/2016"/>
    <x v="12"/>
    <s v="PITOT PROBE, HEATED, 28V"/>
    <m/>
    <s v="M20"/>
    <m/>
    <s v="AET02"/>
    <s v="R"/>
    <s v="M"/>
    <x v="2"/>
    <s v="6/27/16 MKC"/>
    <m/>
    <m/>
    <m/>
    <m/>
    <n v="37"/>
  </r>
  <r>
    <x v="12"/>
    <n v="50181545"/>
    <s v="MF"/>
    <n v="1"/>
    <n v="1"/>
    <n v="1"/>
    <n v="10"/>
    <n v="10"/>
    <m/>
    <m/>
    <m/>
    <m/>
    <x v="12"/>
    <s v="09/19/2016"/>
    <s v="08/01/2016"/>
    <x v="12"/>
    <s v="PITOT PROBE, HEATED, 28V"/>
    <m/>
    <s v="M20"/>
    <m/>
    <s v="AET02"/>
    <s v="R"/>
    <s v="M"/>
    <x v="2"/>
    <s v="S"/>
    <m/>
    <m/>
    <m/>
    <m/>
    <n v="38"/>
  </r>
  <r>
    <x v="13"/>
    <n v="50181307"/>
    <s v="MF"/>
    <n v="1"/>
    <n v="1"/>
    <n v="1"/>
    <n v="6"/>
    <n v="6"/>
    <m/>
    <m/>
    <m/>
    <m/>
    <x v="13"/>
    <s v="07/25/2016"/>
    <s v="07/11/2016"/>
    <x v="13"/>
    <s v="PITOT PROBE, HEATED"/>
    <m/>
    <s v="M20"/>
    <m/>
    <s v="AET02"/>
    <s v="R"/>
    <s v="G"/>
    <x v="5"/>
    <s v="7/11/16 MKC"/>
    <m/>
    <m/>
    <m/>
    <m/>
    <n v="43"/>
  </r>
  <r>
    <x v="14"/>
    <n v="50180719"/>
    <s v="MF"/>
    <n v="1"/>
    <n v="1"/>
    <n v="1"/>
    <n v="50"/>
    <n v="50"/>
    <m/>
    <m/>
    <m/>
    <m/>
    <x v="14"/>
    <s v="09/26/2016"/>
    <s v="08/04/2016"/>
    <x v="14"/>
    <s v="PITOT PROBE, HEATED, 24V"/>
    <s v="3.667"/>
    <s v="M20"/>
    <m/>
    <s v="AET02"/>
    <s v="R"/>
    <s v="P"/>
    <x v="6"/>
    <s v="7/19/16 MKC"/>
    <m/>
    <m/>
    <m/>
    <m/>
    <n v="44"/>
  </r>
  <r>
    <x v="8"/>
    <n v="50180720"/>
    <s v="MF"/>
    <n v="1"/>
    <n v="1"/>
    <n v="1"/>
    <n v="50"/>
    <n v="50"/>
    <m/>
    <m/>
    <m/>
    <m/>
    <x v="8"/>
    <s v="09/26/2016"/>
    <s v="08/05/2016"/>
    <x v="14"/>
    <s v="PITOT PROBE, HEATED, 24V"/>
    <s v="4.167"/>
    <s v="M20"/>
    <m/>
    <s v="AET02"/>
    <s v="R"/>
    <s v="P"/>
    <x v="2"/>
    <s v="S"/>
    <m/>
    <m/>
    <m/>
    <m/>
    <n v="45"/>
  </r>
  <r>
    <x v="12"/>
    <n v="50181671"/>
    <s v="MF"/>
    <n v="1"/>
    <n v="1"/>
    <n v="1"/>
    <n v="40"/>
    <n v="40"/>
    <m/>
    <m/>
    <m/>
    <m/>
    <x v="12"/>
    <s v="10/03/2016"/>
    <s v="09/01/2016"/>
    <x v="14"/>
    <s v="PITOT PROBE, HEATED, 24V"/>
    <s v="10.6"/>
    <s v="M20"/>
    <m/>
    <s v="AET02"/>
    <s v="R"/>
    <s v="P"/>
    <x v="6"/>
    <s v="7/22/16 Mary L"/>
    <m/>
    <m/>
    <m/>
    <m/>
    <n v="46"/>
  </r>
  <r>
    <x v="15"/>
    <n v="50178967"/>
    <s v="MF"/>
    <n v="1"/>
    <n v="1"/>
    <n v="1"/>
    <n v="20"/>
    <n v="20"/>
    <m/>
    <m/>
    <m/>
    <m/>
    <x v="15"/>
    <s v="09/18/2017"/>
    <s v="09/12/2016"/>
    <x v="14"/>
    <s v="PITOT PROBE, HEATED, 24V"/>
    <m/>
    <s v="M20"/>
    <m/>
    <s v="AET02"/>
    <s v="R"/>
    <s v="P"/>
    <x v="7"/>
    <s v="6/15/16 MKC"/>
    <s v="wfm"/>
    <m/>
    <m/>
    <m/>
    <n v="47"/>
  </r>
  <r>
    <x v="16"/>
    <n v="50180657"/>
    <s v="MF"/>
    <n v="1"/>
    <n v="1"/>
    <n v="1"/>
    <n v="50"/>
    <n v="50"/>
    <m/>
    <m/>
    <m/>
    <m/>
    <x v="16"/>
    <s v="08/22/2016"/>
    <s v="09/14/2016"/>
    <x v="14"/>
    <s v="PITOT PROBE, HEATED, 24V"/>
    <s v="10.5"/>
    <s v="M20"/>
    <m/>
    <s v="AET02"/>
    <s v="R"/>
    <s v="P"/>
    <x v="2"/>
    <s v="S"/>
    <m/>
    <m/>
    <m/>
    <m/>
    <n v="48"/>
  </r>
  <r>
    <x v="5"/>
    <n v="50180278"/>
    <s v="MF"/>
    <n v="1"/>
    <n v="1"/>
    <n v="1"/>
    <n v="10"/>
    <n v="10"/>
    <m/>
    <m/>
    <m/>
    <m/>
    <x v="5"/>
    <s v="08/01/2016"/>
    <s v="06/10/2016"/>
    <x v="15"/>
    <s v="PITOT PROBE, HEATED, 24V"/>
    <s v="4"/>
    <s v="M20"/>
    <m/>
    <s v="AET02"/>
    <s v="R"/>
    <s v="N"/>
    <x v="2"/>
    <s v="6/29/16 MS"/>
    <m/>
    <m/>
    <m/>
    <m/>
    <n v="53"/>
  </r>
  <r>
    <x v="5"/>
    <n v="50179647"/>
    <s v="MF"/>
    <n v="1"/>
    <n v="1"/>
    <n v="1"/>
    <n v="10"/>
    <n v="10"/>
    <m/>
    <m/>
    <m/>
    <m/>
    <x v="5"/>
    <s v="08/01/2016"/>
    <s v="06/10/2016"/>
    <x v="15"/>
    <s v="PITOT PROBE, HEATED, 24V"/>
    <s v="2"/>
    <s v="M20"/>
    <m/>
    <s v="AET02"/>
    <s v="R"/>
    <s v="N"/>
    <x v="2"/>
    <s v="6/29/16 MS"/>
    <m/>
    <m/>
    <m/>
    <m/>
    <n v="54"/>
  </r>
  <r>
    <x v="5"/>
    <n v="50179480"/>
    <s v="MF"/>
    <n v="1"/>
    <n v="1"/>
    <n v="1"/>
    <n v="30"/>
    <n v="30"/>
    <m/>
    <m/>
    <m/>
    <m/>
    <x v="5"/>
    <s v="07/18/2016"/>
    <s v="06/10/2016"/>
    <x v="15"/>
    <s v="PITOT PROBE, HEATED, 24V"/>
    <s v="0.667"/>
    <s v="M20"/>
    <m/>
    <s v="AET02"/>
    <s v="R"/>
    <s v="N"/>
    <x v="2"/>
    <s v="5/19/16 MS"/>
    <m/>
    <m/>
    <m/>
    <m/>
    <n v="55"/>
  </r>
  <r>
    <x v="5"/>
    <n v="50180933"/>
    <s v="MF"/>
    <n v="1"/>
    <n v="1"/>
    <n v="1"/>
    <n v="25"/>
    <n v="25"/>
    <m/>
    <m/>
    <m/>
    <m/>
    <x v="5"/>
    <s v="09/12/2016"/>
    <s v="06/10/2016"/>
    <x v="15"/>
    <s v="PITOT PROBE, HEATED, 24V"/>
    <s v="1.333"/>
    <s v="M20"/>
    <m/>
    <s v="AET02"/>
    <s v="R"/>
    <s v="N"/>
    <x v="2"/>
    <s v="7/13/16 MS"/>
    <m/>
    <m/>
    <m/>
    <m/>
    <n v="56"/>
  </r>
  <r>
    <x v="5"/>
    <n v="50180934"/>
    <s v="MF"/>
    <n v="1"/>
    <n v="1"/>
    <n v="1"/>
    <n v="25"/>
    <n v="25"/>
    <m/>
    <m/>
    <m/>
    <m/>
    <x v="5"/>
    <s v="09/19/2016"/>
    <s v="06/10/2016"/>
    <x v="15"/>
    <s v="PITOT PROBE, HEATED, 24V"/>
    <s v="1.333"/>
    <s v="M20"/>
    <m/>
    <s v="AET02"/>
    <s v="R"/>
    <s v="N"/>
    <x v="2"/>
    <s v="7/18/16 MS"/>
    <m/>
    <m/>
    <m/>
    <m/>
    <n v="57"/>
  </r>
  <r>
    <x v="17"/>
    <n v="50181370"/>
    <s v="MF"/>
    <n v="1"/>
    <n v="1"/>
    <n v="1"/>
    <n v="25"/>
    <n v="25"/>
    <m/>
    <m/>
    <m/>
    <m/>
    <x v="17"/>
    <s v="09/26/2016"/>
    <s v="07/14/2016"/>
    <x v="15"/>
    <s v="PITOT PROBE, HEATED, 24V"/>
    <s v="11.667"/>
    <s v="M20"/>
    <m/>
    <s v="AET02"/>
    <s v="R"/>
    <s v="N"/>
    <x v="2"/>
    <s v="S"/>
    <m/>
    <m/>
    <m/>
    <m/>
    <n v="58"/>
  </r>
  <r>
    <x v="17"/>
    <n v="50181415"/>
    <s v="MF"/>
    <n v="1"/>
    <n v="1"/>
    <n v="1"/>
    <n v="25"/>
    <n v="25"/>
    <m/>
    <m/>
    <m/>
    <m/>
    <x v="17"/>
    <s v="09/12/2016"/>
    <s v="07/14/2016"/>
    <x v="15"/>
    <s v="PITOT PROBE, HEATED, 24V"/>
    <s v="11.667"/>
    <s v="M20"/>
    <m/>
    <s v="AET02"/>
    <s v="R"/>
    <s v="N"/>
    <x v="2"/>
    <s v="S"/>
    <m/>
    <m/>
    <m/>
    <m/>
    <n v="59"/>
  </r>
  <r>
    <x v="17"/>
    <n v="50181534"/>
    <s v="MF"/>
    <n v="1"/>
    <n v="1"/>
    <n v="1"/>
    <n v="25"/>
    <n v="25"/>
    <m/>
    <m/>
    <m/>
    <m/>
    <x v="17"/>
    <s v="09/12/2016"/>
    <s v="07/14/2016"/>
    <x v="15"/>
    <s v="PITOT PROBE, HEATED, 24V"/>
    <s v="11.667"/>
    <s v="M20"/>
    <m/>
    <s v="AET02"/>
    <s v="R"/>
    <s v="N"/>
    <x v="2"/>
    <s v="S"/>
    <m/>
    <m/>
    <m/>
    <m/>
    <n v="60"/>
  </r>
  <r>
    <x v="18"/>
    <n v="50180671"/>
    <s v="MF"/>
    <n v="1"/>
    <n v="1"/>
    <n v="1"/>
    <n v="25"/>
    <n v="25"/>
    <m/>
    <m/>
    <m/>
    <m/>
    <x v="18"/>
    <s v="08/29/2016"/>
    <s v="07/25/2016"/>
    <x v="15"/>
    <s v="PITOT PROBE, HEATED, 24V"/>
    <s v="15.667"/>
    <s v="M20"/>
    <m/>
    <s v="AET02"/>
    <s v="R"/>
    <s v="N"/>
    <x v="8"/>
    <s v="7/27/16  DAVE T"/>
    <m/>
    <m/>
    <m/>
    <m/>
    <n v="61"/>
  </r>
  <r>
    <x v="18"/>
    <n v="50180672"/>
    <s v="MF"/>
    <n v="1"/>
    <n v="1"/>
    <n v="1"/>
    <n v="25"/>
    <n v="25"/>
    <m/>
    <m/>
    <m/>
    <m/>
    <x v="18"/>
    <s v="09/02/2016"/>
    <s v="07/25/2016"/>
    <x v="15"/>
    <s v="PITOT PROBE, HEATED, 24V"/>
    <s v="15.667"/>
    <s v="M20"/>
    <m/>
    <s v="AET02"/>
    <s v="R"/>
    <s v="N"/>
    <x v="9"/>
    <s v="7/27/16  DAVE T"/>
    <m/>
    <m/>
    <m/>
    <m/>
    <n v="62"/>
  </r>
  <r>
    <x v="12"/>
    <n v="50181535"/>
    <s v="MF"/>
    <n v="1"/>
    <n v="1"/>
    <n v="1"/>
    <n v="25"/>
    <n v="25"/>
    <m/>
    <m/>
    <m/>
    <m/>
    <x v="12"/>
    <s v="09/19/2016"/>
    <s v="08/01/2016"/>
    <x v="15"/>
    <s v="PITOT PROBE, HEATED, 24V"/>
    <s v="17.667"/>
    <s v="M20"/>
    <m/>
    <s v="AET02"/>
    <s v="R"/>
    <s v="N"/>
    <x v="2"/>
    <s v="S"/>
    <m/>
    <m/>
    <m/>
    <m/>
    <n v="63"/>
  </r>
  <r>
    <x v="7"/>
    <n v="50177979"/>
    <s v="MF"/>
    <n v="1"/>
    <n v="1"/>
    <n v="1"/>
    <n v="5"/>
    <n v="5"/>
    <m/>
    <m/>
    <m/>
    <m/>
    <x v="7"/>
    <s v="07/08/2016"/>
    <s v="09/13/2016"/>
    <x v="15"/>
    <s v="PITOT PROBE, HEATED, 24V"/>
    <m/>
    <s v="M20"/>
    <m/>
    <s v="AET02"/>
    <s v="R"/>
    <s v="N"/>
    <x v="4"/>
    <m/>
    <m/>
    <m/>
    <m/>
    <m/>
    <n v="64"/>
  </r>
  <r>
    <x v="7"/>
    <n v="50173131"/>
    <s v="MF"/>
    <n v="1"/>
    <n v="1"/>
    <n v="1"/>
    <n v="11"/>
    <n v="6"/>
    <m/>
    <m/>
    <m/>
    <m/>
    <x v="7"/>
    <s v="10/30/2015"/>
    <s v="09/13/2016"/>
    <x v="15"/>
    <s v="PITOT PROBE, HEATED, 24V"/>
    <s v="CLOSED"/>
    <s v="M20"/>
    <m/>
    <s v="AET02"/>
    <s v="R"/>
    <s v="N"/>
    <x v="4"/>
    <m/>
    <s v="rework/re-evaluation"/>
    <m/>
    <m/>
    <m/>
    <n v="65"/>
  </r>
  <r>
    <x v="13"/>
    <n v="50180851"/>
    <s v="MF"/>
    <n v="1"/>
    <n v="1"/>
    <n v="0"/>
    <n v="5"/>
    <n v="5"/>
    <m/>
    <m/>
    <m/>
    <m/>
    <x v="13"/>
    <s v="08/29/2016"/>
    <s v="07/11/2016"/>
    <x v="16"/>
    <s v="PITOT PROBE, HEATED, 24V"/>
    <m/>
    <s v="M20"/>
    <m/>
    <s v="AET02"/>
    <s v="R"/>
    <s v="L"/>
    <x v="2"/>
    <s v="7/16/18 MS"/>
    <m/>
    <m/>
    <m/>
    <m/>
    <n v="75"/>
  </r>
  <r>
    <x v="19"/>
    <n v="50181367"/>
    <s v="MF"/>
    <n v="1"/>
    <n v="1"/>
    <n v="1"/>
    <n v="25"/>
    <n v="25"/>
    <m/>
    <m/>
    <m/>
    <m/>
    <x v="19"/>
    <s v="09/12/2016"/>
    <s v="08/04/2016"/>
    <x v="17"/>
    <s v="PITOT PROBE NICKEL PL ELECT"/>
    <s v="14"/>
    <s v="M20"/>
    <m/>
    <s v="AET02"/>
    <s v="R"/>
    <s v="E"/>
    <x v="2"/>
    <s v="S"/>
    <m/>
    <m/>
    <m/>
    <m/>
    <n v="76"/>
  </r>
  <r>
    <x v="19"/>
    <n v="50181368"/>
    <s v="MF"/>
    <n v="1"/>
    <n v="1"/>
    <n v="1"/>
    <n v="25"/>
    <n v="25"/>
    <m/>
    <m/>
    <m/>
    <m/>
    <x v="19"/>
    <s v="10/10/2016"/>
    <s v="08/04/2016"/>
    <x v="17"/>
    <s v="PITOT PROBE NICKEL PL ELECT"/>
    <s v="14"/>
    <s v="M20"/>
    <m/>
    <s v="AET02"/>
    <s v="R"/>
    <s v="E"/>
    <x v="2"/>
    <s v="S"/>
    <m/>
    <m/>
    <m/>
    <m/>
    <n v="77"/>
  </r>
  <r>
    <x v="7"/>
    <n v="50180189"/>
    <s v="MF"/>
    <n v="1"/>
    <n v="1"/>
    <n v="1"/>
    <n v="3"/>
    <n v="3"/>
    <m/>
    <m/>
    <m/>
    <m/>
    <x v="7"/>
    <s v="07/28/2016"/>
    <s v="09/13/2016"/>
    <x v="17"/>
    <s v="PITOT PROBE NICKEL PL ELECT"/>
    <m/>
    <s v="M20"/>
    <m/>
    <s v="AET02"/>
    <s v="R"/>
    <s v="E"/>
    <x v="10"/>
    <m/>
    <m/>
    <m/>
    <m/>
    <m/>
    <n v="81"/>
  </r>
  <r>
    <x v="20"/>
    <n v="50180208"/>
    <s v="MF"/>
    <n v="1"/>
    <n v="1"/>
    <n v="1"/>
    <n v="25"/>
    <n v="25"/>
    <m/>
    <m/>
    <m/>
    <m/>
    <x v="20"/>
    <s v="08/22/2016"/>
    <s v="06/16/2016"/>
    <x v="18"/>
    <s v="PITOT PROBE, HEATED, 24V"/>
    <s v="1.333"/>
    <s v="M20"/>
    <m/>
    <s v="AET02"/>
    <s v="R"/>
    <s v="P"/>
    <x v="2"/>
    <s v="7/11/16 MS"/>
    <m/>
    <m/>
    <m/>
    <m/>
    <n v="89"/>
  </r>
  <r>
    <x v="20"/>
    <n v="50179606"/>
    <s v="MF"/>
    <n v="1"/>
    <n v="1"/>
    <n v="1"/>
    <n v="15"/>
    <n v="15"/>
    <m/>
    <m/>
    <m/>
    <m/>
    <x v="20"/>
    <s v="08/01/2016"/>
    <s v="06/16/2016"/>
    <x v="18"/>
    <s v="PITOT PROBE, HEATED, 24V"/>
    <s v="2"/>
    <s v="M20"/>
    <m/>
    <s v="AET02"/>
    <s v="R"/>
    <s v="P"/>
    <x v="2"/>
    <s v="6/2/16 MS"/>
    <m/>
    <m/>
    <m/>
    <m/>
    <n v="90"/>
  </r>
  <r>
    <x v="14"/>
    <n v="50181182"/>
    <s v="MF"/>
    <n v="1"/>
    <n v="1"/>
    <n v="1"/>
    <n v="25"/>
    <n v="25"/>
    <m/>
    <m/>
    <m/>
    <m/>
    <x v="14"/>
    <s v="08/22/2016"/>
    <s v="06/30/2016"/>
    <x v="18"/>
    <s v="PITOT PROBE, HEATED, 24V"/>
    <s v="3.667"/>
    <s v="M20"/>
    <m/>
    <s v="AET02"/>
    <s v="R"/>
    <s v="P"/>
    <x v="2"/>
    <s v="7/11/16 MS"/>
    <m/>
    <m/>
    <m/>
    <m/>
    <n v="91"/>
  </r>
  <r>
    <x v="21"/>
    <n v="50181215"/>
    <s v="MF"/>
    <n v="1"/>
    <n v="1"/>
    <n v="1"/>
    <n v="35"/>
    <n v="35"/>
    <m/>
    <m/>
    <m/>
    <m/>
    <x v="21"/>
    <s v="09/02/2016"/>
    <s v="07/18/2016"/>
    <x v="18"/>
    <s v="PITOT PROBE, HEATED, 24V"/>
    <s v="9"/>
    <s v="M20"/>
    <m/>
    <s v="AET02"/>
    <s v="R"/>
    <s v="P"/>
    <x v="2"/>
    <s v="7/16/16 MKC"/>
    <m/>
    <m/>
    <m/>
    <m/>
    <n v="92"/>
  </r>
  <r>
    <x v="22"/>
    <n v="50181216"/>
    <s v="MF"/>
    <n v="1"/>
    <n v="1"/>
    <n v="1"/>
    <n v="25"/>
    <n v="25"/>
    <m/>
    <m/>
    <m/>
    <m/>
    <x v="22"/>
    <s v="09/12/2016"/>
    <s v="07/19/2016"/>
    <x v="18"/>
    <s v="PITOT PROBE, HEATED, 24V"/>
    <s v="13.333"/>
    <s v="M20"/>
    <m/>
    <s v="AET02"/>
    <s v="R"/>
    <s v="P"/>
    <x v="2"/>
    <s v="S"/>
    <m/>
    <m/>
    <m/>
    <m/>
    <n v="93"/>
  </r>
  <r>
    <x v="12"/>
    <n v="50181217"/>
    <s v="MF"/>
    <n v="1"/>
    <n v="1"/>
    <n v="1"/>
    <n v="10"/>
    <n v="10"/>
    <m/>
    <m/>
    <m/>
    <m/>
    <x v="12"/>
    <s v="09/19/2016"/>
    <s v="08/01/2016"/>
    <x v="18"/>
    <s v="PITOT PROBE, HEATED, 24V"/>
    <s v="53"/>
    <s v="M20"/>
    <m/>
    <s v="AET02"/>
    <s v="R"/>
    <s v="P"/>
    <x v="2"/>
    <s v="S"/>
    <m/>
    <m/>
    <m/>
    <m/>
    <n v="94"/>
  </r>
  <r>
    <x v="9"/>
    <n v="50181218"/>
    <s v="MF"/>
    <n v="1"/>
    <n v="1"/>
    <n v="1"/>
    <n v="15"/>
    <n v="15"/>
    <m/>
    <m/>
    <m/>
    <m/>
    <x v="9"/>
    <s v="09/26/2016"/>
    <s v="08/05/2016"/>
    <x v="18"/>
    <s v="PITOT PROBE, HEATED, 24V"/>
    <s v="30"/>
    <s v="M20"/>
    <m/>
    <s v="AET02"/>
    <s v="R"/>
    <s v="P"/>
    <x v="2"/>
    <s v="S"/>
    <m/>
    <m/>
    <m/>
    <m/>
    <n v="95"/>
  </r>
  <r>
    <x v="9"/>
    <n v="50181725"/>
    <s v="MF"/>
    <n v="1"/>
    <n v="1"/>
    <n v="0"/>
    <n v="4"/>
    <n v="4"/>
    <m/>
    <m/>
    <m/>
    <m/>
    <x v="9"/>
    <s v="09/19/2016"/>
    <s v="08/05/2016"/>
    <x v="18"/>
    <s v="PITOT PROBE, HEATED, 24V"/>
    <m/>
    <s v="M20"/>
    <m/>
    <s v="AET02"/>
    <s v="R"/>
    <s v="P"/>
    <x v="11"/>
    <m/>
    <m/>
    <m/>
    <m/>
    <m/>
    <n v="96"/>
  </r>
  <r>
    <x v="23"/>
    <n v="50179607"/>
    <s v="MF"/>
    <n v="1"/>
    <n v="1"/>
    <n v="1"/>
    <n v="25"/>
    <n v="2"/>
    <m/>
    <m/>
    <m/>
    <m/>
    <x v="23"/>
    <s v="08/08/2016"/>
    <s v="08/11/2016"/>
    <x v="18"/>
    <s v="PITOT PROBE, HEATED, 24V"/>
    <s v="10.667"/>
    <s v="M20"/>
    <m/>
    <s v="AET02"/>
    <s v="R"/>
    <s v="P"/>
    <x v="2"/>
    <s v="5/31/16 MS"/>
    <m/>
    <m/>
    <m/>
    <m/>
    <n v="97"/>
  </r>
  <r>
    <x v="23"/>
    <n v="50180207"/>
    <s v="MF"/>
    <n v="1"/>
    <n v="1"/>
    <n v="1"/>
    <n v="15"/>
    <n v="1"/>
    <m/>
    <m/>
    <m/>
    <m/>
    <x v="23"/>
    <s v="08/15/2016"/>
    <s v="08/11/2016"/>
    <x v="18"/>
    <s v="PITOT PROBE, HEATED, 24V"/>
    <s v="12.8"/>
    <s v="M20"/>
    <m/>
    <s v="AET02"/>
    <s v="R"/>
    <s v="P"/>
    <x v="2"/>
    <s v="6/9/16 MS"/>
    <m/>
    <m/>
    <m/>
    <m/>
    <n v="98"/>
  </r>
  <r>
    <x v="24"/>
    <n v="50180282"/>
    <s v="MF"/>
    <n v="1"/>
    <n v="1"/>
    <n v="0"/>
    <n v="3"/>
    <n v="3"/>
    <m/>
    <m/>
    <m/>
    <m/>
    <x v="24"/>
    <s v="08/31/2016"/>
    <s v="08/15/2016"/>
    <x v="18"/>
    <s v="PITOT PROBE, HEATED, 24V"/>
    <m/>
    <s v="M20"/>
    <m/>
    <s v="AET02"/>
    <s v="R"/>
    <s v="P"/>
    <x v="12"/>
    <m/>
    <m/>
    <m/>
    <m/>
    <m/>
    <n v="99"/>
  </r>
  <r>
    <x v="7"/>
    <n v="50172750"/>
    <s v="MF"/>
    <n v="1"/>
    <n v="1"/>
    <n v="1"/>
    <n v="6"/>
    <n v="1"/>
    <m/>
    <m/>
    <m/>
    <m/>
    <x v="7"/>
    <s v="10/15/2015"/>
    <s v="09/13/2016"/>
    <x v="18"/>
    <s v="PITOT PROBE, HEATED, 24V"/>
    <m/>
    <s v="M20"/>
    <m/>
    <s v="AET02"/>
    <s v="R"/>
    <s v="P"/>
    <x v="13"/>
    <m/>
    <m/>
    <m/>
    <m/>
    <m/>
    <n v="103"/>
  </r>
  <r>
    <x v="7"/>
    <n v="50173421"/>
    <s v="MF"/>
    <n v="1"/>
    <n v="1"/>
    <n v="1"/>
    <n v="4"/>
    <n v="4"/>
    <m/>
    <m/>
    <m/>
    <m/>
    <x v="7"/>
    <s v="12/30/2015"/>
    <s v="09/13/2016"/>
    <x v="18"/>
    <s v="PITOT PROBE, HEATED, 24V"/>
    <m/>
    <s v="M20"/>
    <m/>
    <s v="AET02"/>
    <s v="R"/>
    <s v="P"/>
    <x v="4"/>
    <m/>
    <m/>
    <m/>
    <m/>
    <m/>
    <n v="104"/>
  </r>
  <r>
    <x v="7"/>
    <n v="50177323"/>
    <s v="MF"/>
    <n v="1"/>
    <n v="1"/>
    <n v="1"/>
    <n v="3"/>
    <n v="1"/>
    <m/>
    <m/>
    <m/>
    <m/>
    <x v="7"/>
    <s v="04/29/2016"/>
    <s v="09/13/2016"/>
    <x v="18"/>
    <s v="PITOT PROBE, HEATED, 24V"/>
    <s v="23.75"/>
    <s v="M20"/>
    <m/>
    <s v="AET02"/>
    <s v="R"/>
    <s v="P"/>
    <x v="4"/>
    <m/>
    <m/>
    <m/>
    <m/>
    <m/>
    <n v="105"/>
  </r>
  <r>
    <x v="8"/>
    <n v="50180198"/>
    <s v="MF"/>
    <n v="1"/>
    <n v="1"/>
    <n v="1"/>
    <n v="30"/>
    <n v="2"/>
    <m/>
    <m/>
    <m/>
    <m/>
    <x v="8"/>
    <s v="08/22/2016"/>
    <s v="07/05/2016"/>
    <x v="19"/>
    <s v="PITOT PROBE, HEATED, 24V"/>
    <s v="4.167"/>
    <s v="M20"/>
    <m/>
    <s v="9040FI"/>
    <s v="R"/>
    <s v="R"/>
    <x v="2"/>
    <s v="6/15/16 MS"/>
    <m/>
    <m/>
    <m/>
    <m/>
    <n v="117"/>
  </r>
  <r>
    <x v="21"/>
    <n v="50181557"/>
    <s v="MF"/>
    <n v="1"/>
    <n v="1"/>
    <n v="1"/>
    <n v="15"/>
    <n v="15"/>
    <m/>
    <m/>
    <m/>
    <m/>
    <x v="21"/>
    <s v="09/26/2016"/>
    <s v="07/18/2016"/>
    <x v="19"/>
    <s v="PITOT PROBE, HEATED, 24V"/>
    <s v="18"/>
    <s v="M20"/>
    <m/>
    <s v="9040FI"/>
    <s v="R"/>
    <s v="R"/>
    <x v="2"/>
    <s v="7/19/16 MKC"/>
    <m/>
    <m/>
    <m/>
    <m/>
    <n v="118"/>
  </r>
  <r>
    <x v="9"/>
    <n v="50181637"/>
    <s v="MF"/>
    <n v="1"/>
    <n v="1"/>
    <n v="1"/>
    <n v="15"/>
    <n v="15"/>
    <m/>
    <m/>
    <m/>
    <m/>
    <x v="9"/>
    <s v="09/26/2016"/>
    <s v="08/05/2016"/>
    <x v="19"/>
    <s v="PITOT PROBE, HEATED, 24V"/>
    <s v="30"/>
    <s v="M20"/>
    <m/>
    <s v="9040FI"/>
    <s v="R"/>
    <s v="R"/>
    <x v="2"/>
    <s v="S"/>
    <m/>
    <m/>
    <m/>
    <m/>
    <n v="119"/>
  </r>
  <r>
    <x v="16"/>
    <n v="50180663"/>
    <s v="MF"/>
    <n v="1"/>
    <n v="1"/>
    <n v="1"/>
    <n v="25"/>
    <n v="25"/>
    <m/>
    <m/>
    <m/>
    <m/>
    <x v="16"/>
    <s v="09/26/2016"/>
    <s v="08/10/2016"/>
    <x v="19"/>
    <s v="PITOT PROBE, HEATED, 24V"/>
    <s v="21"/>
    <s v="M20"/>
    <m/>
    <s v="9040FI"/>
    <s v="R"/>
    <s v="R"/>
    <x v="14"/>
    <s v="S"/>
    <m/>
    <m/>
    <m/>
    <m/>
    <n v="120"/>
  </r>
  <r>
    <x v="16"/>
    <n v="50180664"/>
    <s v="MF"/>
    <n v="1"/>
    <n v="1"/>
    <n v="1"/>
    <n v="25"/>
    <n v="25"/>
    <m/>
    <m/>
    <m/>
    <m/>
    <x v="16"/>
    <s v="09/26/2016"/>
    <s v="08/10/2016"/>
    <x v="19"/>
    <s v="PITOT PROBE, HEATED, 24V"/>
    <s v="21"/>
    <s v="M20"/>
    <m/>
    <s v="9040FI"/>
    <s v="R"/>
    <s v="R"/>
    <x v="14"/>
    <s v="S"/>
    <m/>
    <m/>
    <m/>
    <m/>
    <n v="121"/>
  </r>
  <r>
    <x v="16"/>
    <n v="50180665"/>
    <s v="MF"/>
    <n v="1"/>
    <n v="1"/>
    <n v="1"/>
    <n v="25"/>
    <n v="24"/>
    <m/>
    <m/>
    <m/>
    <m/>
    <x v="16"/>
    <s v="09/26/2016"/>
    <s v="08/10/2016"/>
    <x v="19"/>
    <s v="PITOT PROBE, HEATED, 24V"/>
    <s v="10.5"/>
    <s v="M20"/>
    <m/>
    <s v="9040FI"/>
    <s v="R"/>
    <s v="R"/>
    <x v="14"/>
    <s v="7/5/16 MS"/>
    <m/>
    <m/>
    <m/>
    <m/>
    <n v="122"/>
  </r>
  <r>
    <x v="16"/>
    <n v="50180666"/>
    <s v="MF"/>
    <n v="1"/>
    <n v="1"/>
    <n v="1"/>
    <n v="25"/>
    <n v="25"/>
    <m/>
    <m/>
    <m/>
    <m/>
    <x v="16"/>
    <s v="09/26/2016"/>
    <s v="08/10/2016"/>
    <x v="19"/>
    <s v="PITOT PROBE, HEATED, 24V"/>
    <s v="21"/>
    <s v="M20"/>
    <m/>
    <s v="9040FI"/>
    <s v="R"/>
    <s v="R"/>
    <x v="14"/>
    <s v="7/5/16 MS"/>
    <m/>
    <m/>
    <m/>
    <m/>
    <n v="123"/>
  </r>
  <r>
    <x v="16"/>
    <n v="50180667"/>
    <s v="MF"/>
    <n v="1"/>
    <n v="1"/>
    <n v="1"/>
    <n v="20"/>
    <n v="20"/>
    <m/>
    <m/>
    <m/>
    <m/>
    <x v="16"/>
    <s v="09/26/2016"/>
    <s v="08/10/2016"/>
    <x v="19"/>
    <s v="PITOT PROBE, HEATED, 24V"/>
    <s v="31.5"/>
    <s v="M20"/>
    <m/>
    <s v="9040FI"/>
    <s v="R"/>
    <s v="R"/>
    <x v="14"/>
    <s v="S"/>
    <m/>
    <m/>
    <m/>
    <m/>
    <n v="124"/>
  </r>
  <r>
    <x v="25"/>
    <n v="50178976"/>
    <s v="MF"/>
    <n v="1"/>
    <n v="1"/>
    <n v="1"/>
    <n v="10"/>
    <n v="10"/>
    <m/>
    <m/>
    <m/>
    <m/>
    <x v="25"/>
    <s v="11/07/2016"/>
    <s v="06/23/2016"/>
    <x v="20"/>
    <s v="PITOT PROBE, HEATED, 24V"/>
    <s v="4.667"/>
    <s v="M20"/>
    <m/>
    <s v="AET02"/>
    <s v="R"/>
    <s v="L"/>
    <x v="7"/>
    <s v="5/19/16 MS"/>
    <m/>
    <m/>
    <m/>
    <m/>
    <n v="125"/>
  </r>
  <r>
    <x v="12"/>
    <n v="50181675"/>
    <s v="MF"/>
    <n v="1"/>
    <n v="1"/>
    <n v="1"/>
    <n v="15"/>
    <n v="15"/>
    <m/>
    <m/>
    <m/>
    <m/>
    <x v="12"/>
    <s v="02/06/2017"/>
    <s v="08/01/2016"/>
    <x v="20"/>
    <s v="PITOT PROBE, HEATED, 24V"/>
    <s v="17.667"/>
    <s v="M20"/>
    <m/>
    <s v="AET02"/>
    <s v="R"/>
    <s v="L"/>
    <x v="6"/>
    <s v="7/23/16 MaryL"/>
    <m/>
    <m/>
    <m/>
    <m/>
    <n v="126"/>
  </r>
  <r>
    <x v="5"/>
    <n v="50181377"/>
    <s v="MF"/>
    <n v="1"/>
    <n v="1"/>
    <n v="1"/>
    <n v="15"/>
    <n v="15"/>
    <m/>
    <m/>
    <m/>
    <m/>
    <x v="5"/>
    <s v="07/12/2016"/>
    <s v="06/10/2016"/>
    <x v="21"/>
    <s v="PITOT PROBE, HEATED, 12V"/>
    <s v="1.333"/>
    <s v="M20"/>
    <m/>
    <m/>
    <s v="R"/>
    <s v="K"/>
    <x v="2"/>
    <m/>
    <m/>
    <m/>
    <m/>
    <m/>
    <n v="127"/>
  </r>
  <r>
    <x v="21"/>
    <n v="50181219"/>
    <s v="MF"/>
    <n v="1"/>
    <n v="1"/>
    <n v="1"/>
    <n v="25"/>
    <n v="25"/>
    <m/>
    <m/>
    <m/>
    <m/>
    <x v="21"/>
    <s v="09/02/2016"/>
    <s v="07/18/2016"/>
    <x v="22"/>
    <s v="PITOT PROBE, HEATED, 24V"/>
    <s v="12"/>
    <s v="M20"/>
    <m/>
    <s v="AET02"/>
    <s v="R"/>
    <s v="N"/>
    <x v="2"/>
    <s v="7/13/16 MKC"/>
    <m/>
    <m/>
    <m/>
    <m/>
    <n v="128"/>
  </r>
  <r>
    <x v="21"/>
    <n v="50181220"/>
    <s v="MF"/>
    <n v="1"/>
    <n v="1"/>
    <n v="1"/>
    <n v="15"/>
    <n v="15"/>
    <m/>
    <m/>
    <m/>
    <m/>
    <x v="21"/>
    <s v="09/02/2016"/>
    <s v="07/18/2016"/>
    <x v="22"/>
    <s v="PITOT PROBE, HEATED, 24V"/>
    <s v="18"/>
    <s v="M20"/>
    <m/>
    <s v="AET02"/>
    <s v="R"/>
    <s v="N"/>
    <x v="2"/>
    <s v="7/13/16 MKC"/>
    <m/>
    <m/>
    <m/>
    <m/>
    <n v="129"/>
  </r>
  <r>
    <x v="21"/>
    <n v="50181221"/>
    <s v="MF"/>
    <n v="1"/>
    <n v="1"/>
    <n v="1"/>
    <n v="10"/>
    <n v="10"/>
    <m/>
    <m/>
    <m/>
    <m/>
    <x v="21"/>
    <s v="09/02/2016"/>
    <s v="07/18/2016"/>
    <x v="23"/>
    <s v="PITOT PROBE, HEATED, 24V"/>
    <s v="36"/>
    <s v="M20"/>
    <m/>
    <s v="9040FI"/>
    <s v="R"/>
    <s v="P"/>
    <x v="2"/>
    <s v="7/19/16 MKC"/>
    <m/>
    <m/>
    <m/>
    <m/>
    <n v="130"/>
  </r>
  <r>
    <x v="19"/>
    <n v="50181890"/>
    <s v="MF"/>
    <n v="1"/>
    <n v="1"/>
    <n v="1"/>
    <n v="10"/>
    <n v="10"/>
    <m/>
    <m/>
    <m/>
    <m/>
    <x v="19"/>
    <s v="09/19/2016"/>
    <s v="08/04/2016"/>
    <x v="23"/>
    <s v="PITOT PROBE, HEATED, 24V"/>
    <s v="56"/>
    <s v="M20"/>
    <m/>
    <s v="9040FI"/>
    <s v="R"/>
    <s v="P"/>
    <x v="2"/>
    <s v="S"/>
    <m/>
    <m/>
    <m/>
    <m/>
    <n v="131"/>
  </r>
  <r>
    <x v="7"/>
    <n v="50178051"/>
    <s v="MF"/>
    <n v="1"/>
    <n v="1"/>
    <n v="1"/>
    <n v="1"/>
    <n v="1"/>
    <m/>
    <m/>
    <m/>
    <m/>
    <x v="7"/>
    <s v="07/08/2016"/>
    <s v="09/13/2016"/>
    <x v="23"/>
    <s v="PITOT PROBE, HEATED, 24V"/>
    <m/>
    <s v="M20"/>
    <m/>
    <s v="9040FI"/>
    <s v="R"/>
    <s v="P"/>
    <x v="4"/>
    <m/>
    <m/>
    <m/>
    <m/>
    <m/>
    <n v="134"/>
  </r>
  <r>
    <x v="2"/>
    <n v="50177916"/>
    <s v="MF"/>
    <n v="1"/>
    <n v="1"/>
    <n v="0"/>
    <n v="10"/>
    <n v="10"/>
    <m/>
    <m/>
    <m/>
    <m/>
    <x v="2"/>
    <s v="05/23/2016"/>
    <s v="09/27/2016"/>
    <x v="24"/>
    <s v="PITOT PROBE, HEATED, 24V"/>
    <s v="36.333"/>
    <s v="M20"/>
    <m/>
    <s v="9040FI"/>
    <s v="R"/>
    <s v="P"/>
    <x v="2"/>
    <s v="5/11/16 MS"/>
    <m/>
    <m/>
    <m/>
    <m/>
    <n v="139"/>
  </r>
  <r>
    <x v="2"/>
    <n v="50169159"/>
    <s v="MF"/>
    <n v="1"/>
    <n v="1"/>
    <n v="0"/>
    <n v="2"/>
    <n v="2"/>
    <m/>
    <m/>
    <m/>
    <m/>
    <x v="2"/>
    <s v="06/08/2015"/>
    <s v="09/27/2016"/>
    <x v="24"/>
    <s v="PITOT PROBE, HEATED, 24V"/>
    <s v="36.333"/>
    <s v="M20"/>
    <m/>
    <s v="AET02"/>
    <s v="R"/>
    <s v="N"/>
    <x v="15"/>
    <m/>
    <m/>
    <m/>
    <m/>
    <m/>
    <n v="140"/>
  </r>
  <r>
    <x v="11"/>
    <n v="50181530"/>
    <s v="MF"/>
    <n v="1"/>
    <n v="1"/>
    <n v="1"/>
    <n v="5"/>
    <n v="5"/>
    <m/>
    <m/>
    <m/>
    <m/>
    <x v="11"/>
    <s v="08/31/2016"/>
    <s v="06/09/2016"/>
    <x v="25"/>
    <s v="PITOT PROBE, HEATED, 24V"/>
    <m/>
    <s v="M20"/>
    <m/>
    <s v="AET02"/>
    <s v="R"/>
    <s v="K"/>
    <x v="2"/>
    <m/>
    <m/>
    <m/>
    <m/>
    <m/>
    <n v="143"/>
  </r>
  <r>
    <x v="26"/>
    <n v="50181439"/>
    <s v="MF"/>
    <n v="1"/>
    <n v="1"/>
    <n v="1"/>
    <n v="10"/>
    <n v="1"/>
    <m/>
    <m/>
    <m/>
    <m/>
    <x v="26"/>
    <s v="10/17/2016"/>
    <s v="07/21/2016"/>
    <x v="25"/>
    <s v="PITOT PROBE, HEATED, 24V"/>
    <m/>
    <s v="M20"/>
    <m/>
    <s v="AET02"/>
    <s v="R"/>
    <s v="K"/>
    <x v="2"/>
    <s v="7/13/16 MS"/>
    <m/>
    <m/>
    <m/>
    <m/>
    <n v="144"/>
  </r>
  <r>
    <x v="23"/>
    <n v="50179253"/>
    <s v="MF"/>
    <n v="1"/>
    <n v="1"/>
    <n v="1"/>
    <n v="9"/>
    <n v="1"/>
    <m/>
    <m/>
    <m/>
    <m/>
    <x v="23"/>
    <s v="07/18/2016"/>
    <s v="08/11/2016"/>
    <x v="25"/>
    <s v="PITOT PROBE, HEATED, 24V"/>
    <s v="21.333"/>
    <s v="M20"/>
    <m/>
    <s v="AET02"/>
    <s v="R"/>
    <s v="K"/>
    <x v="2"/>
    <s v="5/17/16 MS"/>
    <m/>
    <m/>
    <m/>
    <m/>
    <n v="145"/>
  </r>
  <r>
    <x v="5"/>
    <n v="50179612"/>
    <s v="MF"/>
    <n v="1"/>
    <n v="1"/>
    <n v="1"/>
    <n v="18"/>
    <n v="1"/>
    <m/>
    <m/>
    <m/>
    <m/>
    <x v="5"/>
    <s v="08/01/2016"/>
    <s v="06/10/2016"/>
    <x v="26"/>
    <s v="PITOT TUBE (NICKEL PLATE)"/>
    <m/>
    <s v="M20"/>
    <m/>
    <s v="AET02"/>
    <s v="R"/>
    <s v="D"/>
    <x v="2"/>
    <s v="5/31/16 MS"/>
    <m/>
    <m/>
    <m/>
    <m/>
    <n v="146"/>
  </r>
  <r>
    <x v="27"/>
    <n v="50181369"/>
    <s v="MF"/>
    <n v="1"/>
    <n v="1"/>
    <n v="1"/>
    <n v="20"/>
    <n v="20"/>
    <m/>
    <m/>
    <m/>
    <m/>
    <x v="27"/>
    <s v="09/12/2016"/>
    <s v="07/27/2016"/>
    <x v="26"/>
    <s v="PITOT TUBE (NICKEL PLATE)"/>
    <s v="12.25"/>
    <s v="M20"/>
    <m/>
    <s v="AET02"/>
    <s v="R"/>
    <s v="D"/>
    <x v="2"/>
    <s v="S"/>
    <m/>
    <m/>
    <m/>
    <m/>
    <n v="147"/>
  </r>
  <r>
    <x v="11"/>
    <n v="50180913"/>
    <s v="MF"/>
    <n v="1"/>
    <n v="1"/>
    <n v="1"/>
    <n v="25"/>
    <n v="25"/>
    <m/>
    <m/>
    <m/>
    <m/>
    <x v="11"/>
    <s v="11/21/2016"/>
    <s v="06/09/2016"/>
    <x v="27"/>
    <s v="PITOT PROBE, HEATED, 115V"/>
    <s v="-99.999"/>
    <s v="M20"/>
    <m/>
    <s v="9040FI"/>
    <s v="R"/>
    <s v="K"/>
    <x v="2"/>
    <s v="6/27/16 MKC"/>
    <m/>
    <m/>
    <m/>
    <m/>
    <n v="148"/>
  </r>
  <r>
    <x v="16"/>
    <n v="50178981"/>
    <s v="MF"/>
    <n v="1"/>
    <n v="1"/>
    <n v="1"/>
    <n v="30"/>
    <n v="30"/>
    <m/>
    <m/>
    <m/>
    <m/>
    <x v="16"/>
    <s v="08/22/2016"/>
    <s v="08/10/2016"/>
    <x v="27"/>
    <s v="PITOT PROBE, HEATED, 115V"/>
    <s v="7.875"/>
    <s v="M20"/>
    <m/>
    <s v="9040FI"/>
    <s v="R"/>
    <s v="K"/>
    <x v="7"/>
    <s v="5/19/16 MKC"/>
    <s v="wfm"/>
    <m/>
    <m/>
    <m/>
    <n v="149"/>
  </r>
  <r>
    <x v="16"/>
    <n v="50178982"/>
    <s v="MF"/>
    <n v="1"/>
    <n v="1"/>
    <n v="1"/>
    <n v="30"/>
    <n v="30"/>
    <m/>
    <m/>
    <m/>
    <m/>
    <x v="16"/>
    <s v="11/21/2016"/>
    <s v="08/10/2016"/>
    <x v="27"/>
    <s v="PITOT PROBE, HEATED, 115V"/>
    <s v="7.875"/>
    <s v="M20"/>
    <m/>
    <s v="9040FI"/>
    <s v="R"/>
    <s v="K"/>
    <x v="7"/>
    <s v="5/19/16 MKC"/>
    <s v="wfm"/>
    <m/>
    <m/>
    <m/>
    <n v="150"/>
  </r>
  <r>
    <x v="7"/>
    <n v="50178814"/>
    <s v="MF"/>
    <n v="1"/>
    <n v="1"/>
    <n v="1"/>
    <n v="10"/>
    <n v="10"/>
    <m/>
    <m/>
    <m/>
    <m/>
    <x v="7"/>
    <s v="06/30/2016"/>
    <s v="09/13/2016"/>
    <x v="27"/>
    <s v="PITOT PROBE, HEATED, 115V"/>
    <s v="31.667"/>
    <s v="M20"/>
    <m/>
    <s v="9040FI"/>
    <s v="R"/>
    <s v="K"/>
    <x v="4"/>
    <m/>
    <m/>
    <m/>
    <m/>
    <m/>
    <n v="151"/>
  </r>
  <r>
    <x v="7"/>
    <n v="50177592"/>
    <s v="MF"/>
    <n v="1"/>
    <n v="1"/>
    <n v="1"/>
    <n v="6"/>
    <n v="6"/>
    <m/>
    <m/>
    <m/>
    <m/>
    <x v="7"/>
    <s v="04/29/2016"/>
    <s v="09/13/2016"/>
    <x v="27"/>
    <s v="PITOT PROBE, HEATED, 115V"/>
    <s v="47.5"/>
    <s v="M20"/>
    <m/>
    <s v="9040FI"/>
    <s v="R"/>
    <s v="K"/>
    <x v="4"/>
    <m/>
    <m/>
    <m/>
    <m/>
    <m/>
    <n v="152"/>
  </r>
  <r>
    <x v="5"/>
    <n v="50179613"/>
    <s v="MF"/>
    <n v="1"/>
    <n v="1"/>
    <n v="0"/>
    <n v="10"/>
    <n v="10"/>
    <m/>
    <m/>
    <m/>
    <m/>
    <x v="5"/>
    <s v="08/01/2016"/>
    <s v="06/10/2016"/>
    <x v="28"/>
    <s v="PITOT PROBE, HEATED, 115V"/>
    <s v="1"/>
    <s v="M20"/>
    <m/>
    <s v="9040FI"/>
    <s v="R"/>
    <s v="K"/>
    <x v="6"/>
    <s v="5/24/16 MKC"/>
    <m/>
    <m/>
    <m/>
    <m/>
    <n v="155"/>
  </r>
  <r>
    <x v="5"/>
    <n v="50180011"/>
    <s v="MF"/>
    <n v="1"/>
    <n v="1"/>
    <n v="0"/>
    <n v="10"/>
    <n v="10"/>
    <m/>
    <m/>
    <m/>
    <m/>
    <x v="5"/>
    <s v="08/01/2016"/>
    <s v="06/10/2016"/>
    <x v="28"/>
    <s v="PITOT PROBE, HEATED, 115V"/>
    <s v="1"/>
    <s v="M20"/>
    <m/>
    <s v="9040FI"/>
    <s v="R"/>
    <s v="K"/>
    <x v="6"/>
    <s v="6/1/16 MKC"/>
    <s v="wfm"/>
    <m/>
    <m/>
    <m/>
    <n v="156"/>
  </r>
  <r>
    <x v="5"/>
    <n v="50180202"/>
    <s v="MF"/>
    <n v="1"/>
    <n v="1"/>
    <n v="0"/>
    <n v="8"/>
    <n v="8"/>
    <m/>
    <m/>
    <m/>
    <m/>
    <x v="5"/>
    <s v="08/01/2016"/>
    <s v="06/10/2016"/>
    <x v="28"/>
    <s v="PITOT PROBE, HEATED, 115V"/>
    <s v="2"/>
    <s v="M20"/>
    <m/>
    <s v="9040FI"/>
    <s v="R"/>
    <s v="K"/>
    <x v="2"/>
    <s v="6/9/16 MKC"/>
    <m/>
    <m/>
    <m/>
    <m/>
    <n v="157"/>
  </r>
  <r>
    <x v="7"/>
    <n v="50181634"/>
    <s v="MF"/>
    <n v="1"/>
    <n v="1"/>
    <n v="1"/>
    <n v="10"/>
    <n v="10"/>
    <m/>
    <m/>
    <m/>
    <m/>
    <x v="7"/>
    <s v="08/01/2016"/>
    <s v="09/13/2016"/>
    <x v="28"/>
    <s v="PITOT PROBE, HEATED, 115V"/>
    <s v="31.667"/>
    <s v="M20"/>
    <m/>
    <s v="9040FI"/>
    <s v="R"/>
    <s v="K"/>
    <x v="2"/>
    <s v="S"/>
    <m/>
    <m/>
    <m/>
    <m/>
    <n v="158"/>
  </r>
  <r>
    <x v="11"/>
    <n v="50178838"/>
    <s v="MF"/>
    <n v="1"/>
    <n v="1"/>
    <n v="1"/>
    <n v="10"/>
    <n v="10"/>
    <m/>
    <m/>
    <m/>
    <m/>
    <x v="11"/>
    <s v="06/30/2016"/>
    <s v="06/09/2016"/>
    <x v="29"/>
    <s v="TUBE, PITOT STATIC, 24VDC"/>
    <s v="-99.999"/>
    <s v="M20"/>
    <m/>
    <s v="AET02"/>
    <s v="R"/>
    <s v="H"/>
    <x v="2"/>
    <s v="5/17/16 MKC"/>
    <s v="wfm"/>
    <m/>
    <m/>
    <m/>
    <n v="160"/>
  </r>
  <r>
    <x v="28"/>
    <n v="50180013"/>
    <s v="MF"/>
    <n v="1"/>
    <n v="1"/>
    <n v="1"/>
    <n v="10"/>
    <n v="10"/>
    <m/>
    <m/>
    <m/>
    <m/>
    <x v="28"/>
    <s v="08/08/2016"/>
    <s v="06/20/2016"/>
    <x v="29"/>
    <s v="TUBE, PITOT STATIC, 24VDC"/>
    <s v="1.571"/>
    <s v="M20"/>
    <m/>
    <s v="AET02"/>
    <s v="R"/>
    <s v="H"/>
    <x v="2"/>
    <s v="7/5/16 MS"/>
    <m/>
    <m/>
    <m/>
    <m/>
    <n v="161"/>
  </r>
  <r>
    <x v="21"/>
    <n v="50178837"/>
    <s v="MF"/>
    <n v="1"/>
    <n v="1"/>
    <n v="1"/>
    <n v="6"/>
    <n v="6"/>
    <m/>
    <m/>
    <m/>
    <m/>
    <x v="21"/>
    <s v="06/06/2016"/>
    <s v="07/18/2016"/>
    <x v="29"/>
    <s v="TUBE, PITOT STATIC, 24VDC"/>
    <s v="12"/>
    <s v="M20"/>
    <m/>
    <s v="AET02"/>
    <s v="R"/>
    <s v="H"/>
    <x v="2"/>
    <s v="4/27/16 MS"/>
    <m/>
    <m/>
    <m/>
    <m/>
    <n v="162"/>
  </r>
  <r>
    <x v="4"/>
    <n v="50178038"/>
    <s v="MF"/>
    <n v="1"/>
    <n v="1"/>
    <n v="1"/>
    <n v="10"/>
    <n v="10"/>
    <m/>
    <m/>
    <m/>
    <m/>
    <x v="4"/>
    <s v="06/30/2016"/>
    <s v="07/22/2016"/>
    <x v="29"/>
    <s v="TUBE, PITOT STATIC, 24VDC"/>
    <s v="11.5"/>
    <s v="M20"/>
    <m/>
    <s v="AET02"/>
    <s v="R"/>
    <s v="H"/>
    <x v="2"/>
    <s v="5/14/16 MKC"/>
    <m/>
    <m/>
    <m/>
    <m/>
    <n v="163"/>
  </r>
  <r>
    <x v="9"/>
    <n v="50181635"/>
    <s v="MF"/>
    <n v="1"/>
    <n v="1"/>
    <n v="1"/>
    <n v="15"/>
    <n v="15"/>
    <m/>
    <m/>
    <m/>
    <m/>
    <x v="9"/>
    <s v="09/02/2016"/>
    <s v="08/05/2016"/>
    <x v="29"/>
    <s v="TUBE, PITOT STATIC, 24VDC"/>
    <s v="8.571"/>
    <s v="M20"/>
    <m/>
    <s v="AET02"/>
    <s v="R"/>
    <s v="H"/>
    <x v="2"/>
    <s v="S"/>
    <m/>
    <m/>
    <m/>
    <m/>
    <n v="164"/>
  </r>
  <r>
    <x v="9"/>
    <n v="50181222"/>
    <s v="MF"/>
    <n v="1"/>
    <n v="1"/>
    <n v="1"/>
    <n v="15"/>
    <n v="15"/>
    <m/>
    <m/>
    <m/>
    <m/>
    <x v="9"/>
    <s v="09/02/2016"/>
    <s v="08/05/2016"/>
    <x v="29"/>
    <s v="TUBE, PITOT STATIC, 24VDC"/>
    <s v="8.571"/>
    <s v="M20"/>
    <m/>
    <s v="AET02"/>
    <s v="R"/>
    <s v="H"/>
    <x v="2"/>
    <s v="7/18/16 MKC"/>
    <m/>
    <m/>
    <m/>
    <m/>
    <n v="165"/>
  </r>
  <r>
    <x v="23"/>
    <n v="50173188"/>
    <s v="MF"/>
    <n v="1"/>
    <n v="1"/>
    <n v="1"/>
    <n v="6"/>
    <n v="6"/>
    <m/>
    <m/>
    <m/>
    <m/>
    <x v="23"/>
    <s v="12/17/2015"/>
    <s v="08/11/2016"/>
    <x v="29"/>
    <s v="TUBE, PITOT STATIC, 24VDC"/>
    <m/>
    <s v="M20"/>
    <m/>
    <s v="AET02"/>
    <s v="R"/>
    <s v="H"/>
    <x v="4"/>
    <m/>
    <m/>
    <m/>
    <m/>
    <m/>
    <n v="166"/>
  </r>
  <r>
    <x v="29"/>
    <n v="50180846"/>
    <s v="MF"/>
    <n v="1"/>
    <n v="1"/>
    <n v="1"/>
    <n v="6"/>
    <n v="1"/>
    <m/>
    <m/>
    <m/>
    <m/>
    <x v="29"/>
    <s v="06/22/2016"/>
    <s v="05/25/2016"/>
    <x v="30"/>
    <s v="TUBE, PITOT-STATIC, STRAIGHT"/>
    <m/>
    <s v="M20"/>
    <m/>
    <m/>
    <s v="R"/>
    <s v="F"/>
    <x v="2"/>
    <s v="7/11/16 MS"/>
    <m/>
    <m/>
    <m/>
    <m/>
    <n v="179"/>
  </r>
  <r>
    <x v="11"/>
    <n v="50181009"/>
    <s v="MF"/>
    <n v="1"/>
    <n v="1"/>
    <n v="1"/>
    <n v="25"/>
    <n v="25"/>
    <m/>
    <m/>
    <m/>
    <m/>
    <x v="11"/>
    <s v="10/17/2016"/>
    <s v="06/09/2016"/>
    <x v="30"/>
    <s v="TUBE, PITOT-STATIC, STRAIGHT"/>
    <s v="-99.999"/>
    <s v="M20"/>
    <m/>
    <s v="AET02"/>
    <s v="R"/>
    <s v="F"/>
    <x v="2"/>
    <s v="7/19/16 MS"/>
    <m/>
    <m/>
    <m/>
    <m/>
    <n v="180"/>
  </r>
  <r>
    <x v="30"/>
    <n v="50179249"/>
    <s v="MF"/>
    <n v="1"/>
    <n v="1"/>
    <n v="1"/>
    <n v="5"/>
    <n v="5"/>
    <m/>
    <m/>
    <m/>
    <m/>
    <x v="30"/>
    <s v="07/11/2016"/>
    <s v="06/15/2016"/>
    <x v="30"/>
    <s v="TUBE, PITOT-STATIC, STRAIGHT"/>
    <s v="3.5"/>
    <s v="M20"/>
    <m/>
    <s v="AET02"/>
    <s v="R"/>
    <s v="F"/>
    <x v="2"/>
    <s v="5/26/16"/>
    <m/>
    <m/>
    <m/>
    <m/>
    <n v="181"/>
  </r>
  <r>
    <x v="31"/>
    <n v="50175637"/>
    <s v="MF"/>
    <n v="1"/>
    <n v="1"/>
    <n v="1"/>
    <n v="11"/>
    <n v="3"/>
    <m/>
    <m/>
    <m/>
    <m/>
    <x v="31"/>
    <s v="01/06/2016"/>
    <s v="06/22/2016"/>
    <x v="30"/>
    <s v="TUBE, PITOT-STATIC, STRAIGHT"/>
    <m/>
    <s v="M20"/>
    <m/>
    <m/>
    <s v="R"/>
    <s v="F"/>
    <x v="2"/>
    <s v="5/19/16 MS"/>
    <m/>
    <m/>
    <m/>
    <m/>
    <n v="182"/>
  </r>
  <r>
    <x v="32"/>
    <n v="50181670"/>
    <s v="MF"/>
    <n v="1"/>
    <n v="1"/>
    <n v="1"/>
    <n v="15"/>
    <n v="15"/>
    <m/>
    <m/>
    <m/>
    <m/>
    <x v="32"/>
    <s v="10/17/2016"/>
    <s v="07/28/2016"/>
    <x v="30"/>
    <s v="TUBE, PITOT-STATIC, STRAIGHT"/>
    <s v="8.333"/>
    <s v="M20"/>
    <m/>
    <s v="AET02"/>
    <s v="R"/>
    <s v="F"/>
    <x v="2"/>
    <s v="S"/>
    <m/>
    <m/>
    <m/>
    <m/>
    <n v="183"/>
  </r>
  <r>
    <x v="23"/>
    <n v="50176281"/>
    <s v="MF"/>
    <n v="1"/>
    <n v="1"/>
    <n v="1"/>
    <n v="1"/>
    <n v="1"/>
    <m/>
    <m/>
    <m/>
    <m/>
    <x v="23"/>
    <s v="01/25/2016"/>
    <s v="08/11/2016"/>
    <x v="30"/>
    <s v="TUBE, PITOT-STATIC, STRAIGHT"/>
    <m/>
    <s v="M20"/>
    <m/>
    <s v="AET02"/>
    <s v="R"/>
    <s v="F"/>
    <x v="16"/>
    <m/>
    <m/>
    <m/>
    <m/>
    <m/>
    <n v="184"/>
  </r>
  <r>
    <x v="23"/>
    <n v="50173434"/>
    <s v="MF"/>
    <n v="1"/>
    <n v="1"/>
    <n v="1"/>
    <n v="7"/>
    <n v="6"/>
    <m/>
    <m/>
    <m/>
    <m/>
    <x v="23"/>
    <s v="11/30/2015"/>
    <s v="08/11/2016"/>
    <x v="30"/>
    <s v="TUBE, PITOT-STATIC, STRAIGHT"/>
    <m/>
    <s v="M20"/>
    <m/>
    <s v="AET02"/>
    <s v="R"/>
    <s v="F"/>
    <x v="4"/>
    <m/>
    <m/>
    <m/>
    <m/>
    <m/>
    <n v="185"/>
  </r>
  <r>
    <x v="23"/>
    <n v="50176936"/>
    <s v="MF"/>
    <n v="1"/>
    <n v="1"/>
    <n v="1"/>
    <n v="5"/>
    <n v="5"/>
    <m/>
    <m/>
    <m/>
    <m/>
    <x v="23"/>
    <s v="02/29/2016"/>
    <s v="08/11/2016"/>
    <x v="30"/>
    <s v="TUBE, PITOT-STATIC, STRAIGHT"/>
    <s v="32"/>
    <s v="M20"/>
    <m/>
    <s v="AET02"/>
    <s v="R"/>
    <s v="F"/>
    <x v="4"/>
    <m/>
    <m/>
    <m/>
    <m/>
    <m/>
    <n v="186"/>
  </r>
  <r>
    <x v="23"/>
    <n v="50173178"/>
    <s v="MF"/>
    <n v="1"/>
    <n v="1"/>
    <n v="1"/>
    <n v="9"/>
    <n v="9"/>
    <m/>
    <m/>
    <m/>
    <m/>
    <x v="23"/>
    <s v="12/07/2015"/>
    <s v="08/11/2016"/>
    <x v="30"/>
    <s v="TUBE, PITOT-STATIC, STRAIGHT"/>
    <m/>
    <s v="M20"/>
    <m/>
    <s v="AET02"/>
    <s v="R"/>
    <s v="F"/>
    <x v="4"/>
    <m/>
    <m/>
    <m/>
    <m/>
    <m/>
    <n v="187"/>
  </r>
  <r>
    <x v="23"/>
    <n v="50179561"/>
    <s v="MF"/>
    <n v="1"/>
    <n v="1"/>
    <n v="1"/>
    <n v="10"/>
    <n v="2"/>
    <m/>
    <m/>
    <m/>
    <m/>
    <x v="23"/>
    <s v="07/25/2016"/>
    <s v="08/11/2016"/>
    <x v="30"/>
    <s v="TUBE, PITOT-STATIC, STRAIGHT"/>
    <s v="16"/>
    <s v="M20"/>
    <m/>
    <s v="AET02"/>
    <s v="R"/>
    <s v="F"/>
    <x v="2"/>
    <s v="7/5/16 MS"/>
    <m/>
    <m/>
    <m/>
    <m/>
    <n v="188"/>
  </r>
  <r>
    <x v="23"/>
    <n v="50178471"/>
    <s v="MF"/>
    <n v="1"/>
    <n v="1"/>
    <n v="1"/>
    <n v="17"/>
    <n v="2"/>
    <m/>
    <m/>
    <m/>
    <m/>
    <x v="23"/>
    <s v="06/20/2016"/>
    <s v="08/11/2016"/>
    <x v="30"/>
    <s v="TUBE, PITOT-STATIC, STRAIGHT"/>
    <s v="6.4"/>
    <s v="M20"/>
    <m/>
    <s v="AET02"/>
    <s v="R"/>
    <s v="F"/>
    <x v="2"/>
    <s v="6/21/16 MS"/>
    <m/>
    <m/>
    <m/>
    <m/>
    <n v="189"/>
  </r>
  <r>
    <x v="23"/>
    <n v="50180216"/>
    <s v="MF"/>
    <n v="1"/>
    <n v="1"/>
    <n v="1"/>
    <n v="10"/>
    <n v="10"/>
    <m/>
    <m/>
    <m/>
    <m/>
    <x v="23"/>
    <s v="08/29/2016"/>
    <s v="08/11/2016"/>
    <x v="30"/>
    <s v="TUBE, PITOT-STATIC, STRAIGHT"/>
    <s v="16"/>
    <s v="M20"/>
    <m/>
    <s v="AET02"/>
    <s v="R"/>
    <s v="F"/>
    <x v="2"/>
    <s v="S"/>
    <m/>
    <m/>
    <m/>
    <m/>
    <n v="190"/>
  </r>
  <r>
    <x v="23"/>
    <n v="50173072"/>
    <s v="MF"/>
    <n v="1"/>
    <n v="1"/>
    <n v="1"/>
    <n v="4"/>
    <n v="4"/>
    <m/>
    <m/>
    <m/>
    <m/>
    <x v="23"/>
    <s v="10/30/2015"/>
    <s v="08/11/2016"/>
    <x v="31"/>
    <s v="PITOT-STATIC PROBE, HEATED 12V"/>
    <m/>
    <s v="M20"/>
    <m/>
    <s v="AET02"/>
    <s v="R"/>
    <s v="D"/>
    <x v="2"/>
    <s v="10/7/15 MS"/>
    <m/>
    <m/>
    <m/>
    <m/>
    <n v="196"/>
  </r>
  <r>
    <x v="7"/>
    <n v="50174001"/>
    <s v="MF"/>
    <n v="1"/>
    <n v="1"/>
    <n v="1"/>
    <n v="4"/>
    <n v="4"/>
    <m/>
    <m/>
    <m/>
    <m/>
    <x v="7"/>
    <s v="11/30/2015"/>
    <s v="09/13/2016"/>
    <x v="32"/>
    <s v="PITOT-STATIC PROBE, HEATED 24V"/>
    <s v="47.5"/>
    <s v="M20"/>
    <m/>
    <s v="AET02"/>
    <s v="R"/>
    <s v="A"/>
    <x v="4"/>
    <m/>
    <m/>
    <m/>
    <m/>
    <m/>
    <n v="197"/>
  </r>
  <r>
    <x v="33"/>
    <n v="50181306"/>
    <s v="MF"/>
    <n v="1"/>
    <n v="1"/>
    <n v="0"/>
    <n v="1"/>
    <n v="1"/>
    <m/>
    <m/>
    <m/>
    <m/>
    <x v="33"/>
    <s v="09/30/2016"/>
    <s v="11/07/2016"/>
    <x v="33"/>
    <s v="PITOT-STATIC,STRAIGHT TUBE 24V"/>
    <m/>
    <s v="M20"/>
    <m/>
    <s v="9040FI"/>
    <s v="R"/>
    <s v="D"/>
    <x v="4"/>
    <m/>
    <m/>
    <m/>
    <m/>
    <m/>
    <n v="199"/>
  </r>
  <r>
    <x v="34"/>
    <n v="50179960"/>
    <s v="MF"/>
    <n v="1"/>
    <n v="1"/>
    <n v="1"/>
    <n v="3"/>
    <n v="3"/>
    <m/>
    <m/>
    <m/>
    <m/>
    <x v="34"/>
    <s v="09/26/2016"/>
    <s v="05/18/2016"/>
    <x v="34"/>
    <s v="PITOT-STATIC PROBE, HEATED 24V"/>
    <m/>
    <s v="M20"/>
    <m/>
    <s v="AET02"/>
    <s v="R"/>
    <s v="H"/>
    <x v="2"/>
    <s v="6/29/16 MS"/>
    <m/>
    <m/>
    <m/>
    <m/>
    <n v="202"/>
  </r>
  <r>
    <x v="34"/>
    <n v="50180860"/>
    <s v="MF"/>
    <n v="1"/>
    <n v="1"/>
    <n v="1"/>
    <n v="25"/>
    <n v="4"/>
    <m/>
    <m/>
    <m/>
    <m/>
    <x v="34"/>
    <s v="01/31/2022"/>
    <s v="05/18/2016"/>
    <x v="34"/>
    <s v="PITOT-STATIC PROBE, HEATED 24V"/>
    <s v="-2.5"/>
    <s v="M20"/>
    <m/>
    <s v="AET02"/>
    <s v="R"/>
    <s v="H"/>
    <x v="2"/>
    <s v="6/27/16 MS"/>
    <m/>
    <m/>
    <m/>
    <m/>
    <n v="203"/>
  </r>
  <r>
    <x v="34"/>
    <n v="50180991"/>
    <s v="MF"/>
    <n v="1"/>
    <n v="1"/>
    <n v="1"/>
    <n v="2"/>
    <n v="2"/>
    <m/>
    <m/>
    <m/>
    <m/>
    <x v="34"/>
    <s v="06/27/2016"/>
    <s v="05/18/2016"/>
    <x v="34"/>
    <s v="PITOT-STATIC PROBE, HEATED 24V"/>
    <m/>
    <s v="M20"/>
    <m/>
    <s v="AET02"/>
    <s v="R"/>
    <s v="H"/>
    <x v="17"/>
    <s v="7/11/16 MS"/>
    <m/>
    <m/>
    <m/>
    <m/>
    <n v="204"/>
  </r>
  <r>
    <x v="35"/>
    <n v="50180859"/>
    <s v="MF"/>
    <n v="1"/>
    <n v="1"/>
    <n v="1"/>
    <n v="25"/>
    <n v="25"/>
    <m/>
    <m/>
    <m/>
    <m/>
    <x v="35"/>
    <s v="09/26/2016"/>
    <s v="05/26/2016"/>
    <x v="34"/>
    <s v="PITOT-STATIC PROBE, HEATED 24V"/>
    <s v="-0.429"/>
    <s v="M20"/>
    <m/>
    <s v="AET02"/>
    <s v="R"/>
    <s v="H"/>
    <x v="2"/>
    <s v="7/20/16 MS"/>
    <m/>
    <m/>
    <m/>
    <m/>
    <n v="205"/>
  </r>
  <r>
    <x v="36"/>
    <n v="50180858"/>
    <s v="MF"/>
    <n v="1"/>
    <n v="1"/>
    <n v="1"/>
    <n v="25"/>
    <n v="25"/>
    <m/>
    <m/>
    <m/>
    <m/>
    <x v="36"/>
    <s v="09/26/2016"/>
    <s v="05/27/2016"/>
    <x v="34"/>
    <s v="PITOT-STATIC PROBE, HEATED 24V"/>
    <s v="-0.286"/>
    <s v="M20"/>
    <m/>
    <s v="AET02"/>
    <s v="R"/>
    <s v="H"/>
    <x v="2"/>
    <s v="7/27/16 MS"/>
    <m/>
    <m/>
    <m/>
    <m/>
    <n v="206"/>
  </r>
  <r>
    <x v="37"/>
    <n v="50180655"/>
    <s v="MF"/>
    <n v="1"/>
    <n v="1"/>
    <n v="1"/>
    <n v="25"/>
    <n v="25"/>
    <m/>
    <m/>
    <m/>
    <m/>
    <x v="37"/>
    <s v="08/29/2016"/>
    <s v="07/06/2016"/>
    <x v="34"/>
    <s v="PITOT-STATIC PROBE, HEATED 24V"/>
    <s v="4.857"/>
    <s v="M20"/>
    <m/>
    <s v="AET02"/>
    <s v="R"/>
    <s v="H"/>
    <x v="2"/>
    <s v="S"/>
    <m/>
    <m/>
    <m/>
    <m/>
    <n v="207"/>
  </r>
  <r>
    <x v="9"/>
    <n v="50180656"/>
    <s v="MF"/>
    <n v="1"/>
    <n v="1"/>
    <n v="1"/>
    <n v="25"/>
    <n v="25"/>
    <m/>
    <m/>
    <m/>
    <m/>
    <x v="9"/>
    <s v="09/26/2016"/>
    <s v="07/28/2016"/>
    <x v="34"/>
    <s v="PITOT-STATIC PROBE, HEATED 24V"/>
    <s v="8.571"/>
    <s v="M20"/>
    <m/>
    <s v="AET02"/>
    <s v="R"/>
    <s v="H"/>
    <x v="2"/>
    <s v="S"/>
    <m/>
    <m/>
    <m/>
    <m/>
    <n v="208"/>
  </r>
  <r>
    <x v="9"/>
    <n v="50180654"/>
    <s v="MF"/>
    <n v="1"/>
    <n v="1"/>
    <n v="1"/>
    <n v="30"/>
    <n v="30"/>
    <m/>
    <m/>
    <m/>
    <m/>
    <x v="9"/>
    <s v="08/29/2016"/>
    <s v="07/28/2016"/>
    <x v="34"/>
    <s v="PITOT-STATIC PROBE, HEATED 24V"/>
    <s v="6.667"/>
    <s v="M20"/>
    <m/>
    <s v="AET02"/>
    <s v="R"/>
    <s v="H"/>
    <x v="2"/>
    <s v="7/19/16 MKC"/>
    <m/>
    <m/>
    <m/>
    <m/>
    <n v="209"/>
  </r>
  <r>
    <x v="9"/>
    <n v="50181661"/>
    <s v="MF"/>
    <n v="1"/>
    <n v="1"/>
    <n v="1"/>
    <n v="25"/>
    <n v="25"/>
    <m/>
    <m/>
    <m/>
    <m/>
    <x v="9"/>
    <s v="12/21/2016"/>
    <s v="07/28/2016"/>
    <x v="34"/>
    <s v="PITOT-STATIC PROBE, HEATED 24V"/>
    <s v="8.571"/>
    <s v="M20"/>
    <m/>
    <s v="AET02"/>
    <s v="R"/>
    <s v="H"/>
    <x v="6"/>
    <s v="7/23/16 Mary L"/>
    <m/>
    <m/>
    <m/>
    <m/>
    <n v="210"/>
  </r>
  <r>
    <x v="23"/>
    <n v="50180203"/>
    <s v="MF"/>
    <n v="1"/>
    <n v="1"/>
    <n v="1"/>
    <n v="20"/>
    <n v="1"/>
    <m/>
    <m/>
    <m/>
    <m/>
    <x v="23"/>
    <s v="08/08/2016"/>
    <s v="08/04/2016"/>
    <x v="34"/>
    <s v="PITOT-STATIC PROBE, HEATED 24V"/>
    <s v="21.333"/>
    <s v="M20"/>
    <m/>
    <s v="AET02"/>
    <s v="R"/>
    <s v="H"/>
    <x v="2"/>
    <s v="6/16/16 MS"/>
    <m/>
    <m/>
    <m/>
    <m/>
    <n v="211"/>
  </r>
  <r>
    <x v="7"/>
    <n v="50180361"/>
    <s v="MF"/>
    <n v="1"/>
    <n v="1"/>
    <n v="1"/>
    <n v="4"/>
    <n v="4"/>
    <m/>
    <m/>
    <m/>
    <m/>
    <x v="7"/>
    <s v="07/22/2016"/>
    <s v="09/02/2016"/>
    <x v="34"/>
    <s v="PITOT-STATIC PROBE, HEATED 24V"/>
    <m/>
    <s v="M20"/>
    <m/>
    <s v="AET02"/>
    <s v="R"/>
    <s v="H"/>
    <x v="12"/>
    <m/>
    <m/>
    <m/>
    <m/>
    <m/>
    <n v="212"/>
  </r>
  <r>
    <x v="7"/>
    <n v="50178322"/>
    <s v="MF"/>
    <n v="1"/>
    <n v="1"/>
    <n v="1"/>
    <n v="6"/>
    <n v="1"/>
    <m/>
    <m/>
    <m/>
    <m/>
    <x v="7"/>
    <s v="06/06/2016"/>
    <s v="09/02/2016"/>
    <x v="34"/>
    <s v="PITOT-STATIC PROBE, HEATED 24V"/>
    <s v="31.667"/>
    <s v="M20"/>
    <m/>
    <s v="AET02"/>
    <s v="R"/>
    <s v="H"/>
    <x v="4"/>
    <m/>
    <m/>
    <m/>
    <m/>
    <m/>
    <n v="213"/>
  </r>
  <r>
    <x v="7"/>
    <n v="50178256"/>
    <s v="MF"/>
    <n v="1"/>
    <n v="1"/>
    <n v="1"/>
    <n v="1"/>
    <n v="1"/>
    <m/>
    <m/>
    <m/>
    <m/>
    <x v="7"/>
    <s v="07/07/2016"/>
    <s v="09/02/2016"/>
    <x v="34"/>
    <s v="PITOT-STATIC PROBE, HEATED 24V"/>
    <m/>
    <s v="M20"/>
    <m/>
    <s v="AET02"/>
    <s v="R"/>
    <s v="H"/>
    <x v="4"/>
    <m/>
    <m/>
    <m/>
    <m/>
    <m/>
    <n v="214"/>
  </r>
  <r>
    <x v="7"/>
    <n v="50177687"/>
    <s v="MF"/>
    <n v="1"/>
    <n v="1"/>
    <n v="1"/>
    <n v="3"/>
    <n v="3"/>
    <m/>
    <m/>
    <m/>
    <m/>
    <x v="7"/>
    <s v="04/29/2016"/>
    <s v="09/02/2016"/>
    <x v="34"/>
    <s v="PITOT-STATIC PROBE, HEATED 24V"/>
    <m/>
    <s v="M20"/>
    <m/>
    <s v="AET02"/>
    <s v="R"/>
    <s v="H"/>
    <x v="4"/>
    <m/>
    <m/>
    <m/>
    <m/>
    <m/>
    <n v="215"/>
  </r>
  <r>
    <x v="7"/>
    <n v="50178058"/>
    <s v="MF"/>
    <n v="1"/>
    <n v="1"/>
    <n v="1"/>
    <n v="2"/>
    <n v="2"/>
    <m/>
    <m/>
    <m/>
    <m/>
    <x v="7"/>
    <s v="07/08/2016"/>
    <s v="09/02/2016"/>
    <x v="34"/>
    <s v="PITOT-STATIC PROBE, HEATED 24V"/>
    <m/>
    <s v="M20"/>
    <m/>
    <s v="AET02"/>
    <s v="R"/>
    <s v="H"/>
    <x v="4"/>
    <m/>
    <m/>
    <m/>
    <m/>
    <m/>
    <n v="216"/>
  </r>
  <r>
    <x v="7"/>
    <n v="50174092"/>
    <s v="MF"/>
    <n v="1"/>
    <n v="1"/>
    <n v="1"/>
    <n v="1"/>
    <n v="1"/>
    <m/>
    <m/>
    <m/>
    <m/>
    <x v="7"/>
    <s v="12/30/2015"/>
    <s v="09/02/2016"/>
    <x v="34"/>
    <s v="PITOT-STATIC PROBE, HEATED 24V"/>
    <m/>
    <s v="M20"/>
    <m/>
    <s v="AET02"/>
    <s v="R"/>
    <s v="H"/>
    <x v="4"/>
    <m/>
    <m/>
    <m/>
    <m/>
    <m/>
    <n v="217"/>
  </r>
  <r>
    <x v="7"/>
    <n v="50176090"/>
    <s v="MF"/>
    <n v="1"/>
    <n v="1"/>
    <n v="1"/>
    <n v="1"/>
    <n v="1"/>
    <m/>
    <m/>
    <m/>
    <m/>
    <x v="7"/>
    <s v="01/19/2016"/>
    <s v="09/02/2016"/>
    <x v="34"/>
    <s v="PITOT-STATIC PROBE, HEATED 24V"/>
    <m/>
    <s v="M20"/>
    <m/>
    <s v="AET02"/>
    <s v="R"/>
    <s v="H"/>
    <x v="18"/>
    <s v="S"/>
    <m/>
    <m/>
    <m/>
    <m/>
    <n v="218"/>
  </r>
  <r>
    <x v="7"/>
    <n v="50177249"/>
    <s v="MF"/>
    <n v="1"/>
    <n v="1"/>
    <n v="1"/>
    <n v="1"/>
    <n v="1"/>
    <m/>
    <m/>
    <m/>
    <m/>
    <x v="7"/>
    <s v="04/29/2016"/>
    <s v="09/02/2016"/>
    <x v="34"/>
    <s v="PITOT-STATIC PROBE, HEATED 24V"/>
    <m/>
    <s v="M20"/>
    <m/>
    <s v="AET02"/>
    <s v="R"/>
    <s v="H"/>
    <x v="4"/>
    <m/>
    <m/>
    <m/>
    <m/>
    <m/>
    <n v="219"/>
  </r>
  <r>
    <x v="7"/>
    <n v="50177251"/>
    <s v="MF"/>
    <n v="1"/>
    <n v="1"/>
    <n v="1"/>
    <n v="1"/>
    <n v="1"/>
    <m/>
    <m/>
    <m/>
    <m/>
    <x v="7"/>
    <s v="04/29/2016"/>
    <s v="09/02/2016"/>
    <x v="34"/>
    <s v="PITOT-STATIC PROBE, HEATED 24V"/>
    <m/>
    <s v="M20"/>
    <m/>
    <s v="AET02"/>
    <s v="R"/>
    <s v="H"/>
    <x v="4"/>
    <m/>
    <m/>
    <m/>
    <m/>
    <m/>
    <n v="220"/>
  </r>
  <r>
    <x v="7"/>
    <n v="50177253"/>
    <s v="MF"/>
    <n v="1"/>
    <n v="1"/>
    <n v="1"/>
    <n v="1"/>
    <n v="1"/>
    <m/>
    <m/>
    <m/>
    <m/>
    <x v="7"/>
    <s v="04/29/2016"/>
    <s v="09/02/2016"/>
    <x v="34"/>
    <s v="PITOT-STATIC PROBE, HEATED 24V"/>
    <m/>
    <s v="M20"/>
    <m/>
    <s v="AET02"/>
    <s v="R"/>
    <s v="H"/>
    <x v="4"/>
    <m/>
    <m/>
    <m/>
    <m/>
    <m/>
    <n v="221"/>
  </r>
  <r>
    <x v="7"/>
    <n v="50173335"/>
    <s v="MF"/>
    <n v="1"/>
    <n v="1"/>
    <n v="1"/>
    <n v="3"/>
    <n v="3"/>
    <m/>
    <m/>
    <m/>
    <m/>
    <x v="7"/>
    <s v="12/30/2015"/>
    <s v="09/02/2016"/>
    <x v="34"/>
    <s v="PITOT-STATIC PROBE, HEATED 24V"/>
    <m/>
    <s v="M20"/>
    <m/>
    <s v="AET02"/>
    <s v="R"/>
    <s v="H"/>
    <x v="4"/>
    <m/>
    <m/>
    <m/>
    <m/>
    <m/>
    <n v="222"/>
  </r>
  <r>
    <x v="7"/>
    <n v="50180920"/>
    <s v="MF"/>
    <n v="1"/>
    <n v="1"/>
    <n v="1"/>
    <n v="13"/>
    <n v="13"/>
    <m/>
    <m/>
    <m/>
    <m/>
    <x v="7"/>
    <s v="06/23/2016"/>
    <s v="09/02/2016"/>
    <x v="34"/>
    <s v="PITOT-STATIC PROBE, HEATED 24V"/>
    <s v="31.667"/>
    <s v="M20"/>
    <m/>
    <s v="AET02"/>
    <s v="R"/>
    <s v="H"/>
    <x v="12"/>
    <m/>
    <m/>
    <m/>
    <m/>
    <m/>
    <n v="223"/>
  </r>
  <r>
    <x v="38"/>
    <n v="50181563"/>
    <s v="MF"/>
    <n v="1"/>
    <n v="1"/>
    <n v="0"/>
    <n v="4"/>
    <n v="1"/>
    <m/>
    <m/>
    <m/>
    <m/>
    <x v="38"/>
    <s v="08/29/2016"/>
    <s v="10/24/2016"/>
    <x v="34"/>
    <s v="PITOT-STATIC PROBE, HEATED 24V"/>
    <m/>
    <s v="M20"/>
    <m/>
    <s v="AET02"/>
    <s v="R"/>
    <s v="H"/>
    <x v="19"/>
    <m/>
    <m/>
    <m/>
    <m/>
    <m/>
    <n v="226"/>
  </r>
  <r>
    <x v="38"/>
    <n v="50181495"/>
    <s v="MF"/>
    <n v="1"/>
    <n v="1"/>
    <n v="0"/>
    <n v="2"/>
    <n v="2"/>
    <m/>
    <m/>
    <m/>
    <m/>
    <x v="38"/>
    <s v="09/30/2016"/>
    <s v="10/24/2016"/>
    <x v="34"/>
    <s v="PITOT-STATIC PROBE, HEATED 24V"/>
    <m/>
    <s v="M20"/>
    <m/>
    <s v="AET02"/>
    <s v="R"/>
    <s v="H"/>
    <x v="20"/>
    <m/>
    <m/>
    <m/>
    <m/>
    <m/>
    <n v="227"/>
  </r>
  <r>
    <x v="34"/>
    <n v="50181270"/>
    <s v="MF"/>
    <n v="1"/>
    <n v="1"/>
    <n v="1"/>
    <n v="25"/>
    <n v="25"/>
    <m/>
    <m/>
    <m/>
    <m/>
    <x v="34"/>
    <s v="07/08/2016"/>
    <s v="05/26/2016"/>
    <x v="35"/>
    <s v="PITOT-STATIC PROBE, LEFT"/>
    <m/>
    <s v="M20"/>
    <m/>
    <m/>
    <s v="R"/>
    <s v="G"/>
    <x v="2"/>
    <m/>
    <m/>
    <m/>
    <m/>
    <m/>
    <n v="230"/>
  </r>
  <r>
    <x v="11"/>
    <n v="50181271"/>
    <s v="MF"/>
    <n v="1"/>
    <n v="1"/>
    <n v="1"/>
    <n v="7"/>
    <n v="7"/>
    <m/>
    <m/>
    <m/>
    <m/>
    <x v="11"/>
    <s v="08/31/2016"/>
    <s v="06/09/2016"/>
    <x v="36"/>
    <s v="PITOT-STATIC PROBE, HEATED 24V"/>
    <s v="-99.999"/>
    <s v="M20"/>
    <m/>
    <s v="AET02"/>
    <s v="R"/>
    <s v="H"/>
    <x v="2"/>
    <s v="7/19/16 MKC"/>
    <m/>
    <m/>
    <m/>
    <m/>
    <n v="231"/>
  </r>
  <r>
    <x v="37"/>
    <n v="50178237"/>
    <s v="MF"/>
    <n v="1"/>
    <n v="1"/>
    <n v="1"/>
    <n v="2"/>
    <n v="2"/>
    <m/>
    <m/>
    <m/>
    <m/>
    <x v="37"/>
    <s v="04/29/2016"/>
    <s v="07/13/2016"/>
    <x v="37"/>
    <s v="PITOT STATIC PROBE, DUAL STATIC"/>
    <m/>
    <s v="M20"/>
    <m/>
    <s v="AET02"/>
    <s v="R"/>
    <m/>
    <x v="2"/>
    <s v="4/1/16 MS"/>
    <m/>
    <m/>
    <m/>
    <m/>
    <n v="232"/>
  </r>
  <r>
    <x v="37"/>
    <n v="50178238"/>
    <s v="MF"/>
    <n v="1"/>
    <n v="1"/>
    <n v="1"/>
    <n v="3"/>
    <n v="3"/>
    <m/>
    <m/>
    <m/>
    <m/>
    <x v="37"/>
    <s v="04/29/2016"/>
    <s v="07/13/2016"/>
    <x v="38"/>
    <s v="PITOT STATIC PROBE, DUAL STATIC"/>
    <s v="CLOSED"/>
    <s v="M20"/>
    <m/>
    <s v="AET02"/>
    <s v="R"/>
    <m/>
    <x v="2"/>
    <s v="4/1/16 MS"/>
    <m/>
    <m/>
    <m/>
    <m/>
    <n v="233"/>
  </r>
  <r>
    <x v="11"/>
    <n v="50178239"/>
    <s v="MF"/>
    <n v="1"/>
    <n v="1"/>
    <n v="1"/>
    <n v="3"/>
    <n v="3"/>
    <m/>
    <m/>
    <m/>
    <m/>
    <x v="11"/>
    <s v="04/01/2016"/>
    <s v="06/09/2016"/>
    <x v="39"/>
    <s v="PITOT STATIC PROBE, DUAL STATIC"/>
    <s v="CLOSED"/>
    <s v="M20"/>
    <m/>
    <s v="AET02"/>
    <s v="R"/>
    <m/>
    <x v="21"/>
    <s v="4/1/16 MS"/>
    <m/>
    <m/>
    <m/>
    <m/>
    <n v="234"/>
  </r>
  <r>
    <x v="7"/>
    <n v="50178258"/>
    <s v="MF"/>
    <n v="1"/>
    <n v="1"/>
    <n v="1"/>
    <n v="1"/>
    <n v="1"/>
    <m/>
    <m/>
    <m/>
    <m/>
    <x v="7"/>
    <s v="07/07/2016"/>
    <s v="09/13/2016"/>
    <x v="40"/>
    <s v="PITOT TUBE, ELEC HEATED, 28VDC"/>
    <m/>
    <s v="M20"/>
    <m/>
    <s v="AET02"/>
    <s v="R"/>
    <s v="T"/>
    <x v="4"/>
    <m/>
    <m/>
    <m/>
    <m/>
    <m/>
    <n v="235"/>
  </r>
  <r>
    <x v="39"/>
    <n v="50181729"/>
    <s v="MF"/>
    <n v="1"/>
    <n v="1"/>
    <n v="1"/>
    <n v="5"/>
    <n v="5"/>
    <m/>
    <m/>
    <m/>
    <m/>
    <x v="39"/>
    <s v="07/22/2016"/>
    <s v="06/02/2016"/>
    <x v="41"/>
    <s v="STATIC PORT, (NON HEATED)"/>
    <m/>
    <s v="M20"/>
    <m/>
    <s v="AET02"/>
    <s v="R"/>
    <s v="L"/>
    <x v="22"/>
    <m/>
    <s v="DMR #115167 RWK SAI"/>
    <m/>
    <m/>
    <m/>
    <n v="236"/>
  </r>
  <r>
    <x v="35"/>
    <n v="50181659"/>
    <s v="MF"/>
    <n v="1"/>
    <n v="1"/>
    <n v="1"/>
    <n v="12"/>
    <n v="12"/>
    <m/>
    <m/>
    <m/>
    <m/>
    <x v="35"/>
    <s v="07/25/2016"/>
    <s v="06/29/2016"/>
    <x v="42"/>
    <s v="STATIC PORT, HEATED, 28VDC"/>
    <s v="-3"/>
    <s v="M20"/>
    <m/>
    <s v="RTN"/>
    <s v="R"/>
    <s v="L"/>
    <x v="23"/>
    <m/>
    <s v="Don L 7-21-16"/>
    <m/>
    <m/>
    <m/>
    <n v="237"/>
  </r>
  <r>
    <x v="37"/>
    <n v="50178972"/>
    <s v="MF"/>
    <n v="1"/>
    <n v="1"/>
    <n v="1"/>
    <n v="50"/>
    <n v="50"/>
    <m/>
    <m/>
    <m/>
    <m/>
    <x v="37"/>
    <s v="08/29/2016"/>
    <s v="08/08/2016"/>
    <x v="42"/>
    <s v="STATIC PORT, HEATED, 28VDC"/>
    <s v="1.789"/>
    <s v="M20"/>
    <m/>
    <s v="AET02"/>
    <s v="R"/>
    <s v="L"/>
    <x v="2"/>
    <s v="6/29/16"/>
    <m/>
    <m/>
    <m/>
    <m/>
    <n v="238"/>
  </r>
  <r>
    <x v="19"/>
    <n v="50178970"/>
    <s v="MF"/>
    <n v="1"/>
    <n v="1"/>
    <n v="1"/>
    <n v="45"/>
    <n v="45"/>
    <m/>
    <m/>
    <m/>
    <m/>
    <x v="19"/>
    <s v="08/15/2016"/>
    <s v="08/30/2016"/>
    <x v="42"/>
    <s v="STATIC PORT, HEATED, 28VDC"/>
    <s v="3.294"/>
    <s v="M20"/>
    <m/>
    <s v="AET02"/>
    <s v="R"/>
    <s v="L"/>
    <x v="2"/>
    <s v="S"/>
    <m/>
    <m/>
    <m/>
    <m/>
    <n v="239"/>
  </r>
  <r>
    <x v="7"/>
    <n v="50173971"/>
    <s v="MF"/>
    <n v="1"/>
    <n v="1"/>
    <n v="1"/>
    <n v="2"/>
    <n v="2"/>
    <m/>
    <m/>
    <m/>
    <m/>
    <x v="7"/>
    <s v="12/17/2015"/>
    <s v="10/06/2016"/>
    <x v="42"/>
    <s v="STATIC PORT, HEATED, 28VDC"/>
    <m/>
    <s v="M20"/>
    <m/>
    <s v="AET02"/>
    <s v="R"/>
    <s v="L"/>
    <x v="24"/>
    <m/>
    <m/>
    <m/>
    <m/>
    <m/>
    <n v="240"/>
  </r>
  <r>
    <x v="40"/>
    <n v="50178971"/>
    <s v="MF"/>
    <n v="1"/>
    <n v="1"/>
    <n v="1"/>
    <n v="45"/>
    <n v="45"/>
    <m/>
    <m/>
    <m/>
    <m/>
    <x v="40"/>
    <s v="08/22/2016"/>
    <s v="10/12/2016"/>
    <x v="42"/>
    <s v="STATIC PORT, HEATED, 28VDC"/>
    <s v="5.765"/>
    <s v="M20"/>
    <m/>
    <s v="AET02"/>
    <s v="R"/>
    <s v="L"/>
    <x v="2"/>
    <s v="S"/>
    <m/>
    <m/>
    <m/>
    <m/>
    <n v="241"/>
  </r>
  <r>
    <x v="41"/>
    <n v="50178974"/>
    <s v="MF"/>
    <n v="1"/>
    <n v="1"/>
    <n v="1"/>
    <n v="45"/>
    <n v="45"/>
    <m/>
    <m/>
    <m/>
    <m/>
    <x v="41"/>
    <s v="09/26/2016"/>
    <s v="10/27/2016"/>
    <x v="42"/>
    <s v="STATIC PORT, HEATED, 28VDC"/>
    <s v="6.824"/>
    <s v="M20"/>
    <m/>
    <s v="AET02"/>
    <s v="R"/>
    <s v="L"/>
    <x v="2"/>
    <s v="S"/>
    <m/>
    <m/>
    <m/>
    <m/>
    <n v="242"/>
  </r>
  <r>
    <x v="42"/>
    <n v="50179475"/>
    <s v="MF"/>
    <n v="1"/>
    <n v="1"/>
    <n v="1"/>
    <n v="30"/>
    <n v="30"/>
    <m/>
    <m/>
    <m/>
    <m/>
    <x v="42"/>
    <s v="07/25/2016"/>
    <s v="07/08/2016"/>
    <x v="43"/>
    <s v="STATIC PORT,ELECT"/>
    <s v="2"/>
    <s v="M20"/>
    <m/>
    <s v="9040FI"/>
    <s v="R"/>
    <s v="D"/>
    <x v="2"/>
    <s v="5/18/16 MS"/>
    <m/>
    <m/>
    <m/>
    <m/>
    <n v="245"/>
  </r>
  <r>
    <x v="13"/>
    <n v="50180855"/>
    <s v="MF"/>
    <n v="1"/>
    <n v="1"/>
    <n v="1"/>
    <n v="35"/>
    <n v="35"/>
    <m/>
    <m/>
    <m/>
    <m/>
    <x v="13"/>
    <s v="08/29/2016"/>
    <s v="07/11/2016"/>
    <x v="43"/>
    <s v="STATIC PORT,ELECT"/>
    <s v="2.462"/>
    <s v="M20"/>
    <m/>
    <s v="9040FI"/>
    <s v="R"/>
    <s v="D"/>
    <x v="6"/>
    <s v="6/27/16 MKC"/>
    <m/>
    <m/>
    <m/>
    <m/>
    <n v="246"/>
  </r>
  <r>
    <x v="19"/>
    <n v="50181223"/>
    <s v="MF"/>
    <n v="1"/>
    <n v="1"/>
    <n v="1"/>
    <n v="35"/>
    <n v="35"/>
    <m/>
    <m/>
    <m/>
    <m/>
    <x v="19"/>
    <s v="09/02/2016"/>
    <s v="08/04/2016"/>
    <x v="43"/>
    <s v="STATIC PORT,ELECT"/>
    <s v="4.308"/>
    <s v="M20"/>
    <m/>
    <s v="9040FI"/>
    <s v="R"/>
    <s v="D"/>
    <x v="2"/>
    <s v="7/18/16 MKC"/>
    <m/>
    <m/>
    <m/>
    <m/>
    <n v="247"/>
  </r>
  <r>
    <x v="43"/>
    <n v="50181224"/>
    <s v="MF"/>
    <n v="1"/>
    <n v="1"/>
    <n v="1"/>
    <n v="35"/>
    <n v="35"/>
    <m/>
    <m/>
    <m/>
    <m/>
    <x v="43"/>
    <s v="09/02/2016"/>
    <s v="08/22/2016"/>
    <x v="43"/>
    <s v="STATIC PORT,ELECT"/>
    <s v="5.769"/>
    <s v="M20"/>
    <m/>
    <s v="9040FI"/>
    <s v="R"/>
    <s v="D"/>
    <x v="2"/>
    <s v="7/18/16 MKC"/>
    <m/>
    <m/>
    <m/>
    <m/>
    <n v="248"/>
  </r>
  <r>
    <x v="44"/>
    <n v="50181225"/>
    <s v="MF"/>
    <n v="1"/>
    <n v="1"/>
    <n v="1"/>
    <n v="10"/>
    <n v="10"/>
    <m/>
    <m/>
    <m/>
    <m/>
    <x v="44"/>
    <s v="09/12/2016"/>
    <s v="09/07/2016"/>
    <x v="43"/>
    <s v="STATIC PORT,ELECT"/>
    <s v="22.5"/>
    <s v="M20"/>
    <m/>
    <s v="9040FI"/>
    <s v="R"/>
    <s v="D"/>
    <x v="2"/>
    <s v="S"/>
    <m/>
    <m/>
    <m/>
    <m/>
    <n v="249"/>
  </r>
  <r>
    <x v="44"/>
    <n v="50181226"/>
    <s v="MF"/>
    <n v="1"/>
    <n v="1"/>
    <n v="1"/>
    <n v="20"/>
    <n v="20"/>
    <m/>
    <m/>
    <m/>
    <m/>
    <x v="44"/>
    <s v="09/19/2016"/>
    <s v="09/07/2016"/>
    <x v="43"/>
    <s v="STATIC PORT,ELECT"/>
    <s v="11.25"/>
    <s v="M20"/>
    <m/>
    <s v="9040FI"/>
    <s v="R"/>
    <s v="D"/>
    <x v="2"/>
    <s v="S"/>
    <m/>
    <m/>
    <m/>
    <m/>
    <n v="250"/>
  </r>
  <r>
    <x v="7"/>
    <n v="50177636"/>
    <s v="MF"/>
    <n v="1"/>
    <n v="1"/>
    <n v="1"/>
    <n v="2"/>
    <n v="2"/>
    <m/>
    <m/>
    <m/>
    <m/>
    <x v="7"/>
    <s v="04/29/2016"/>
    <s v="09/13/2016"/>
    <x v="43"/>
    <s v="STATIC PORT,ELECT"/>
    <m/>
    <s v="M20"/>
    <m/>
    <s v="9040FI"/>
    <s v="R"/>
    <s v="D"/>
    <x v="4"/>
    <m/>
    <m/>
    <m/>
    <m/>
    <m/>
    <n v="251"/>
  </r>
  <r>
    <x v="8"/>
    <n v="50181229"/>
    <s v="MF"/>
    <n v="1"/>
    <n v="1"/>
    <n v="1"/>
    <n v="10"/>
    <n v="10"/>
    <m/>
    <m/>
    <m/>
    <m/>
    <x v="8"/>
    <s v="08/22/2016"/>
    <s v="07/20/2016"/>
    <x v="44"/>
    <s v="STATIC PORT, HEATED, 28V"/>
    <m/>
    <s v="M20"/>
    <m/>
    <s v="9040FI"/>
    <s v="R"/>
    <s v="J"/>
    <x v="2"/>
    <s v="7/18/16 MKC"/>
    <m/>
    <m/>
    <m/>
    <m/>
    <n v="259"/>
  </r>
  <r>
    <x v="8"/>
    <n v="50181230"/>
    <s v="MF"/>
    <n v="1"/>
    <n v="1"/>
    <n v="1"/>
    <n v="10"/>
    <n v="10"/>
    <m/>
    <m/>
    <m/>
    <m/>
    <x v="8"/>
    <s v="08/29/2016"/>
    <s v="07/20/2016"/>
    <x v="44"/>
    <s v="STATIC PORT, HEATED, 28V"/>
    <m/>
    <s v="M20"/>
    <m/>
    <s v="9040FI"/>
    <s v="R"/>
    <s v="J"/>
    <x v="2"/>
    <s v="7/19/16 MKC"/>
    <m/>
    <m/>
    <m/>
    <m/>
    <n v="260"/>
  </r>
  <r>
    <x v="8"/>
    <n v="50181371"/>
    <s v="MF"/>
    <n v="1"/>
    <n v="1"/>
    <n v="1"/>
    <n v="24"/>
    <n v="24"/>
    <m/>
    <m/>
    <m/>
    <m/>
    <x v="8"/>
    <s v="08/22/2016"/>
    <s v="07/28/2016"/>
    <x v="45"/>
    <s v="STATIC PORT, HEATED, 28V"/>
    <s v="12.5"/>
    <s v="M20"/>
    <m/>
    <s v="AET02"/>
    <s v="R"/>
    <s v="K"/>
    <x v="2"/>
    <s v="7/19/16"/>
    <m/>
    <m/>
    <m/>
    <m/>
    <n v="266"/>
  </r>
  <r>
    <x v="19"/>
    <n v="50179344"/>
    <s v="MF"/>
    <n v="1"/>
    <n v="1"/>
    <n v="1"/>
    <n v="10"/>
    <n v="10"/>
    <m/>
    <m/>
    <m/>
    <m/>
    <x v="19"/>
    <s v="06/20/2016"/>
    <s v="08/30/2016"/>
    <x v="45"/>
    <s v="STATIC PORT, HEATED, 28V"/>
    <s v="14"/>
    <s v="M20"/>
    <m/>
    <s v="AET02"/>
    <s v="R"/>
    <s v="K"/>
    <x v="2"/>
    <s v="S"/>
    <m/>
    <m/>
    <m/>
    <m/>
    <n v="267"/>
  </r>
  <r>
    <x v="11"/>
    <n v="50178749"/>
    <s v="MF"/>
    <n v="1"/>
    <n v="1"/>
    <n v="1"/>
    <n v="19"/>
    <n v="2"/>
    <m/>
    <m/>
    <m/>
    <m/>
    <x v="11"/>
    <s v="07/25/2016"/>
    <s v="05/09/2016"/>
    <x v="46"/>
    <s v="STATIC PORT, ELEC HEATED"/>
    <s v="-99.999"/>
    <s v="M20"/>
    <m/>
    <s v="AET02"/>
    <s v="R"/>
    <s v="U"/>
    <x v="2"/>
    <s v="5/11/16 MS"/>
    <m/>
    <m/>
    <m/>
    <m/>
    <n v="275"/>
  </r>
  <r>
    <x v="11"/>
    <n v="50177936"/>
    <s v="MF"/>
    <n v="1"/>
    <n v="1"/>
    <n v="1"/>
    <n v="19"/>
    <n v="14"/>
    <m/>
    <m/>
    <m/>
    <m/>
    <x v="11"/>
    <s v="07/25/2016"/>
    <s v="05/09/2016"/>
    <x v="46"/>
    <s v="STATIC PORT, ELEC HEATED"/>
    <s v="-99.999"/>
    <s v="M20"/>
    <m/>
    <s v="AET02"/>
    <s v="R"/>
    <s v="U"/>
    <x v="2"/>
    <s v="5/11/16 MS"/>
    <m/>
    <m/>
    <m/>
    <m/>
    <n v="276"/>
  </r>
  <r>
    <x v="11"/>
    <n v="50181032"/>
    <s v="MF"/>
    <n v="1"/>
    <n v="1"/>
    <n v="1"/>
    <n v="25"/>
    <n v="25"/>
    <m/>
    <m/>
    <m/>
    <m/>
    <x v="11"/>
    <s v="11/28/2016"/>
    <s v="05/09/2016"/>
    <x v="46"/>
    <s v="STATIC PORT, ELEC HEATED"/>
    <s v="-99.999"/>
    <s v="M20"/>
    <m/>
    <s v="AET02"/>
    <s v="R"/>
    <s v="U"/>
    <x v="2"/>
    <s v="6/29/16 MS"/>
    <m/>
    <m/>
    <m/>
    <m/>
    <n v="277"/>
  </r>
  <r>
    <x v="23"/>
    <n v="50177935"/>
    <s v="MF"/>
    <n v="1"/>
    <n v="1"/>
    <n v="1"/>
    <n v="18"/>
    <n v="1"/>
    <m/>
    <m/>
    <m/>
    <m/>
    <x v="23"/>
    <s v="06/27/2016"/>
    <s v="07/12/2016"/>
    <x v="46"/>
    <s v="STATIC PORT, ELEC HEATED"/>
    <s v="10.667"/>
    <s v="M20"/>
    <m/>
    <s v="AET02"/>
    <s v="R"/>
    <s v="U"/>
    <x v="2"/>
    <s v="6/24/16 MS"/>
    <m/>
    <m/>
    <m/>
    <m/>
    <n v="278"/>
  </r>
  <r>
    <x v="45"/>
    <n v="50181100"/>
    <s v="MF"/>
    <n v="1"/>
    <n v="1"/>
    <n v="0"/>
    <n v="16"/>
    <n v="2"/>
    <m/>
    <m/>
    <m/>
    <m/>
    <x v="45"/>
    <s v="07/28/2016"/>
    <s v="09/06/2016"/>
    <x v="46"/>
    <s v="STATIC PORT, ELEC HEATED"/>
    <s v="61.5"/>
    <s v="M20"/>
    <m/>
    <s v="AET02"/>
    <s v="R"/>
    <s v="U"/>
    <x v="2"/>
    <m/>
    <m/>
    <m/>
    <m/>
    <m/>
    <n v="280"/>
  </r>
  <r>
    <x v="5"/>
    <n v="50180852"/>
    <s v="MF"/>
    <n v="1"/>
    <n v="1"/>
    <n v="1"/>
    <n v="15"/>
    <n v="15"/>
    <m/>
    <m/>
    <m/>
    <m/>
    <x v="5"/>
    <s v="08/15/2016"/>
    <s v="06/27/2016"/>
    <x v="47"/>
    <s v="STATIC PORT, HEATED, 28VDC"/>
    <s v="4"/>
    <s v="M20"/>
    <m/>
    <s v="AET02"/>
    <s v="R"/>
    <s v="L"/>
    <x v="2"/>
    <s v="7/7/16 MS"/>
    <m/>
    <m/>
    <m/>
    <m/>
    <n v="286"/>
  </r>
  <r>
    <x v="42"/>
    <n v="50180650"/>
    <s v="MF"/>
    <n v="1"/>
    <n v="1"/>
    <n v="1"/>
    <n v="15"/>
    <n v="14"/>
    <m/>
    <m/>
    <m/>
    <m/>
    <x v="42"/>
    <s v="08/01/2016"/>
    <s v="07/25/2016"/>
    <x v="47"/>
    <s v="STATIC PORT, HEATED, 28VDC"/>
    <s v="7"/>
    <s v="M20"/>
    <m/>
    <s v="AET02"/>
    <s v="R"/>
    <s v="L"/>
    <x v="2"/>
    <s v="7/6/16"/>
    <m/>
    <m/>
    <m/>
    <m/>
    <n v="287"/>
  </r>
  <r>
    <x v="21"/>
    <n v="50181541"/>
    <s v="MF"/>
    <n v="1"/>
    <n v="1"/>
    <n v="1"/>
    <n v="15"/>
    <n v="15"/>
    <m/>
    <m/>
    <m/>
    <m/>
    <x v="21"/>
    <s v="09/02/2016"/>
    <s v="08/02/2016"/>
    <x v="47"/>
    <s v="STATIC PORT, HEATED, 28VDC"/>
    <s v="36"/>
    <s v="M20"/>
    <m/>
    <s v="AET02"/>
    <s v="R"/>
    <s v="L"/>
    <x v="2"/>
    <s v="S"/>
    <m/>
    <m/>
    <m/>
    <m/>
    <n v="288"/>
  </r>
  <r>
    <x v="25"/>
    <n v="50181260"/>
    <s v="MF"/>
    <n v="1"/>
    <n v="1"/>
    <n v="1"/>
    <n v="15"/>
    <n v="14"/>
    <m/>
    <m/>
    <m/>
    <m/>
    <x v="25"/>
    <s v="08/22/2016"/>
    <s v="07/11/2016"/>
    <x v="48"/>
    <s v="STATIC PORT, HEATED, 115V"/>
    <s v="7"/>
    <s v="M20"/>
    <m/>
    <s v="AET02"/>
    <s v="R"/>
    <s v="L"/>
    <x v="2"/>
    <s v="7/18/16 MS"/>
    <m/>
    <m/>
    <m/>
    <m/>
    <n v="298"/>
  </r>
  <r>
    <x v="12"/>
    <n v="50179558"/>
    <s v="MF"/>
    <n v="1"/>
    <n v="1"/>
    <n v="0"/>
    <n v="10"/>
    <n v="3"/>
    <m/>
    <m/>
    <m/>
    <m/>
    <x v="12"/>
    <s v="06/30/2016"/>
    <s v="08/16/2016"/>
    <x v="48"/>
    <s v="STATIC PORT, HEATED, 115V"/>
    <s v="7.571"/>
    <s v="M20"/>
    <m/>
    <s v="AET02"/>
    <s v="R"/>
    <s v="L"/>
    <x v="2"/>
    <s v="5/19/16 MS"/>
    <m/>
    <m/>
    <m/>
    <m/>
    <n v="300"/>
  </r>
  <r>
    <x v="7"/>
    <n v="50173427"/>
    <s v="MF"/>
    <n v="1"/>
    <n v="1"/>
    <n v="1"/>
    <n v="3"/>
    <n v="3"/>
    <m/>
    <m/>
    <m/>
    <m/>
    <x v="7"/>
    <s v="12/30/2015"/>
    <s v="09/28/2016"/>
    <x v="48"/>
    <s v="STATIC PORT, HEATED, 115V"/>
    <s v="CLOSED"/>
    <s v="M20"/>
    <m/>
    <s v="AET02"/>
    <s v="R"/>
    <s v="L"/>
    <x v="4"/>
    <m/>
    <m/>
    <m/>
    <m/>
    <m/>
    <n v="301"/>
  </r>
  <r>
    <x v="25"/>
    <n v="50180649"/>
    <s v="MF"/>
    <n v="1"/>
    <n v="1"/>
    <n v="1"/>
    <n v="10"/>
    <n v="7"/>
    <m/>
    <m/>
    <m/>
    <m/>
    <x v="25"/>
    <s v="07/18/2016"/>
    <s v="07/11/2016"/>
    <x v="49"/>
    <s v="STATIC PORT, HEATED, 115V"/>
    <s v="3.5"/>
    <s v="M20"/>
    <m/>
    <s v="AET02"/>
    <s v="R"/>
    <s v="M"/>
    <x v="2"/>
    <s v="7/11/16 MS"/>
    <m/>
    <m/>
    <m/>
    <m/>
    <n v="305"/>
  </r>
  <r>
    <x v="8"/>
    <n v="50181639"/>
    <s v="MF"/>
    <n v="1"/>
    <n v="1"/>
    <n v="1"/>
    <n v="15"/>
    <n v="15"/>
    <m/>
    <m/>
    <m/>
    <m/>
    <x v="8"/>
    <s v="09/12/2016"/>
    <s v="07/20/2016"/>
    <x v="49"/>
    <s v="STATIC PORT, HEATED, 115V"/>
    <s v="12.5"/>
    <s v="M20"/>
    <m/>
    <s v="AET02"/>
    <s v="R"/>
    <s v="M"/>
    <x v="2"/>
    <s v="S"/>
    <m/>
    <m/>
    <m/>
    <m/>
    <n v="306"/>
  </r>
  <r>
    <x v="12"/>
    <n v="50181640"/>
    <s v="MF"/>
    <n v="1"/>
    <n v="1"/>
    <n v="1"/>
    <n v="10"/>
    <n v="10"/>
    <m/>
    <m/>
    <m/>
    <m/>
    <x v="12"/>
    <s v="09/19/2016"/>
    <s v="08/16/2016"/>
    <x v="49"/>
    <s v="STATIC PORT, HEATED, 115V"/>
    <s v="53"/>
    <s v="M20"/>
    <m/>
    <s v="AET02"/>
    <s v="R"/>
    <s v="M"/>
    <x v="2"/>
    <s v="S"/>
    <m/>
    <m/>
    <m/>
    <m/>
    <n v="307"/>
  </r>
  <r>
    <x v="7"/>
    <n v="50177594"/>
    <s v="MF"/>
    <n v="1"/>
    <n v="1"/>
    <n v="1"/>
    <n v="5"/>
    <n v="5"/>
    <m/>
    <m/>
    <m/>
    <m/>
    <x v="7"/>
    <s v="04/29/2016"/>
    <s v="09/28/2016"/>
    <x v="49"/>
    <s v="STATIC PORT, HEATED, 115V"/>
    <s v="47.5"/>
    <s v="M20"/>
    <m/>
    <s v="AET02"/>
    <s v="R"/>
    <s v="M"/>
    <x v="4"/>
    <m/>
    <m/>
    <m/>
    <m/>
    <m/>
    <n v="308"/>
  </r>
  <r>
    <x v="46"/>
    <n v="50166916"/>
    <s v="MF"/>
    <n v="1"/>
    <n v="1"/>
    <n v="1"/>
    <n v="4"/>
    <n v="4"/>
    <m/>
    <m/>
    <m/>
    <m/>
    <x v="46"/>
    <s v="04/07/2015"/>
    <s v="08/10/2016"/>
    <x v="50"/>
    <s v="STATIC PORT, HEATED, 28V"/>
    <m/>
    <s v="M20"/>
    <m/>
    <s v="AET02"/>
    <s v="R"/>
    <s v="A"/>
    <x v="25"/>
    <s v="7/23/15 MS"/>
    <m/>
    <m/>
    <m/>
    <m/>
    <n v="314"/>
  </r>
  <r>
    <x v="3"/>
    <n v="50181944"/>
    <s v="MF"/>
    <n v="1"/>
    <n v="1"/>
    <n v="1"/>
    <n v="20"/>
    <n v="20"/>
    <m/>
    <m/>
    <m/>
    <m/>
    <x v="3"/>
    <s v="09/19/2016"/>
    <s v="06/24/2016"/>
    <x v="51"/>
    <s v="STATIC PORT,ELEC HEATED,28VDC"/>
    <s v="CLOSED"/>
    <s v="M20"/>
    <m/>
    <s v="AET02"/>
    <s v="R"/>
    <s v="~"/>
    <x v="2"/>
    <s v="S"/>
    <m/>
    <m/>
    <m/>
    <m/>
    <n v="317"/>
  </r>
  <r>
    <x v="8"/>
    <n v="50181945"/>
    <s v="MF"/>
    <n v="1"/>
    <n v="1"/>
    <n v="1"/>
    <n v="10"/>
    <n v="10"/>
    <m/>
    <m/>
    <m/>
    <m/>
    <x v="8"/>
    <s v="10/17/2016"/>
    <s v="07/05/2016"/>
    <x v="51"/>
    <s v="STATIC PORT,ELEC HEATED,28VDC"/>
    <s v="CLOSED"/>
    <s v="M20"/>
    <m/>
    <s v="AET02"/>
    <s v="R"/>
    <s v="~"/>
    <x v="2"/>
    <s v="S"/>
    <m/>
    <m/>
    <m/>
    <m/>
    <n v="318"/>
  </r>
  <r>
    <x v="13"/>
    <n v="50181946"/>
    <s v="MF"/>
    <n v="1"/>
    <n v="1"/>
    <n v="1"/>
    <n v="10"/>
    <n v="10"/>
    <m/>
    <m/>
    <m/>
    <m/>
    <x v="13"/>
    <s v="11/07/2016"/>
    <s v="07/11/2016"/>
    <x v="51"/>
    <s v="STATIC PORT,ELEC HEATED,28VDC"/>
    <s v="CLOSED"/>
    <s v="M20"/>
    <m/>
    <s v="AET02"/>
    <s v="R"/>
    <s v="~"/>
    <x v="2"/>
    <s v="S"/>
    <m/>
    <m/>
    <m/>
    <m/>
    <n v="319"/>
  </r>
  <r>
    <x v="47"/>
    <n v="50181947"/>
    <s v="MF"/>
    <n v="1"/>
    <n v="1"/>
    <n v="1"/>
    <n v="25"/>
    <n v="25"/>
    <m/>
    <m/>
    <m/>
    <m/>
    <x v="47"/>
    <s v="09/20/2016"/>
    <s v="08/02/2016"/>
    <x v="51"/>
    <s v="STATIC PORT,ELEC HEATED,28VDC"/>
    <m/>
    <s v="M20"/>
    <m/>
    <s v="AET02"/>
    <s v="R"/>
    <s v="~"/>
    <x v="2"/>
    <m/>
    <m/>
    <m/>
    <m/>
    <m/>
    <n v="320"/>
  </r>
  <r>
    <x v="13"/>
    <n v="50177349"/>
    <s v="MF"/>
    <n v="1"/>
    <n v="1"/>
    <n v="1"/>
    <n v="50"/>
    <n v="50"/>
    <m/>
    <m/>
    <m/>
    <m/>
    <x v="13"/>
    <s v="05/02/2016"/>
    <s v="07/26/2016"/>
    <x v="52"/>
    <s v="STATIC PORT, HEATED, 28VDC"/>
    <s v="1.684"/>
    <s v="M20"/>
    <m/>
    <s v="AET02"/>
    <s v="R"/>
    <s v="J"/>
    <x v="2"/>
    <s v="4/29/16 MS"/>
    <m/>
    <m/>
    <m/>
    <m/>
    <n v="321"/>
  </r>
  <r>
    <x v="7"/>
    <n v="50173610"/>
    <s v="MF"/>
    <n v="1"/>
    <n v="1"/>
    <n v="1"/>
    <n v="48"/>
    <n v="48"/>
    <m/>
    <m/>
    <m/>
    <m/>
    <x v="7"/>
    <s v="12/30/2015"/>
    <s v="09/28/2016"/>
    <x v="52"/>
    <s v="STATIC PORT, HEATED, 28VDC"/>
    <s v="5.278"/>
    <s v="M20"/>
    <m/>
    <s v="AET02"/>
    <s v="R"/>
    <s v="H"/>
    <x v="4"/>
    <m/>
    <m/>
    <m/>
    <m/>
    <m/>
    <n v="322"/>
  </r>
  <r>
    <x v="7"/>
    <n v="50174716"/>
    <s v="MF"/>
    <n v="1"/>
    <n v="1"/>
    <n v="1"/>
    <n v="12"/>
    <n v="12"/>
    <m/>
    <m/>
    <m/>
    <m/>
    <x v="7"/>
    <s v="12/30/2015"/>
    <s v="09/28/2016"/>
    <x v="52"/>
    <s v="STATIC PORT, HEATED, 28VDC"/>
    <s v="19"/>
    <s v="M20"/>
    <m/>
    <s v="AET02"/>
    <s v="R"/>
    <s v="H"/>
    <x v="4"/>
    <m/>
    <m/>
    <m/>
    <m/>
    <m/>
    <n v="323"/>
  </r>
  <r>
    <x v="20"/>
    <n v="50180211"/>
    <s v="MF"/>
    <n v="1"/>
    <n v="1"/>
    <n v="1"/>
    <n v="10"/>
    <n v="10"/>
    <m/>
    <m/>
    <m/>
    <m/>
    <x v="20"/>
    <s v="08/22/2016"/>
    <s v="06/02/2016"/>
    <x v="53"/>
    <s v="STATIC PORT, HEATED, 115V"/>
    <s v="4"/>
    <s v="M20"/>
    <m/>
    <s v="AET02"/>
    <s v="R"/>
    <s v="G"/>
    <x v="2"/>
    <s v="7/13/16 MS"/>
    <m/>
    <m/>
    <m/>
    <m/>
    <n v="325"/>
  </r>
  <r>
    <x v="48"/>
    <n v="50180935"/>
    <s v="MF"/>
    <n v="1"/>
    <n v="1"/>
    <n v="1"/>
    <n v="20"/>
    <n v="20"/>
    <m/>
    <m/>
    <m/>
    <m/>
    <x v="48"/>
    <s v="10/24/2016"/>
    <s v="06/22/2016"/>
    <x v="53"/>
    <s v="STATIC PORT, HEATED, 115V"/>
    <s v="5.4"/>
    <s v="M20"/>
    <m/>
    <s v="AET02"/>
    <s v="R"/>
    <s v="G"/>
    <x v="2"/>
    <s v="7/6/16 MKC"/>
    <m/>
    <m/>
    <m/>
    <m/>
    <n v="326"/>
  </r>
  <r>
    <x v="49"/>
    <n v="50180651"/>
    <s v="MF"/>
    <n v="1"/>
    <n v="1"/>
    <n v="1"/>
    <n v="30"/>
    <n v="30"/>
    <m/>
    <m/>
    <m/>
    <m/>
    <x v="49"/>
    <s v="08/29/2016"/>
    <s v="08/04/2016"/>
    <x v="53"/>
    <s v="STATIC PORT, HEATED, 115V"/>
    <s v="10"/>
    <s v="M20"/>
    <m/>
    <s v="AET02"/>
    <s v="R"/>
    <s v="G"/>
    <x v="2"/>
    <s v="S"/>
    <m/>
    <m/>
    <m/>
    <m/>
    <n v="327"/>
  </r>
  <r>
    <x v="7"/>
    <n v="50177256"/>
    <s v="MF"/>
    <n v="1"/>
    <n v="1"/>
    <n v="1"/>
    <n v="2"/>
    <n v="2"/>
    <m/>
    <m/>
    <m/>
    <m/>
    <x v="7"/>
    <s v="04/29/2016"/>
    <s v="08/29/2016"/>
    <x v="53"/>
    <s v="STATIC PORT, HEATED, 115V"/>
    <m/>
    <s v="M20"/>
    <m/>
    <s v="AET02"/>
    <s v="R"/>
    <s v="G"/>
    <x v="4"/>
    <m/>
    <m/>
    <m/>
    <m/>
    <m/>
    <n v="328"/>
  </r>
  <r>
    <x v="7"/>
    <n v="50177257"/>
    <s v="MF"/>
    <n v="1"/>
    <n v="1"/>
    <n v="1"/>
    <n v="1"/>
    <n v="1"/>
    <m/>
    <m/>
    <m/>
    <m/>
    <x v="7"/>
    <s v="04/29/2016"/>
    <s v="08/29/2016"/>
    <x v="53"/>
    <s v="STATIC PORT, HEATED, 115V"/>
    <m/>
    <s v="M20"/>
    <m/>
    <s v="AET02"/>
    <s v="R"/>
    <s v="G"/>
    <x v="4"/>
    <m/>
    <m/>
    <m/>
    <m/>
    <m/>
    <n v="329"/>
  </r>
  <r>
    <x v="50"/>
    <n v="50180652"/>
    <s v="MF"/>
    <n v="1"/>
    <n v="1"/>
    <n v="1"/>
    <n v="30"/>
    <n v="30"/>
    <m/>
    <m/>
    <m/>
    <m/>
    <x v="50"/>
    <s v="09/26/2016"/>
    <s v="10/18/2016"/>
    <x v="53"/>
    <s v="STATIC PORT, HEATED, 115V"/>
    <s v="22.143"/>
    <s v="M20"/>
    <m/>
    <s v="AET02"/>
    <s v="R"/>
    <s v="G"/>
    <x v="26"/>
    <s v="S"/>
    <m/>
    <m/>
    <m/>
    <m/>
    <n v="332"/>
  </r>
  <r>
    <x v="50"/>
    <n v="50180653"/>
    <s v="MF"/>
    <n v="1"/>
    <n v="1"/>
    <n v="1"/>
    <n v="25"/>
    <n v="25"/>
    <m/>
    <m/>
    <m/>
    <m/>
    <x v="50"/>
    <s v="09/26/2016"/>
    <s v="10/18/2016"/>
    <x v="53"/>
    <s v="STATIC PORT, HEATED, 115V"/>
    <s v="25.833"/>
    <s v="M20"/>
    <m/>
    <s v="AET02"/>
    <s v="R"/>
    <s v="G"/>
    <x v="26"/>
    <s v="S"/>
    <m/>
    <m/>
    <m/>
    <m/>
    <n v="333"/>
  </r>
  <r>
    <x v="39"/>
    <n v="50181731"/>
    <s v="MF"/>
    <n v="1"/>
    <n v="1"/>
    <n v="1"/>
    <n v="4"/>
    <n v="4"/>
    <m/>
    <m/>
    <m/>
    <m/>
    <x v="39"/>
    <s v="07/22/2016"/>
    <s v="06/02/2016"/>
    <x v="54"/>
    <s v="STATIC PORT, HEATED, 28VDC"/>
    <m/>
    <s v="M20"/>
    <m/>
    <s v="AET02"/>
    <s v="R"/>
    <s v="M"/>
    <x v="27"/>
    <m/>
    <s v="DMR #115169 RWK SAI"/>
    <m/>
    <m/>
    <m/>
    <n v="339"/>
  </r>
  <r>
    <x v="11"/>
    <n v="50178984"/>
    <s v="MF"/>
    <n v="1"/>
    <n v="1"/>
    <n v="1"/>
    <n v="28"/>
    <n v="26"/>
    <m/>
    <m/>
    <m/>
    <m/>
    <x v="11"/>
    <s v="08/22/2016"/>
    <s v="06/16/2016"/>
    <x v="55"/>
    <s v="STATIC PORT, HEATED, 28V"/>
    <s v="-99.999"/>
    <s v="M20"/>
    <m/>
    <s v="AET02"/>
    <s v="R"/>
    <s v="N"/>
    <x v="7"/>
    <s v="5/17/16 MS"/>
    <m/>
    <m/>
    <m/>
    <m/>
    <n v="340"/>
  </r>
  <r>
    <x v="12"/>
    <n v="50181641"/>
    <s v="MF"/>
    <n v="1"/>
    <n v="1"/>
    <n v="1"/>
    <n v="25"/>
    <n v="25"/>
    <m/>
    <m/>
    <m/>
    <m/>
    <x v="12"/>
    <s v="09/19/2016"/>
    <s v="08/08/2016"/>
    <x v="55"/>
    <s v="STATIC PORT, HEATED, 28V"/>
    <s v="10.6"/>
    <s v="M20"/>
    <m/>
    <s v="AET02"/>
    <s v="R"/>
    <s v="P"/>
    <x v="2"/>
    <s v="S"/>
    <m/>
    <m/>
    <m/>
    <m/>
    <n v="341"/>
  </r>
  <r>
    <x v="51"/>
    <n v="50180425"/>
    <s v="MF"/>
    <n v="1"/>
    <n v="1"/>
    <n v="1"/>
    <n v="4"/>
    <n v="4"/>
    <m/>
    <m/>
    <m/>
    <m/>
    <x v="51"/>
    <s v="06/10/2016"/>
    <s v="06/20/2016"/>
    <x v="56"/>
    <s v="SLEEVE, HEATER ASSEMBLY, LEFT"/>
    <m/>
    <s v="M21"/>
    <m/>
    <m/>
    <s v="R"/>
    <s v="D"/>
    <x v="2"/>
    <m/>
    <m/>
    <m/>
    <m/>
    <m/>
    <n v="346"/>
  </r>
  <r>
    <x v="39"/>
    <n v="50171416"/>
    <s v="MF"/>
    <n v="1"/>
    <n v="1"/>
    <n v="1"/>
    <n v="15"/>
    <n v="15"/>
    <m/>
    <m/>
    <m/>
    <m/>
    <x v="39"/>
    <s v="08/03/2015"/>
    <s v="07/05/2016"/>
    <x v="56"/>
    <s v="SLEEVE, HEATER ASSEMBLY, LEFT"/>
    <m/>
    <s v="M21"/>
    <m/>
    <s v="AET03"/>
    <s v="R"/>
    <s v="D"/>
    <x v="2"/>
    <s v="6/13/16 MS"/>
    <m/>
    <m/>
    <m/>
    <m/>
    <n v="347"/>
  </r>
  <r>
    <x v="25"/>
    <n v="50178449"/>
    <s v="MF"/>
    <n v="1"/>
    <n v="1"/>
    <n v="1"/>
    <n v="4"/>
    <n v="4"/>
    <m/>
    <m/>
    <m/>
    <m/>
    <x v="25"/>
    <s v="04/12/2016"/>
    <s v="07/25/2016"/>
    <x v="56"/>
    <s v="SLEEVE, HEATER ASSEMBLY, LEFT"/>
    <m/>
    <s v="M21"/>
    <m/>
    <m/>
    <s v="Q"/>
    <s v="D"/>
    <x v="2"/>
    <m/>
    <m/>
    <m/>
    <m/>
    <m/>
    <n v="348"/>
  </r>
  <r>
    <x v="7"/>
    <n v="50175076"/>
    <s v="MF"/>
    <n v="1"/>
    <n v="1"/>
    <n v="1"/>
    <n v="6"/>
    <n v="1"/>
    <m/>
    <m/>
    <m/>
    <m/>
    <x v="7"/>
    <s v="12/30/2015"/>
    <s v="10/12/2016"/>
    <x v="56"/>
    <s v="SLEEVE, HEATER ASSEMBLY, LEFT"/>
    <m/>
    <s v="M21"/>
    <m/>
    <s v="AET03"/>
    <s v="R"/>
    <s v="D"/>
    <x v="4"/>
    <m/>
    <m/>
    <m/>
    <m/>
    <m/>
    <n v="349"/>
  </r>
  <r>
    <x v="52"/>
    <n v="50180424"/>
    <s v="MF"/>
    <n v="1"/>
    <n v="1"/>
    <n v="1"/>
    <n v="3"/>
    <n v="3"/>
    <m/>
    <m/>
    <m/>
    <m/>
    <x v="52"/>
    <s v="06/10/2016"/>
    <s v="06/08/2016"/>
    <x v="57"/>
    <s v="SLEEVE, HEATER ASSEMBLY RIGHT"/>
    <m/>
    <s v="M21"/>
    <m/>
    <m/>
    <s v="R"/>
    <s v="D"/>
    <x v="2"/>
    <m/>
    <m/>
    <m/>
    <m/>
    <m/>
    <n v="350"/>
  </r>
  <r>
    <x v="39"/>
    <n v="50172157"/>
    <s v="MF"/>
    <n v="1"/>
    <n v="1"/>
    <n v="1"/>
    <n v="15"/>
    <n v="15"/>
    <m/>
    <m/>
    <m/>
    <m/>
    <x v="39"/>
    <s v="08/03/2015"/>
    <s v="07/05/2016"/>
    <x v="57"/>
    <s v="SLEEVE, HEATER ASSEMBLY RIGHT"/>
    <m/>
    <s v="M21"/>
    <m/>
    <s v="AET03"/>
    <s v="R"/>
    <s v="D"/>
    <x v="2"/>
    <s v="6/13/16 MS"/>
    <m/>
    <m/>
    <m/>
    <m/>
    <n v="351"/>
  </r>
  <r>
    <x v="25"/>
    <n v="50173086"/>
    <s v="MF"/>
    <n v="1"/>
    <n v="1"/>
    <n v="1"/>
    <n v="15"/>
    <n v="15"/>
    <m/>
    <m/>
    <m/>
    <m/>
    <x v="25"/>
    <s v="08/31/2015"/>
    <s v="07/25/2016"/>
    <x v="57"/>
    <s v="SLEEVE, HEATER ASSEMBLY RIGHT"/>
    <m/>
    <s v="M21"/>
    <m/>
    <s v="AET03"/>
    <s v="R"/>
    <s v="D"/>
    <x v="2"/>
    <s v="2/24/16 MS"/>
    <m/>
    <m/>
    <m/>
    <m/>
    <n v="352"/>
  </r>
  <r>
    <x v="7"/>
    <n v="50173089"/>
    <s v="MF"/>
    <n v="1"/>
    <n v="1"/>
    <n v="1"/>
    <n v="15"/>
    <n v="15"/>
    <m/>
    <m/>
    <m/>
    <m/>
    <x v="7"/>
    <s v="09/02/2015"/>
    <s v="10/12/2016"/>
    <x v="57"/>
    <s v="SLEEVE, HEATER ASSEMBLY RIGHT"/>
    <m/>
    <s v="M21"/>
    <m/>
    <s v="AET03"/>
    <s v="R"/>
    <s v="D"/>
    <x v="2"/>
    <s v="6/13/16 MS"/>
    <m/>
    <m/>
    <m/>
    <m/>
    <n v="353"/>
  </r>
  <r>
    <x v="23"/>
    <n v="50169423"/>
    <s v="MF"/>
    <n v="1"/>
    <n v="1"/>
    <n v="1"/>
    <n v="25"/>
    <n v="25"/>
    <m/>
    <m/>
    <m/>
    <m/>
    <x v="23"/>
    <s v="07/06/2015"/>
    <s v="09/13/2016"/>
    <x v="58"/>
    <s v="SLEEVE-HEATER ASSEMBLY"/>
    <m/>
    <s v="M21"/>
    <m/>
    <s v="AET03"/>
    <s v="R"/>
    <s v="C"/>
    <x v="2"/>
    <s v="7/6/15 MS"/>
    <m/>
    <m/>
    <m/>
    <m/>
    <n v="355"/>
  </r>
  <r>
    <x v="6"/>
    <n v="50180222"/>
    <s v="MF"/>
    <n v="1"/>
    <n v="1"/>
    <n v="1"/>
    <n v="15"/>
    <n v="15"/>
    <m/>
    <m/>
    <m/>
    <m/>
    <x v="6"/>
    <s v="06/07/2016"/>
    <s v="09/27/2016"/>
    <x v="58"/>
    <s v="SLEEVE-HEATER ASSEMBLY"/>
    <m/>
    <s v="M21"/>
    <m/>
    <m/>
    <s v="Q"/>
    <s v="C"/>
    <x v="2"/>
    <m/>
    <m/>
    <m/>
    <m/>
    <m/>
    <n v="356"/>
  </r>
  <r>
    <x v="53"/>
    <n v="50167416"/>
    <s v="MF"/>
    <n v="1"/>
    <n v="1"/>
    <n v="0"/>
    <n v="10"/>
    <n v="10"/>
    <m/>
    <m/>
    <m/>
    <m/>
    <x v="53"/>
    <s v="06/01/2015"/>
    <s v="06/13/2016"/>
    <x v="59"/>
    <s v="SLEEVE, HEATED ASSEMBLY"/>
    <m/>
    <s v="M21"/>
    <m/>
    <s v="AET02"/>
    <s v="R"/>
    <s v="G"/>
    <x v="2"/>
    <s v="7/8/15 MS"/>
    <m/>
    <m/>
    <m/>
    <m/>
    <n v="357"/>
  </r>
  <r>
    <x v="39"/>
    <n v="50181261"/>
    <s v="MF"/>
    <n v="1"/>
    <n v="1"/>
    <n v="0"/>
    <n v="25"/>
    <n v="25"/>
    <m/>
    <m/>
    <m/>
    <m/>
    <x v="39"/>
    <s v="08/29/2016"/>
    <s v="06/15/2016"/>
    <x v="60"/>
    <s v="HEATER ASSY, SMALL &quot;L&quot; TUBULAR"/>
    <m/>
    <s v="M21"/>
    <m/>
    <s v="AET03"/>
    <s v="R"/>
    <s v="F"/>
    <x v="2"/>
    <s v="7/19/16 MS"/>
    <m/>
    <m/>
    <m/>
    <m/>
    <n v="358"/>
  </r>
  <r>
    <x v="3"/>
    <n v="50180212"/>
    <s v="MF"/>
    <n v="1"/>
    <n v="1"/>
    <n v="0"/>
    <n v="25"/>
    <n v="25"/>
    <m/>
    <m/>
    <m/>
    <m/>
    <x v="3"/>
    <s v="08/01/2016"/>
    <s v="07/08/2016"/>
    <x v="60"/>
    <s v="HEATER ASSY, SMALL &quot;L&quot; TUBULAR"/>
    <m/>
    <s v="M21"/>
    <m/>
    <s v="AET03"/>
    <s v="R"/>
    <s v="F"/>
    <x v="2"/>
    <s v="6/8/16 MKC"/>
    <m/>
    <m/>
    <m/>
    <m/>
    <n v="359"/>
  </r>
  <r>
    <x v="4"/>
    <n v="50181555"/>
    <s v="MF"/>
    <n v="1"/>
    <n v="1"/>
    <n v="0"/>
    <n v="25"/>
    <n v="25"/>
    <m/>
    <m/>
    <m/>
    <m/>
    <x v="4"/>
    <s v="09/12/2016"/>
    <s v="08/04/2016"/>
    <x v="60"/>
    <s v="HEATER ASSY, SMALL &quot;L&quot; TUBULAR"/>
    <m/>
    <s v="M21"/>
    <m/>
    <s v="AET03"/>
    <s v="R"/>
    <s v="F"/>
    <x v="2"/>
    <s v="S"/>
    <m/>
    <m/>
    <m/>
    <m/>
    <n v="360"/>
  </r>
  <r>
    <x v="24"/>
    <n v="50181825"/>
    <s v="MF"/>
    <n v="1"/>
    <n v="1"/>
    <n v="0"/>
    <n v="25"/>
    <n v="25"/>
    <m/>
    <m/>
    <m/>
    <m/>
    <x v="24"/>
    <s v="09/19/2016"/>
    <s v="08/25/2016"/>
    <x v="60"/>
    <s v="HEATER ASSY, SMALL &quot;L&quot; TUBULAR"/>
    <m/>
    <s v="M21"/>
    <m/>
    <s v="AET03"/>
    <s v="R"/>
    <s v="F"/>
    <x v="2"/>
    <s v="S"/>
    <m/>
    <m/>
    <m/>
    <m/>
    <n v="361"/>
  </r>
  <r>
    <x v="13"/>
    <n v="50181262"/>
    <s v="MF"/>
    <n v="1"/>
    <n v="1"/>
    <n v="0"/>
    <n v="30"/>
    <n v="30"/>
    <m/>
    <m/>
    <m/>
    <m/>
    <x v="13"/>
    <s v="08/29/2016"/>
    <s v="07/22/2016"/>
    <x v="61"/>
    <s v="HEATER ASSY, SMALL &quot;L&quot; TUBULAR"/>
    <m/>
    <s v="M21"/>
    <m/>
    <s v="AET03"/>
    <s v="R"/>
    <s v="D"/>
    <x v="2"/>
    <s v="S"/>
    <m/>
    <m/>
    <m/>
    <m/>
    <n v="365"/>
  </r>
  <r>
    <x v="11"/>
    <n v="50180213"/>
    <s v="MF"/>
    <n v="1"/>
    <n v="1"/>
    <n v="1"/>
    <n v="25"/>
    <n v="25"/>
    <m/>
    <m/>
    <m/>
    <m/>
    <x v="11"/>
    <s v="08/01/2016"/>
    <s v="06/22/2016"/>
    <x v="62"/>
    <s v="HEATER ASSY, LARGE STRAIGHT"/>
    <m/>
    <s v="M21"/>
    <m/>
    <s v="AET03"/>
    <s v="R"/>
    <s v="E"/>
    <x v="2"/>
    <s v="7/19/16 MS"/>
    <m/>
    <m/>
    <m/>
    <m/>
    <n v="369"/>
  </r>
  <r>
    <x v="11"/>
    <n v="50181688"/>
    <s v="MF"/>
    <n v="1"/>
    <n v="1"/>
    <n v="1"/>
    <n v="25"/>
    <n v="25"/>
    <m/>
    <m/>
    <m/>
    <m/>
    <x v="11"/>
    <s v="10/03/2016"/>
    <s v="06/22/2016"/>
    <x v="62"/>
    <s v="HEATER ASSY, LARGE STRAIGHT"/>
    <m/>
    <s v="M21"/>
    <m/>
    <s v="AET03"/>
    <s v="R"/>
    <s v="E"/>
    <x v="6"/>
    <s v="7/22/16 Mary L"/>
    <m/>
    <m/>
    <m/>
    <m/>
    <n v="370"/>
  </r>
  <r>
    <x v="54"/>
    <n v="50180214"/>
    <s v="MF"/>
    <n v="1"/>
    <n v="1"/>
    <n v="1"/>
    <n v="25"/>
    <n v="25"/>
    <m/>
    <m/>
    <m/>
    <m/>
    <x v="54"/>
    <s v="08/15/2016"/>
    <s v="07/13/2016"/>
    <x v="62"/>
    <s v="HEATER ASSY, LARGE STRAIGHT"/>
    <m/>
    <s v="M21"/>
    <m/>
    <s v="AET03"/>
    <s v="R"/>
    <s v="E"/>
    <x v="2"/>
    <s v="7/19/16 MKC"/>
    <m/>
    <m/>
    <m/>
    <m/>
    <n v="371"/>
  </r>
  <r>
    <x v="13"/>
    <n v="50180807"/>
    <s v="MF"/>
    <n v="1"/>
    <n v="1"/>
    <n v="1"/>
    <n v="8"/>
    <n v="8"/>
    <m/>
    <m/>
    <m/>
    <m/>
    <x v="13"/>
    <s v="08/29/2016"/>
    <s v="07/22/2016"/>
    <x v="62"/>
    <s v="HEATER ASSY, LARGE STRAIGHT"/>
    <m/>
    <s v="M21"/>
    <m/>
    <s v="AET03"/>
    <s v="R"/>
    <s v="E"/>
    <x v="28"/>
    <s v="6/21/16 MUHAMED"/>
    <m/>
    <m/>
    <m/>
    <m/>
    <n v="372"/>
  </r>
  <r>
    <x v="17"/>
    <n v="50177392"/>
    <s v="MF"/>
    <n v="1"/>
    <n v="1"/>
    <n v="1"/>
    <n v="25"/>
    <n v="25"/>
    <m/>
    <m/>
    <m/>
    <m/>
    <x v="17"/>
    <s v="04/25/2016"/>
    <s v="07/27/2016"/>
    <x v="62"/>
    <s v="HEATER ASSY, LARGE STRAIGHT"/>
    <m/>
    <s v="M21"/>
    <m/>
    <s v="AET03"/>
    <s v="R"/>
    <s v="E"/>
    <x v="2"/>
    <s v="s"/>
    <m/>
    <m/>
    <m/>
    <m/>
    <n v="373"/>
  </r>
  <r>
    <x v="12"/>
    <n v="50181687"/>
    <s v="MF"/>
    <n v="1"/>
    <n v="1"/>
    <n v="1"/>
    <n v="25"/>
    <n v="25"/>
    <m/>
    <m/>
    <m/>
    <m/>
    <x v="12"/>
    <s v="09/19/2016"/>
    <s v="08/11/2016"/>
    <x v="62"/>
    <s v="HEATER ASSY, LARGE STRAIGHT"/>
    <m/>
    <s v="M21"/>
    <m/>
    <s v="AET03"/>
    <s v="R"/>
    <s v="E"/>
    <x v="6"/>
    <s v="7/22/16  Mary L"/>
    <m/>
    <m/>
    <m/>
    <m/>
    <n v="374"/>
  </r>
  <r>
    <x v="23"/>
    <n v="50181263"/>
    <s v="MF"/>
    <n v="1"/>
    <n v="1"/>
    <n v="1"/>
    <n v="25"/>
    <n v="25"/>
    <m/>
    <m/>
    <m/>
    <m/>
    <x v="23"/>
    <s v="08/29/2016"/>
    <s v="08/24/2016"/>
    <x v="62"/>
    <s v="HEATER ASSY, LARGE STRAIGHT"/>
    <m/>
    <s v="M21"/>
    <m/>
    <s v="AET03"/>
    <s v="R"/>
    <s v="E"/>
    <x v="2"/>
    <s v="S"/>
    <m/>
    <m/>
    <m/>
    <m/>
    <n v="375"/>
  </r>
  <r>
    <x v="11"/>
    <n v="50180696"/>
    <s v="MF"/>
    <n v="1"/>
    <n v="1"/>
    <n v="1"/>
    <n v="25"/>
    <n v="6"/>
    <m/>
    <m/>
    <m/>
    <m/>
    <x v="11"/>
    <s v="07/25/2016"/>
    <s v="06/22/2016"/>
    <x v="63"/>
    <s v="HEATER ASSY, LARGE L CARTRIDGE"/>
    <s v="-99.999"/>
    <s v="M21"/>
    <m/>
    <s v="AET03"/>
    <s v="R"/>
    <s v="F"/>
    <x v="29"/>
    <s v="7/19/16 MS"/>
    <m/>
    <m/>
    <m/>
    <m/>
    <n v="381"/>
  </r>
  <r>
    <x v="5"/>
    <n v="50181089"/>
    <s v="MF"/>
    <n v="1"/>
    <n v="1"/>
    <n v="1"/>
    <n v="25"/>
    <n v="25"/>
    <m/>
    <m/>
    <m/>
    <m/>
    <x v="5"/>
    <s v="08/01/2016"/>
    <s v="06/23/2016"/>
    <x v="63"/>
    <s v="HEATER ASSY, LARGE L CARTRIDGE"/>
    <s v="2"/>
    <s v="M21"/>
    <m/>
    <s v="AET03"/>
    <s v="R"/>
    <s v="F"/>
    <x v="2"/>
    <s v="7/11/16"/>
    <m/>
    <m/>
    <m/>
    <m/>
    <n v="382"/>
  </r>
  <r>
    <x v="5"/>
    <n v="50181090"/>
    <s v="MF"/>
    <n v="1"/>
    <n v="1"/>
    <n v="1"/>
    <n v="25"/>
    <n v="25"/>
    <m/>
    <m/>
    <m/>
    <m/>
    <x v="5"/>
    <s v="08/01/2016"/>
    <s v="06/23/2016"/>
    <x v="63"/>
    <s v="HEATER ASSY, LARGE L CARTRIDGE"/>
    <s v="2"/>
    <s v="M21"/>
    <m/>
    <s v="AET03"/>
    <s v="R"/>
    <s v="F"/>
    <x v="2"/>
    <s v="7/11/16"/>
    <m/>
    <m/>
    <m/>
    <m/>
    <n v="383"/>
  </r>
  <r>
    <x v="5"/>
    <n v="50181673"/>
    <s v="MF"/>
    <n v="1"/>
    <n v="1"/>
    <n v="1"/>
    <n v="25"/>
    <n v="25"/>
    <m/>
    <m/>
    <m/>
    <m/>
    <x v="5"/>
    <s v="10/24/2016"/>
    <s v="06/23/2016"/>
    <x v="63"/>
    <s v="HEATER ASSY, LARGE L CARTRIDGE"/>
    <s v="2"/>
    <s v="M21"/>
    <m/>
    <s v="AET03"/>
    <s v="R"/>
    <s v="F"/>
    <x v="6"/>
    <s v="7/22/16 MaryL"/>
    <m/>
    <m/>
    <m/>
    <m/>
    <n v="384"/>
  </r>
  <r>
    <x v="23"/>
    <n v="50175228"/>
    <s v="MF"/>
    <n v="1"/>
    <n v="1"/>
    <n v="1"/>
    <n v="5"/>
    <n v="5"/>
    <m/>
    <m/>
    <m/>
    <m/>
    <x v="23"/>
    <s v="12/28/2015"/>
    <s v="08/24/2016"/>
    <x v="63"/>
    <s v="HEATER ASSY, LARGE L CARTRIDGE"/>
    <m/>
    <s v="M21"/>
    <m/>
    <s v="AET03"/>
    <s v="R"/>
    <s v="F"/>
    <x v="2"/>
    <s v="s"/>
    <m/>
    <m/>
    <m/>
    <m/>
    <n v="385"/>
  </r>
  <r>
    <x v="23"/>
    <n v="50179304"/>
    <s v="MF"/>
    <n v="1"/>
    <n v="1"/>
    <n v="1"/>
    <n v="3"/>
    <n v="3"/>
    <m/>
    <m/>
    <m/>
    <m/>
    <x v="23"/>
    <s v="05/12/2016"/>
    <s v="08/24/2016"/>
    <x v="63"/>
    <s v="HEATER ASSY, LARGE L CARTRIDGE"/>
    <m/>
    <s v="M21"/>
    <m/>
    <s v="AET03"/>
    <s v="R"/>
    <s v="F"/>
    <x v="2"/>
    <s v="5/12/16 MD"/>
    <m/>
    <m/>
    <m/>
    <m/>
    <n v="386"/>
  </r>
  <r>
    <x v="11"/>
    <n v="50180694"/>
    <s v="MF"/>
    <n v="1"/>
    <n v="1"/>
    <n v="1"/>
    <n v="200"/>
    <n v="200"/>
    <m/>
    <m/>
    <m/>
    <m/>
    <x v="11"/>
    <s v="07/18/2016"/>
    <s v="06/22/2016"/>
    <x v="64"/>
    <s v="HEATER ASSY, SMALL STRAIGHT"/>
    <m/>
    <s v="M21"/>
    <m/>
    <s v="AET03"/>
    <s v="R"/>
    <s v="F"/>
    <x v="30"/>
    <s v="6/21/16 MS"/>
    <m/>
    <m/>
    <m/>
    <m/>
    <n v="390"/>
  </r>
  <r>
    <x v="5"/>
    <n v="50177930"/>
    <s v="MF"/>
    <n v="1"/>
    <n v="1"/>
    <n v="0"/>
    <n v="10"/>
    <n v="10"/>
    <m/>
    <m/>
    <m/>
    <m/>
    <x v="5"/>
    <s v="05/16/2016"/>
    <s v="06/23/2016"/>
    <x v="65"/>
    <s v="HEATER TUBULAR MACH ASSY 24VDC"/>
    <m/>
    <s v="M21"/>
    <m/>
    <s v="AET03"/>
    <s v="R"/>
    <s v="A"/>
    <x v="2"/>
    <s v="5/19/16 MS"/>
    <m/>
    <m/>
    <m/>
    <m/>
    <n v="391"/>
  </r>
  <r>
    <x v="5"/>
    <n v="50179483"/>
    <s v="MF"/>
    <n v="1"/>
    <n v="1"/>
    <n v="0"/>
    <n v="30"/>
    <n v="30"/>
    <m/>
    <m/>
    <m/>
    <m/>
    <x v="5"/>
    <s v="07/11/2016"/>
    <s v="06/23/2016"/>
    <x v="65"/>
    <s v="HEATER TUBULAR MACH ASSY 24VDC"/>
    <m/>
    <s v="M21"/>
    <m/>
    <s v="AET03"/>
    <s v="R"/>
    <s v="A"/>
    <x v="2"/>
    <s v="5/18/16 MS"/>
    <s v="wfm"/>
    <m/>
    <m/>
    <m/>
    <n v="392"/>
  </r>
  <r>
    <x v="5"/>
    <n v="50179484"/>
    <s v="MF"/>
    <n v="1"/>
    <n v="1"/>
    <n v="0"/>
    <n v="30"/>
    <n v="30"/>
    <m/>
    <m/>
    <m/>
    <m/>
    <x v="5"/>
    <s v="07/18/2016"/>
    <s v="06/23/2016"/>
    <x v="65"/>
    <s v="HEATER TUBULAR MACH ASSY 24VDC"/>
    <m/>
    <s v="M21"/>
    <m/>
    <s v="AET03"/>
    <s v="R"/>
    <s v="A"/>
    <x v="2"/>
    <s v="5/18/16 MS"/>
    <s v="wfm"/>
    <m/>
    <m/>
    <m/>
    <n v="393"/>
  </r>
  <r>
    <x v="3"/>
    <n v="50179608"/>
    <s v="MF"/>
    <n v="1"/>
    <n v="1"/>
    <n v="0"/>
    <n v="15"/>
    <n v="14"/>
    <m/>
    <m/>
    <m/>
    <m/>
    <x v="3"/>
    <s v="07/18/2016"/>
    <s v="07/08/2016"/>
    <x v="65"/>
    <s v="HEATER TUBULAR MACH ASSY 24VDC"/>
    <m/>
    <s v="M21"/>
    <m/>
    <s v="AET03"/>
    <s v="R"/>
    <s v="A"/>
    <x v="2"/>
    <s v="5/23/16 MS"/>
    <s v="wfm"/>
    <m/>
    <m/>
    <m/>
    <n v="394"/>
  </r>
  <r>
    <x v="3"/>
    <n v="50180009"/>
    <s v="MF"/>
    <n v="1"/>
    <n v="1"/>
    <n v="0"/>
    <n v="25"/>
    <n v="25"/>
    <m/>
    <m/>
    <m/>
    <m/>
    <x v="3"/>
    <s v="07/18/2016"/>
    <s v="07/08/2016"/>
    <x v="65"/>
    <s v="HEATER TUBULAR MACH ASSY 24VDC"/>
    <m/>
    <s v="M21"/>
    <m/>
    <s v="AET03"/>
    <s v="R"/>
    <s v="A"/>
    <x v="2"/>
    <s v="6/1/16"/>
    <m/>
    <m/>
    <m/>
    <m/>
    <n v="395"/>
  </r>
  <r>
    <x v="13"/>
    <n v="50181264"/>
    <s v="MF"/>
    <n v="1"/>
    <n v="1"/>
    <n v="0"/>
    <n v="40"/>
    <n v="40"/>
    <m/>
    <m/>
    <m/>
    <m/>
    <x v="13"/>
    <s v="08/29/2016"/>
    <s v="07/22/2016"/>
    <x v="65"/>
    <s v="HEATER TUBULAR MACH ASSY 24VDC"/>
    <m/>
    <s v="M21"/>
    <m/>
    <s v="AET03"/>
    <s v="R"/>
    <s v="A"/>
    <x v="2"/>
    <s v="S"/>
    <m/>
    <m/>
    <m/>
    <m/>
    <n v="396"/>
  </r>
  <r>
    <x v="21"/>
    <n v="50181636"/>
    <s v="MF"/>
    <n v="1"/>
    <n v="1"/>
    <n v="0"/>
    <n v="25"/>
    <n v="25"/>
    <m/>
    <m/>
    <m/>
    <m/>
    <x v="21"/>
    <s v="08/29/2016"/>
    <s v="07/28/2016"/>
    <x v="65"/>
    <s v="HEATER TUBULAR MACH ASSY 24VDC"/>
    <m/>
    <s v="M21"/>
    <m/>
    <s v="AET03"/>
    <s v="R"/>
    <s v="A"/>
    <x v="2"/>
    <s v="S"/>
    <m/>
    <m/>
    <m/>
    <m/>
    <n v="397"/>
  </r>
  <r>
    <x v="5"/>
    <n v="50180698"/>
    <s v="MF"/>
    <n v="1"/>
    <n v="1"/>
    <n v="1"/>
    <n v="148"/>
    <n v="148"/>
    <m/>
    <m/>
    <m/>
    <m/>
    <x v="5"/>
    <s v="08/01/2016"/>
    <s v="06/23/2016"/>
    <x v="66"/>
    <s v="HEATER ASSY, SMALL L TUBULAR"/>
    <m/>
    <s v="M21"/>
    <m/>
    <s v="AET03"/>
    <s v="R"/>
    <s v="E"/>
    <x v="14"/>
    <s v="7/11/16 MS"/>
    <m/>
    <m/>
    <m/>
    <m/>
    <n v="404"/>
  </r>
  <r>
    <x v="28"/>
    <n v="50181265"/>
    <s v="MF"/>
    <n v="1"/>
    <n v="1"/>
    <n v="0"/>
    <n v="50"/>
    <n v="50"/>
    <m/>
    <m/>
    <m/>
    <m/>
    <x v="28"/>
    <s v="08/29/2016"/>
    <s v="06/30/2016"/>
    <x v="66"/>
    <s v="HEATER ASSY, SMALL L TUBULAR"/>
    <m/>
    <s v="M21"/>
    <m/>
    <s v="AET03"/>
    <s v="R"/>
    <s v="E"/>
    <x v="2"/>
    <s v="S"/>
    <m/>
    <m/>
    <m/>
    <m/>
    <n v="405"/>
  </r>
  <r>
    <x v="13"/>
    <n v="50181266"/>
    <s v="MF"/>
    <n v="1"/>
    <n v="1"/>
    <n v="0"/>
    <n v="40"/>
    <n v="40"/>
    <m/>
    <m/>
    <m/>
    <m/>
    <x v="13"/>
    <s v="08/29/2016"/>
    <s v="07/22/2016"/>
    <x v="66"/>
    <s v="HEATER ASSY, SMALL L TUBULAR"/>
    <m/>
    <s v="M21"/>
    <m/>
    <s v="AET03"/>
    <s v="R"/>
    <s v="E"/>
    <x v="2"/>
    <s v="S"/>
    <m/>
    <m/>
    <m/>
    <m/>
    <n v="406"/>
  </r>
  <r>
    <x v="13"/>
    <n v="50181823"/>
    <s v="MF"/>
    <n v="1"/>
    <n v="1"/>
    <n v="0"/>
    <n v="25"/>
    <n v="25"/>
    <m/>
    <m/>
    <m/>
    <m/>
    <x v="13"/>
    <s v="08/29/2016"/>
    <s v="07/22/2016"/>
    <x v="66"/>
    <s v="HEATER ASSY, SMALL L TUBULAR"/>
    <m/>
    <s v="M21"/>
    <m/>
    <s v="AET03"/>
    <s v="R"/>
    <s v="E"/>
    <x v="2"/>
    <s v="S"/>
    <m/>
    <m/>
    <m/>
    <m/>
    <n v="407"/>
  </r>
  <r>
    <x v="4"/>
    <n v="50181824"/>
    <s v="MF"/>
    <n v="1"/>
    <n v="1"/>
    <n v="0"/>
    <n v="25"/>
    <n v="25"/>
    <m/>
    <m/>
    <m/>
    <m/>
    <x v="4"/>
    <s v="09/12/2016"/>
    <s v="08/04/2016"/>
    <x v="66"/>
    <s v="HEATER ASSY, SMALL L TUBULAR"/>
    <m/>
    <s v="M21"/>
    <m/>
    <s v="AET03"/>
    <s v="R"/>
    <s v="E"/>
    <x v="2"/>
    <s v="S"/>
    <m/>
    <m/>
    <m/>
    <m/>
    <n v="408"/>
  </r>
  <r>
    <x v="12"/>
    <n v="50181949"/>
    <s v="MF"/>
    <n v="1"/>
    <n v="1"/>
    <n v="0"/>
    <n v="25"/>
    <n v="25"/>
    <m/>
    <m/>
    <m/>
    <m/>
    <x v="12"/>
    <s v="09/19/2016"/>
    <s v="08/11/2016"/>
    <x v="66"/>
    <s v="HEATER ASSY, SMALL L TUBULAR"/>
    <s v="CLOSED"/>
    <s v="M21"/>
    <m/>
    <s v="AET03"/>
    <s v="R"/>
    <s v="E"/>
    <x v="2"/>
    <s v="S"/>
    <m/>
    <m/>
    <m/>
    <m/>
    <n v="409"/>
  </r>
  <r>
    <x v="9"/>
    <n v="50181950"/>
    <s v="MF"/>
    <n v="1"/>
    <n v="1"/>
    <n v="0"/>
    <n v="25"/>
    <n v="25"/>
    <m/>
    <m/>
    <m/>
    <m/>
    <x v="9"/>
    <s v="09/26/2016"/>
    <s v="08/18/2016"/>
    <x v="66"/>
    <s v="HEATER ASSY, SMALL L TUBULAR"/>
    <s v="CLOSED"/>
    <s v="M21"/>
    <m/>
    <s v="AET03"/>
    <s v="R"/>
    <s v="E"/>
    <x v="2"/>
    <s v="S"/>
    <m/>
    <m/>
    <m/>
    <m/>
    <n v="410"/>
  </r>
  <r>
    <x v="55"/>
    <n v="50181411"/>
    <s v="MF"/>
    <n v="1"/>
    <n v="1"/>
    <n v="1"/>
    <n v="10"/>
    <n v="10"/>
    <m/>
    <m/>
    <m/>
    <m/>
    <x v="55"/>
    <s v="07/18/2016"/>
    <s v="06/21/2016"/>
    <x v="67"/>
    <s v="HEATER ASSY, SMALL L TUBULAR"/>
    <m/>
    <s v="M21"/>
    <m/>
    <s v="AET03"/>
    <s v="R"/>
    <s v="F"/>
    <x v="2"/>
    <s v="7/14/16 MS"/>
    <m/>
    <m/>
    <m/>
    <m/>
    <n v="417"/>
  </r>
  <r>
    <x v="29"/>
    <n v="50180669"/>
    <s v="MF"/>
    <n v="1"/>
    <n v="1"/>
    <n v="1"/>
    <n v="25"/>
    <n v="25"/>
    <m/>
    <m/>
    <m/>
    <m/>
    <x v="29"/>
    <s v="06/06/2016"/>
    <s v="06/08/2016"/>
    <x v="68"/>
    <s v="HEATER ASSMBLY, SMALL STRAIGHT"/>
    <m/>
    <s v="M21"/>
    <m/>
    <s v="AET03"/>
    <s v="R"/>
    <s v="E"/>
    <x v="2"/>
    <s v="7/11/16 MS"/>
    <m/>
    <m/>
    <m/>
    <m/>
    <n v="418"/>
  </r>
  <r>
    <x v="11"/>
    <n v="50181086"/>
    <s v="MF"/>
    <n v="1"/>
    <n v="1"/>
    <n v="1"/>
    <n v="20"/>
    <n v="20"/>
    <m/>
    <m/>
    <m/>
    <m/>
    <x v="11"/>
    <s v="08/08/2016"/>
    <s v="06/22/2016"/>
    <x v="68"/>
    <s v="HEATER ASSMBLY, SMALL STRAIGHT"/>
    <m/>
    <s v="M21"/>
    <m/>
    <s v="AET03"/>
    <s v="R"/>
    <s v="E"/>
    <x v="2"/>
    <s v="7/11/16 MS"/>
    <m/>
    <m/>
    <m/>
    <m/>
    <n v="419"/>
  </r>
  <r>
    <x v="11"/>
    <n v="50181087"/>
    <s v="MF"/>
    <n v="1"/>
    <n v="1"/>
    <n v="1"/>
    <n v="30"/>
    <n v="30"/>
    <m/>
    <m/>
    <m/>
    <m/>
    <x v="11"/>
    <s v="06/06/2016"/>
    <s v="06/22/2016"/>
    <x v="68"/>
    <s v="HEATER ASSMBLY, SMALL STRAIGHT"/>
    <m/>
    <s v="M21"/>
    <m/>
    <s v="AET03"/>
    <s v="R"/>
    <s v="E"/>
    <x v="2"/>
    <s v="7/11/16"/>
    <m/>
    <m/>
    <m/>
    <m/>
    <n v="420"/>
  </r>
  <r>
    <x v="37"/>
    <n v="50181720"/>
    <s v="MF"/>
    <n v="1"/>
    <n v="1"/>
    <n v="1"/>
    <n v="12"/>
    <n v="12"/>
    <m/>
    <m/>
    <m/>
    <m/>
    <x v="37"/>
    <s v="08/01/2016"/>
    <s v="07/26/2016"/>
    <x v="69"/>
    <s v="HEATER ASSY, SMALL L CARTRIDGE"/>
    <s v="17"/>
    <s v="M21"/>
    <m/>
    <s v="AET03"/>
    <s v="R"/>
    <s v="C"/>
    <x v="6"/>
    <s v="7/23/16 Mary L"/>
    <m/>
    <m/>
    <m/>
    <m/>
    <n v="423"/>
  </r>
  <r>
    <x v="53"/>
    <n v="50180780"/>
    <s v="MF"/>
    <n v="1"/>
    <n v="1"/>
    <n v="1"/>
    <n v="25"/>
    <n v="25"/>
    <m/>
    <m/>
    <m/>
    <m/>
    <x v="53"/>
    <s v="09/02/2016"/>
    <s v="06/24/2016"/>
    <x v="70"/>
    <s v="RECEPTACLE"/>
    <m/>
    <s v="M21"/>
    <m/>
    <s v="AET03"/>
    <s v="R"/>
    <s v="A"/>
    <x v="2"/>
    <s v="6/21/16 MS"/>
    <m/>
    <m/>
    <m/>
    <m/>
    <n v="425"/>
  </r>
  <r>
    <x v="39"/>
    <n v="50181088"/>
    <s v="MF"/>
    <n v="1"/>
    <n v="1"/>
    <n v="0"/>
    <n v="25"/>
    <n v="25"/>
    <m/>
    <m/>
    <m/>
    <m/>
    <x v="39"/>
    <s v="07/18/2016"/>
    <s v="06/01/2016"/>
    <x v="71"/>
    <s v="AN 818-4J SS  FITTING STAMPED"/>
    <m/>
    <s v="M21"/>
    <m/>
    <s v="AET03"/>
    <s v="R"/>
    <s v="C"/>
    <x v="2"/>
    <s v="7/11/16 MS"/>
    <m/>
    <m/>
    <m/>
    <m/>
    <n v="426"/>
  </r>
  <r>
    <x v="56"/>
    <n v="50181234"/>
    <s v="MF"/>
    <n v="1"/>
    <n v="1"/>
    <n v="1"/>
    <n v="7"/>
    <n v="7"/>
    <m/>
    <m/>
    <m/>
    <m/>
    <x v="56"/>
    <s v="07/11/2016"/>
    <s v="05/18/2016"/>
    <x v="72"/>
    <s v="KIT,INSTALLATION, 0856AE19-AI-LR"/>
    <s v="CLOSED"/>
    <s v="M21"/>
    <m/>
    <s v="AET03"/>
    <s v="R"/>
    <s v="~"/>
    <x v="2"/>
    <s v="S"/>
    <m/>
    <m/>
    <m/>
    <m/>
    <n v="428"/>
  </r>
  <r>
    <x v="28"/>
    <n v="50180670"/>
    <s v="MF"/>
    <n v="1"/>
    <n v="1"/>
    <n v="1"/>
    <n v="50"/>
    <n v="50"/>
    <m/>
    <m/>
    <m/>
    <m/>
    <x v="28"/>
    <s v="06/06/2016"/>
    <s v="07/25/2016"/>
    <x v="73"/>
    <s v="INSULATED BUSHING, STRT"/>
    <m/>
    <s v="M21"/>
    <m/>
    <s v="AET03"/>
    <s v="R"/>
    <s v="B"/>
    <x v="2"/>
    <s v="7/11/16 MS"/>
    <m/>
    <m/>
    <m/>
    <m/>
    <n v="429"/>
  </r>
  <r>
    <x v="13"/>
    <n v="50181547"/>
    <s v="MF"/>
    <n v="1"/>
    <n v="1"/>
    <n v="0"/>
    <n v="25"/>
    <n v="25"/>
    <m/>
    <m/>
    <m/>
    <m/>
    <x v="13"/>
    <s v="08/29/2016"/>
    <s v="08/04/2016"/>
    <x v="74"/>
    <s v="STEM ASSEMBLY"/>
    <m/>
    <s v="M21"/>
    <m/>
    <s v="AET03"/>
    <s v="R"/>
    <s v="E"/>
    <x v="2"/>
    <s v="S"/>
    <m/>
    <m/>
    <m/>
    <m/>
    <n v="432"/>
  </r>
  <r>
    <x v="4"/>
    <n v="50181548"/>
    <s v="MF"/>
    <n v="1"/>
    <n v="1"/>
    <n v="0"/>
    <n v="25"/>
    <n v="25"/>
    <m/>
    <m/>
    <m/>
    <m/>
    <x v="4"/>
    <s v="09/26/2016"/>
    <s v="08/17/2016"/>
    <x v="74"/>
    <s v="STEM ASSEMBLY"/>
    <m/>
    <s v="M21"/>
    <m/>
    <s v="AET03"/>
    <s v="R"/>
    <s v="E"/>
    <x v="2"/>
    <s v="S"/>
    <m/>
    <m/>
    <m/>
    <m/>
    <n v="433"/>
  </r>
  <r>
    <x v="57"/>
    <n v="50181942"/>
    <s v="MF"/>
    <n v="1"/>
    <n v="1"/>
    <n v="0"/>
    <n v="25"/>
    <n v="25"/>
    <m/>
    <m/>
    <m/>
    <m/>
    <x v="57"/>
    <s v="08/15/2016"/>
    <s v="08/03/2016"/>
    <x v="75"/>
    <s v="STEM SUB-ASSEMBLY"/>
    <s v="CLOSED"/>
    <s v="M21"/>
    <m/>
    <s v="AET03"/>
    <s v="R"/>
    <s v="D"/>
    <x v="2"/>
    <s v="S"/>
    <m/>
    <m/>
    <m/>
    <m/>
    <n v="436"/>
  </r>
  <r>
    <x v="11"/>
    <n v="50180750"/>
    <s v="MF"/>
    <n v="1"/>
    <n v="1"/>
    <n v="1"/>
    <n v="25"/>
    <n v="25"/>
    <m/>
    <m/>
    <m/>
    <m/>
    <x v="11"/>
    <s v="06/30/2016"/>
    <s v="07/14/2016"/>
    <x v="76"/>
    <s v="STEM ASSEMBLY"/>
    <m/>
    <s v="M21"/>
    <m/>
    <s v="AET03"/>
    <s v="R"/>
    <s v="E"/>
    <x v="2"/>
    <s v="7/5/16 MS"/>
    <m/>
    <m/>
    <m/>
    <m/>
    <n v="443"/>
  </r>
  <r>
    <x v="3"/>
    <n v="50181686"/>
    <s v="MF"/>
    <n v="1"/>
    <n v="1"/>
    <n v="1"/>
    <n v="50"/>
    <n v="50"/>
    <m/>
    <m/>
    <m/>
    <m/>
    <x v="3"/>
    <s v="10/24/2016"/>
    <s v="08/01/2016"/>
    <x v="76"/>
    <s v="STEM ASSEMBLY"/>
    <m/>
    <s v="M21"/>
    <m/>
    <s v="AET03"/>
    <s v="R"/>
    <s v="E"/>
    <x v="6"/>
    <s v="7/22/16 ML"/>
    <m/>
    <m/>
    <m/>
    <m/>
    <n v="444"/>
  </r>
  <r>
    <x v="39"/>
    <n v="50181214"/>
    <s v="MF"/>
    <n v="1"/>
    <n v="1"/>
    <n v="1"/>
    <n v="50"/>
    <n v="50"/>
    <m/>
    <m/>
    <m/>
    <m/>
    <x v="39"/>
    <s v="08/01/2016"/>
    <s v="07/08/2016"/>
    <x v="77"/>
    <s v="STEM ASSEMBLY"/>
    <m/>
    <s v="M21"/>
    <m/>
    <s v="AET03"/>
    <s v="R"/>
    <s v="E"/>
    <x v="2"/>
    <s v="7/19/16 MKC"/>
    <m/>
    <m/>
    <m/>
    <m/>
    <n v="447"/>
  </r>
  <r>
    <x v="39"/>
    <n v="50180711"/>
    <s v="MF"/>
    <n v="1"/>
    <n v="1"/>
    <n v="1"/>
    <n v="50"/>
    <n v="50"/>
    <m/>
    <m/>
    <m/>
    <m/>
    <x v="39"/>
    <s v="07/18/2016"/>
    <s v="07/08/2016"/>
    <x v="77"/>
    <s v="STEM ASSEMBLY"/>
    <m/>
    <s v="M21"/>
    <m/>
    <s v="AET03"/>
    <s v="R"/>
    <s v="E"/>
    <x v="2"/>
    <s v="7/11/16 MS"/>
    <m/>
    <m/>
    <m/>
    <m/>
    <n v="448"/>
  </r>
  <r>
    <x v="39"/>
    <n v="50181093"/>
    <s v="MF"/>
    <n v="1"/>
    <n v="1"/>
    <n v="1"/>
    <n v="50"/>
    <n v="50"/>
    <m/>
    <m/>
    <m/>
    <m/>
    <x v="39"/>
    <s v="07/25/2016"/>
    <s v="07/08/2016"/>
    <x v="77"/>
    <s v="STEM ASSEMBLY"/>
    <m/>
    <s v="M21"/>
    <m/>
    <s v="AET03"/>
    <s v="R"/>
    <s v="E"/>
    <x v="2"/>
    <s v="7/19/16 MS"/>
    <m/>
    <m/>
    <m/>
    <m/>
    <n v="449"/>
  </r>
  <r>
    <x v="20"/>
    <n v="50180712"/>
    <s v="MF"/>
    <n v="1"/>
    <n v="1"/>
    <n v="1"/>
    <n v="50"/>
    <n v="50"/>
    <m/>
    <m/>
    <m/>
    <m/>
    <x v="20"/>
    <s v="08/01/2016"/>
    <s v="07/22/2016"/>
    <x v="77"/>
    <s v="STEM ASSEMBLY"/>
    <m/>
    <s v="M21"/>
    <m/>
    <s v="AET03"/>
    <s v="R"/>
    <s v="E"/>
    <x v="6"/>
    <s v="7/11/16 MKC"/>
    <m/>
    <m/>
    <m/>
    <m/>
    <n v="450"/>
  </r>
  <r>
    <x v="28"/>
    <n v="50181259"/>
    <s v="MF"/>
    <n v="1"/>
    <n v="1"/>
    <n v="0"/>
    <n v="50"/>
    <n v="50"/>
    <m/>
    <m/>
    <m/>
    <m/>
    <x v="28"/>
    <s v="08/08/2016"/>
    <s v="07/14/2016"/>
    <x v="78"/>
    <s v="STEM ASSEMBLY"/>
    <m/>
    <s v="M21"/>
    <m/>
    <s v="AET03"/>
    <s v="R"/>
    <s v="A"/>
    <x v="2"/>
    <s v="7/19/16 MKC"/>
    <m/>
    <m/>
    <m/>
    <m/>
    <n v="451"/>
  </r>
  <r>
    <x v="3"/>
    <n v="50181552"/>
    <s v="MF"/>
    <n v="1"/>
    <n v="1"/>
    <n v="0"/>
    <n v="50"/>
    <n v="50"/>
    <m/>
    <m/>
    <m/>
    <m/>
    <x v="3"/>
    <s v="08/29/2016"/>
    <s v="07/21/2016"/>
    <x v="78"/>
    <s v="STEM ASSEMBLY"/>
    <m/>
    <s v="M21"/>
    <m/>
    <s v="AET03"/>
    <s v="R"/>
    <s v="A"/>
    <x v="2"/>
    <s v="S"/>
    <m/>
    <m/>
    <m/>
    <m/>
    <n v="452"/>
  </r>
  <r>
    <x v="13"/>
    <n v="50181553"/>
    <s v="MF"/>
    <n v="1"/>
    <n v="1"/>
    <n v="0"/>
    <n v="50"/>
    <n v="50"/>
    <m/>
    <m/>
    <m/>
    <m/>
    <x v="13"/>
    <s v="08/29/2016"/>
    <s v="08/04/2016"/>
    <x v="78"/>
    <s v="STEM ASSEMBLY"/>
    <m/>
    <s v="M21"/>
    <m/>
    <s v="AET03"/>
    <s v="R"/>
    <s v="A"/>
    <x v="2"/>
    <s v="S"/>
    <m/>
    <m/>
    <m/>
    <m/>
    <n v="453"/>
  </r>
  <r>
    <x v="10"/>
    <n v="50180717"/>
    <s v="MF"/>
    <n v="1"/>
    <n v="1"/>
    <n v="0"/>
    <n v="50"/>
    <n v="50"/>
    <m/>
    <m/>
    <m/>
    <m/>
    <x v="10"/>
    <s v="08/15/2016"/>
    <s v="10/05/2016"/>
    <x v="79"/>
    <s v="STEM ASSEMBLY"/>
    <m/>
    <s v="M21"/>
    <m/>
    <s v="AET03"/>
    <s v="R"/>
    <s v="F"/>
    <x v="2"/>
    <s v="7/19/16 MS"/>
    <m/>
    <m/>
    <m/>
    <m/>
    <n v="459"/>
  </r>
  <r>
    <x v="10"/>
    <n v="50180718"/>
    <s v="MF"/>
    <n v="1"/>
    <n v="1"/>
    <n v="0"/>
    <n v="50"/>
    <n v="50"/>
    <m/>
    <m/>
    <m/>
    <m/>
    <x v="10"/>
    <s v="10/17/2016"/>
    <s v="10/05/2016"/>
    <x v="79"/>
    <s v="STEM ASSEMBLY"/>
    <m/>
    <s v="M21"/>
    <m/>
    <s v="AET03"/>
    <s v="R"/>
    <s v="F"/>
    <x v="2"/>
    <s v="S"/>
    <m/>
    <m/>
    <m/>
    <m/>
    <n v="460"/>
  </r>
  <r>
    <x v="10"/>
    <n v="50180707"/>
    <s v="MF"/>
    <n v="1"/>
    <n v="1"/>
    <n v="0"/>
    <n v="50"/>
    <n v="50"/>
    <m/>
    <m/>
    <m/>
    <m/>
    <x v="10"/>
    <s v="10/17/2016"/>
    <s v="10/05/2016"/>
    <x v="80"/>
    <s v="STEM SUBASSEMBLY (LEFT SIDE)"/>
    <m/>
    <s v="M21"/>
    <m/>
    <s v="AET03"/>
    <s v="R"/>
    <s v="D"/>
    <x v="2"/>
    <s v="S"/>
    <m/>
    <m/>
    <m/>
    <m/>
    <n v="463"/>
  </r>
  <r>
    <x v="10"/>
    <n v="50180703"/>
    <s v="MF"/>
    <n v="1"/>
    <n v="1"/>
    <n v="0"/>
    <n v="50"/>
    <n v="50"/>
    <m/>
    <m/>
    <m/>
    <m/>
    <x v="10"/>
    <s v="08/15/2016"/>
    <s v="10/03/2016"/>
    <x v="81"/>
    <s v="STEM SUBASSEMBLY (RIGHT SIDE)"/>
    <m/>
    <s v="M21"/>
    <m/>
    <s v="AET03"/>
    <s v="R"/>
    <s v="D"/>
    <x v="2"/>
    <s v="7/19/16 MS"/>
    <m/>
    <m/>
    <m/>
    <m/>
    <n v="466"/>
  </r>
  <r>
    <x v="10"/>
    <n v="50180704"/>
    <s v="MF"/>
    <n v="1"/>
    <n v="1"/>
    <n v="0"/>
    <n v="50"/>
    <n v="50"/>
    <m/>
    <m/>
    <m/>
    <m/>
    <x v="10"/>
    <s v="10/17/2016"/>
    <s v="10/03/2016"/>
    <x v="81"/>
    <s v="STEM SUBASSEMBLY (RIGHT SIDE)"/>
    <m/>
    <s v="M21"/>
    <m/>
    <s v="AET03"/>
    <s v="R"/>
    <s v="D"/>
    <x v="2"/>
    <s v="S"/>
    <m/>
    <m/>
    <m/>
    <m/>
    <n v="467"/>
  </r>
  <r>
    <x v="28"/>
    <n v="50181716"/>
    <s v="MF"/>
    <n v="1"/>
    <n v="1"/>
    <n v="0"/>
    <n v="50"/>
    <n v="50"/>
    <m/>
    <m/>
    <m/>
    <m/>
    <x v="28"/>
    <s v="07/11/2016"/>
    <s v="07/25/2016"/>
    <x v="82"/>
    <s v="STEM ASSEMBLY"/>
    <m/>
    <s v="M21"/>
    <m/>
    <s v="AET03"/>
    <s v="R"/>
    <s v="F"/>
    <x v="2"/>
    <s v="7/22/16  MS"/>
    <m/>
    <m/>
    <m/>
    <m/>
    <n v="469"/>
  </r>
  <r>
    <x v="35"/>
    <n v="50180204"/>
    <s v="MF"/>
    <n v="1"/>
    <n v="1"/>
    <n v="1"/>
    <n v="25"/>
    <n v="25"/>
    <m/>
    <m/>
    <m/>
    <m/>
    <x v="35"/>
    <s v="06/30/2016"/>
    <s v="07/11/2016"/>
    <x v="83"/>
    <s v="TUBE, PRESSURE, ASSEMBLY"/>
    <m/>
    <s v="M21"/>
    <m/>
    <s v="AET03"/>
    <s v="R"/>
    <s v="D"/>
    <x v="2"/>
    <s v="7/18/16 MS"/>
    <m/>
    <m/>
    <m/>
    <m/>
    <n v="473"/>
  </r>
  <r>
    <x v="35"/>
    <n v="50180714"/>
    <s v="MF"/>
    <n v="1"/>
    <n v="1"/>
    <n v="1"/>
    <n v="25"/>
    <n v="25"/>
    <m/>
    <m/>
    <m/>
    <m/>
    <x v="35"/>
    <s v="07/18/2016"/>
    <s v="07/11/2016"/>
    <x v="83"/>
    <s v="TUBE, PRESSURE, ASSEMBLY"/>
    <m/>
    <s v="M21"/>
    <m/>
    <s v="AET03"/>
    <s v="R"/>
    <s v="D"/>
    <x v="2"/>
    <s v="7/18/16 MS"/>
    <m/>
    <m/>
    <m/>
    <m/>
    <n v="474"/>
  </r>
  <r>
    <x v="35"/>
    <n v="50180715"/>
    <s v="MF"/>
    <n v="1"/>
    <n v="1"/>
    <n v="1"/>
    <n v="25"/>
    <n v="25"/>
    <m/>
    <m/>
    <m/>
    <m/>
    <x v="35"/>
    <s v="08/22/2016"/>
    <s v="07/11/2016"/>
    <x v="83"/>
    <s v="TUBE, PRESSURE, ASSEMBLY"/>
    <m/>
    <s v="M21"/>
    <m/>
    <s v="AET03"/>
    <s v="R"/>
    <s v="D"/>
    <x v="2"/>
    <s v="7/18/16 MS"/>
    <m/>
    <m/>
    <m/>
    <m/>
    <n v="475"/>
  </r>
  <r>
    <x v="8"/>
    <n v="50181554"/>
    <s v="MF"/>
    <n v="1"/>
    <n v="1"/>
    <n v="1"/>
    <n v="25"/>
    <n v="25"/>
    <m/>
    <m/>
    <m/>
    <m/>
    <x v="8"/>
    <s v="08/22/2016"/>
    <s v="08/08/2016"/>
    <x v="83"/>
    <s v="TUBE, PRESSURE, ASSEMBLY"/>
    <m/>
    <s v="M21"/>
    <m/>
    <s v="AET03"/>
    <s v="R"/>
    <s v="D"/>
    <x v="2"/>
    <s v="S"/>
    <m/>
    <m/>
    <m/>
    <m/>
    <n v="476"/>
  </r>
  <r>
    <x v="3"/>
    <n v="50181539"/>
    <s v="MF"/>
    <n v="1"/>
    <n v="1"/>
    <n v="0"/>
    <n v="25"/>
    <n v="25"/>
    <m/>
    <m/>
    <m/>
    <m/>
    <x v="3"/>
    <s v="08/15/2016"/>
    <s v="08/01/2016"/>
    <x v="84"/>
    <s v="STEM SUB ASSEMBLY"/>
    <m/>
    <s v="M21"/>
    <m/>
    <s v="AET03"/>
    <s v="R"/>
    <s v="C"/>
    <x v="2"/>
    <s v="S"/>
    <m/>
    <m/>
    <m/>
    <m/>
    <n v="485"/>
  </r>
  <r>
    <x v="51"/>
    <n v="50180274"/>
    <s v="MF"/>
    <n v="1"/>
    <n v="1"/>
    <n v="1"/>
    <n v="10"/>
    <n v="10"/>
    <m/>
    <m/>
    <m/>
    <m/>
    <x v="51"/>
    <s v="06/20/2016"/>
    <s v="06/23/2016"/>
    <x v="85"/>
    <s v="STEM ASSEMBLY"/>
    <s v="-10"/>
    <s v="M21"/>
    <m/>
    <s v="AET03"/>
    <s v="R"/>
    <s v="C"/>
    <x v="2"/>
    <s v="6/13/16 MKC"/>
    <m/>
    <m/>
    <m/>
    <m/>
    <n v="486"/>
  </r>
  <r>
    <x v="13"/>
    <n v="50181943"/>
    <s v="MF"/>
    <n v="1"/>
    <n v="1"/>
    <n v="0"/>
    <n v="25"/>
    <n v="25"/>
    <m/>
    <m/>
    <m/>
    <m/>
    <x v="13"/>
    <s v="08/29/2016"/>
    <s v="08/15/2016"/>
    <x v="85"/>
    <s v="STEM ASSEMBLY"/>
    <m/>
    <s v="M21"/>
    <m/>
    <s v="AET03"/>
    <s v="R"/>
    <s v="C"/>
    <x v="2"/>
    <m/>
    <m/>
    <m/>
    <m/>
    <m/>
    <n v="487"/>
  </r>
  <r>
    <x v="13"/>
    <n v="50181644"/>
    <s v="MF"/>
    <n v="1"/>
    <n v="1"/>
    <n v="0"/>
    <n v="20"/>
    <n v="20"/>
    <m/>
    <m/>
    <m/>
    <m/>
    <x v="13"/>
    <s v="08/29/2016"/>
    <s v="08/15/2016"/>
    <x v="85"/>
    <s v="STEM ASSEMBLY"/>
    <s v="16"/>
    <s v="M21"/>
    <m/>
    <s v="AET03"/>
    <s v="R"/>
    <s v="C"/>
    <x v="2"/>
    <s v="S"/>
    <m/>
    <m/>
    <m/>
    <m/>
    <n v="488"/>
  </r>
  <r>
    <x v="5"/>
    <n v="50180019"/>
    <s v="MF"/>
    <n v="1"/>
    <n v="1"/>
    <n v="0"/>
    <n v="50"/>
    <n v="50"/>
    <m/>
    <m/>
    <m/>
    <m/>
    <x v="5"/>
    <s v="07/18/2016"/>
    <s v="07/18/2016"/>
    <x v="86"/>
    <s v="STEM ASSEMBLY HOSE, BARB"/>
    <m/>
    <s v="M21"/>
    <m/>
    <s v="AET03"/>
    <s v="R"/>
    <s v="~"/>
    <x v="2"/>
    <s v="6/1/16 MKC"/>
    <m/>
    <m/>
    <m/>
    <m/>
    <n v="489"/>
  </r>
  <r>
    <x v="3"/>
    <n v="50181537"/>
    <s v="MF"/>
    <n v="1"/>
    <n v="1"/>
    <n v="0"/>
    <n v="50"/>
    <n v="50"/>
    <m/>
    <m/>
    <m/>
    <m/>
    <x v="3"/>
    <s v="08/15/2016"/>
    <s v="08/01/2016"/>
    <x v="86"/>
    <s v="STEM ASSEMBLY HOSE, BARB"/>
    <m/>
    <s v="M21"/>
    <m/>
    <s v="AET03"/>
    <s v="R"/>
    <s v="~"/>
    <x v="2"/>
    <s v="S"/>
    <m/>
    <m/>
    <m/>
    <m/>
    <n v="490"/>
  </r>
  <r>
    <x v="13"/>
    <n v="50181538"/>
    <s v="MF"/>
    <n v="1"/>
    <n v="1"/>
    <n v="0"/>
    <n v="50"/>
    <n v="50"/>
    <m/>
    <m/>
    <m/>
    <m/>
    <x v="13"/>
    <s v="08/29/2016"/>
    <s v="08/15/2016"/>
    <x v="86"/>
    <s v="STEM ASSEMBLY HOSE, BARB"/>
    <m/>
    <s v="M21"/>
    <m/>
    <s v="AET03"/>
    <s v="R"/>
    <s v="~"/>
    <x v="2"/>
    <s v="S"/>
    <m/>
    <m/>
    <m/>
    <m/>
    <n v="491"/>
  </r>
  <r>
    <x v="3"/>
    <n v="50180975"/>
    <s v="MF"/>
    <n v="1"/>
    <n v="1"/>
    <n v="0"/>
    <n v="100"/>
    <n v="100"/>
    <m/>
    <m/>
    <m/>
    <m/>
    <x v="3"/>
    <s v="07/11/2016"/>
    <s v="07/28/2016"/>
    <x v="87"/>
    <s v="WIRE ASSEMBLY"/>
    <m/>
    <s v="M21"/>
    <m/>
    <s v="AET03"/>
    <s v="R"/>
    <s v="D"/>
    <x v="2"/>
    <s v="6/30/16 MKC"/>
    <m/>
    <m/>
    <m/>
    <m/>
    <n v="497"/>
  </r>
  <r>
    <x v="13"/>
    <n v="50181642"/>
    <s v="MF"/>
    <n v="1"/>
    <n v="1"/>
    <n v="0"/>
    <n v="250"/>
    <n v="250"/>
    <m/>
    <m/>
    <m/>
    <m/>
    <x v="13"/>
    <s v="08/29/2016"/>
    <s v="08/11/2016"/>
    <x v="87"/>
    <s v="WIRE ASSEMBLY"/>
    <m/>
    <s v="M21"/>
    <m/>
    <s v="AET03"/>
    <s v="R"/>
    <s v="D"/>
    <x v="2"/>
    <s v="S"/>
    <m/>
    <m/>
    <m/>
    <m/>
    <n v="498"/>
  </r>
  <r>
    <x v="53"/>
    <n v="50179610"/>
    <s v="MF"/>
    <n v="1"/>
    <n v="1"/>
    <n v="0"/>
    <n v="250"/>
    <n v="250"/>
    <m/>
    <m/>
    <m/>
    <m/>
    <x v="53"/>
    <s v="07/11/2016"/>
    <s v="06/06/2016"/>
    <x v="88"/>
    <s v="WIRE, ASSEMBLY"/>
    <m/>
    <s v="M21"/>
    <m/>
    <s v="AET03"/>
    <s v="R"/>
    <s v="F"/>
    <x v="6"/>
    <s v="6/29/16 MKC"/>
    <m/>
    <m/>
    <m/>
    <m/>
    <n v="499"/>
  </r>
  <r>
    <x v="8"/>
    <n v="50181092"/>
    <s v="MF"/>
    <n v="1"/>
    <n v="1"/>
    <n v="0"/>
    <n v="250"/>
    <n v="250"/>
    <m/>
    <m/>
    <m/>
    <m/>
    <x v="8"/>
    <s v="08/01/2016"/>
    <s v="07/26/2016"/>
    <x v="88"/>
    <s v="WIRE, ASSEMBLY"/>
    <m/>
    <s v="M21"/>
    <m/>
    <s v="AET03"/>
    <s v="R"/>
    <s v="F"/>
    <x v="2"/>
    <s v="7/11/16 MKC"/>
    <m/>
    <m/>
    <m/>
    <m/>
    <n v="500"/>
  </r>
  <r>
    <x v="35"/>
    <n v="50178604"/>
    <s v="MF"/>
    <n v="1"/>
    <n v="1"/>
    <n v="0"/>
    <n v="250"/>
    <n v="38"/>
    <m/>
    <m/>
    <m/>
    <m/>
    <x v="35"/>
    <s v="09/19/2016"/>
    <s v="07/08/2016"/>
    <x v="89"/>
    <s v="WIRE ASSEMBLY"/>
    <s v="CLOSED"/>
    <s v="M21"/>
    <m/>
    <s v="DT42"/>
    <s v="R"/>
    <s v="B"/>
    <x v="2"/>
    <s v="4/20/16 MS"/>
    <m/>
    <m/>
    <m/>
    <m/>
    <n v="506"/>
  </r>
  <r>
    <x v="5"/>
    <n v="50181643"/>
    <s v="MF"/>
    <n v="1"/>
    <n v="1"/>
    <n v="0"/>
    <n v="250"/>
    <n v="250"/>
    <m/>
    <m/>
    <m/>
    <m/>
    <x v="5"/>
    <s v="08/29/2016"/>
    <s v="07/14/2016"/>
    <x v="89"/>
    <s v="WIRE ASSEMBLY"/>
    <m/>
    <s v="M21"/>
    <m/>
    <s v="AET03"/>
    <s v="R"/>
    <s v="B"/>
    <x v="2"/>
    <s v="S"/>
    <m/>
    <m/>
    <m/>
    <m/>
    <n v="507"/>
  </r>
  <r>
    <x v="5"/>
    <n v="50179971"/>
    <s v="MF"/>
    <n v="1"/>
    <n v="1"/>
    <n v="0"/>
    <n v="150"/>
    <n v="150"/>
    <m/>
    <m/>
    <m/>
    <m/>
    <x v="5"/>
    <s v="07/18/2016"/>
    <s v="07/14/2016"/>
    <x v="90"/>
    <s v="WIRE ASSEMBLY"/>
    <s v="4"/>
    <s v="M21"/>
    <m/>
    <s v="AET03"/>
    <s v="R"/>
    <s v="C"/>
    <x v="2"/>
    <s v="6/29/16 MS"/>
    <m/>
    <m/>
    <m/>
    <m/>
    <n v="510"/>
  </r>
  <r>
    <x v="3"/>
    <n v="50181536"/>
    <s v="MF"/>
    <n v="1"/>
    <n v="1"/>
    <n v="0"/>
    <n v="250"/>
    <n v="250"/>
    <m/>
    <m/>
    <m/>
    <m/>
    <x v="3"/>
    <s v="08/15/2016"/>
    <s v="07/28/2016"/>
    <x v="90"/>
    <s v="WIRE ASSEMBLY"/>
    <m/>
    <s v="M21"/>
    <m/>
    <s v="AET03"/>
    <s v="R"/>
    <s v="C"/>
    <x v="2"/>
    <s v="S"/>
    <m/>
    <m/>
    <m/>
    <m/>
    <n v="511"/>
  </r>
  <r>
    <x v="5"/>
    <n v="50180699"/>
    <s v="MF"/>
    <n v="1"/>
    <n v="1"/>
    <n v="0"/>
    <n v="250"/>
    <n v="250"/>
    <m/>
    <m/>
    <m/>
    <m/>
    <x v="5"/>
    <s v="07/18/2016"/>
    <s v="07/14/2016"/>
    <x v="91"/>
    <s v="WIRE ASSEMBLY"/>
    <m/>
    <s v="M21"/>
    <m/>
    <s v="AET03"/>
    <s v="R"/>
    <s v="D"/>
    <x v="26"/>
    <s v="7/11/16 MKC"/>
    <m/>
    <m/>
    <m/>
    <m/>
    <n v="514"/>
  </r>
  <r>
    <x v="58"/>
    <n v="50180700"/>
    <s v="MF"/>
    <n v="1"/>
    <n v="1"/>
    <n v="0"/>
    <n v="250"/>
    <n v="250"/>
    <m/>
    <m/>
    <m/>
    <m/>
    <x v="58"/>
    <s v="08/15/2016"/>
    <s v="03/23/2017"/>
    <x v="91"/>
    <s v="WIRE ASSEMBLY"/>
    <m/>
    <s v="M21"/>
    <m/>
    <s v="AET03"/>
    <s v="R"/>
    <s v="D"/>
    <x v="2"/>
    <s v="S"/>
    <m/>
    <m/>
    <m/>
    <m/>
    <n v="515"/>
  </r>
  <r>
    <x v="59"/>
    <n v="50172724"/>
    <s v="MF"/>
    <n v="1"/>
    <n v="1"/>
    <n v="1"/>
    <n v="1"/>
    <n v="1"/>
    <m/>
    <m/>
    <m/>
    <m/>
    <x v="59"/>
    <s v="11/24/2015"/>
    <s v="10/07/2015"/>
    <x v="92"/>
    <s v="PROBE, PITOT"/>
    <s v="CLOSED"/>
    <s v="M30"/>
    <m/>
    <s v="REPAIRS"/>
    <s v="R"/>
    <m/>
    <x v="31"/>
    <m/>
    <m/>
    <m/>
    <m/>
    <m/>
    <n v="516"/>
  </r>
  <r>
    <x v="60"/>
    <n v="50173612"/>
    <s v="MF"/>
    <n v="1"/>
    <n v="1"/>
    <n v="1"/>
    <n v="1"/>
    <n v="1"/>
    <m/>
    <m/>
    <m/>
    <m/>
    <x v="60"/>
    <s v="11/25/2015"/>
    <s v="10/08/2015"/>
    <x v="93"/>
    <s v="PITOT-STATIC PROBE, RIGHT"/>
    <s v="CLOSED"/>
    <s v="M30"/>
    <m/>
    <s v="REPAIRS"/>
    <s v="R"/>
    <s v="K"/>
    <x v="32"/>
    <m/>
    <m/>
    <m/>
    <m/>
    <m/>
    <n v="517"/>
  </r>
  <r>
    <x v="61"/>
    <n v="50172906"/>
    <s v="MF"/>
    <n v="1"/>
    <n v="1"/>
    <n v="1"/>
    <n v="1"/>
    <n v="1"/>
    <m/>
    <m/>
    <m/>
    <m/>
    <x v="61"/>
    <s v="11/02/2015"/>
    <s v="09/16/2015"/>
    <x v="94"/>
    <s v="PITOT PROBE, HEATED, 24V"/>
    <s v="CLOSED"/>
    <s v="M30"/>
    <m/>
    <s v="REPAIRS"/>
    <s v="R"/>
    <m/>
    <x v="33"/>
    <m/>
    <m/>
    <m/>
    <m/>
    <m/>
    <n v="518"/>
  </r>
  <r>
    <x v="61"/>
    <n v="50172909"/>
    <s v="MF"/>
    <n v="1"/>
    <n v="1"/>
    <n v="1"/>
    <n v="1"/>
    <n v="1"/>
    <m/>
    <m/>
    <m/>
    <m/>
    <x v="61"/>
    <s v="09/30/2015"/>
    <s v="09/16/2015"/>
    <x v="94"/>
    <s v="PITOT PROBE, HEATED, 24V"/>
    <s v="CLOSED"/>
    <s v="M30"/>
    <m/>
    <s v="REPAIRS"/>
    <s v="R"/>
    <m/>
    <x v="34"/>
    <m/>
    <m/>
    <m/>
    <m/>
    <m/>
    <n v="519"/>
  </r>
  <r>
    <x v="11"/>
    <n v="50178609"/>
    <s v="MF"/>
    <n v="1"/>
    <n v="1"/>
    <n v="1"/>
    <n v="5"/>
    <n v="2"/>
    <m/>
    <m/>
    <m/>
    <m/>
    <x v="11"/>
    <s v="05/31/2016"/>
    <s v="06/09/2016"/>
    <x v="95"/>
    <s v="PROBE, PITOT PRESSURE"/>
    <s v="-99.999"/>
    <s v="M30"/>
    <m/>
    <s v="AET02"/>
    <s v="R"/>
    <s v="~"/>
    <x v="2"/>
    <s v="4/26/16 MS"/>
    <m/>
    <m/>
    <m/>
    <m/>
    <n v="520"/>
  </r>
  <r>
    <x v="11"/>
    <n v="50181597"/>
    <s v="MF"/>
    <n v="1"/>
    <n v="1"/>
    <n v="1"/>
    <n v="2"/>
    <n v="2"/>
    <m/>
    <m/>
    <m/>
    <m/>
    <x v="11"/>
    <s v="08/29/2016"/>
    <s v="06/09/2016"/>
    <x v="95"/>
    <s v="PROBE, PITOT PRESSURE"/>
    <s v="-99.999"/>
    <s v="M30"/>
    <m/>
    <s v="AET02"/>
    <s v="R"/>
    <s v="~"/>
    <x v="35"/>
    <m/>
    <m/>
    <m/>
    <m/>
    <m/>
    <n v="521"/>
  </r>
  <r>
    <x v="9"/>
    <n v="50177175"/>
    <s v="MF"/>
    <n v="1"/>
    <n v="1"/>
    <n v="1"/>
    <n v="10"/>
    <n v="10"/>
    <m/>
    <m/>
    <m/>
    <m/>
    <x v="9"/>
    <s v="07/20/2015"/>
    <s v="07/28/2016"/>
    <x v="96"/>
    <s v="PROBE, PITOT"/>
    <s v="6"/>
    <s v="M30"/>
    <m/>
    <s v="AET02"/>
    <s v="R"/>
    <s v="J"/>
    <x v="2"/>
    <s v="7/12/16 MS"/>
    <m/>
    <m/>
    <m/>
    <m/>
    <n v="522"/>
  </r>
  <r>
    <x v="23"/>
    <n v="50177703"/>
    <s v="MF"/>
    <n v="1"/>
    <n v="1"/>
    <n v="1"/>
    <n v="2"/>
    <n v="2"/>
    <m/>
    <m/>
    <m/>
    <m/>
    <x v="23"/>
    <s v="04/29/2016"/>
    <s v="08/04/2016"/>
    <x v="96"/>
    <s v="PROBE, PITOT"/>
    <s v="32"/>
    <s v="M30"/>
    <m/>
    <s v="AET02"/>
    <s v="R"/>
    <s v="J"/>
    <x v="4"/>
    <m/>
    <m/>
    <m/>
    <m/>
    <m/>
    <n v="523"/>
  </r>
  <r>
    <x v="23"/>
    <n v="50178302"/>
    <s v="MF"/>
    <n v="1"/>
    <n v="1"/>
    <n v="1"/>
    <n v="3"/>
    <n v="3"/>
    <m/>
    <m/>
    <m/>
    <m/>
    <x v="23"/>
    <s v="05/31/2016"/>
    <s v="08/04/2016"/>
    <x v="96"/>
    <s v="PROBE, PITOT"/>
    <s v="21.333"/>
    <s v="M30"/>
    <m/>
    <s v="AET02"/>
    <s v="R"/>
    <s v="J"/>
    <x v="4"/>
    <m/>
    <m/>
    <m/>
    <m/>
    <m/>
    <n v="524"/>
  </r>
  <r>
    <x v="34"/>
    <n v="50181775"/>
    <s v="MF"/>
    <n v="1"/>
    <n v="1"/>
    <n v="0"/>
    <n v="6"/>
    <n v="6"/>
    <m/>
    <m/>
    <m/>
    <m/>
    <x v="34"/>
    <s v="07/28/2016"/>
    <s v="05/18/2016"/>
    <x v="97"/>
    <s v="PITOT PROBE ELECTICALLY HEATED"/>
    <s v="-1.111"/>
    <s v="M30"/>
    <m/>
    <s v="AET02"/>
    <s v="R"/>
    <s v="N"/>
    <x v="36"/>
    <m/>
    <m/>
    <m/>
    <m/>
    <m/>
    <n v="526"/>
  </r>
  <r>
    <x v="62"/>
    <n v="50167587"/>
    <s v="MF"/>
    <n v="1"/>
    <n v="1"/>
    <n v="1"/>
    <n v="5"/>
    <n v="2"/>
    <m/>
    <m/>
    <m/>
    <m/>
    <x v="62"/>
    <s v="07/20/2015"/>
    <s v="05/24/2016"/>
    <x v="97"/>
    <s v="PITOT PROBE ELECTICALLY HEATED"/>
    <m/>
    <s v="M30"/>
    <m/>
    <s v="AET02"/>
    <s v="R"/>
    <s v="N"/>
    <x v="2"/>
    <s v="7/13/15 MS"/>
    <s v="wfm H-SL851HT"/>
    <m/>
    <m/>
    <m/>
    <n v="527"/>
  </r>
  <r>
    <x v="62"/>
    <n v="50170180"/>
    <s v="MF"/>
    <n v="1"/>
    <n v="1"/>
    <n v="1"/>
    <n v="5"/>
    <n v="5"/>
    <m/>
    <m/>
    <m/>
    <m/>
    <x v="62"/>
    <s v="08/31/2015"/>
    <s v="05/24/2016"/>
    <x v="97"/>
    <s v="PITOT PROBE ELECTICALLY HEATED"/>
    <m/>
    <s v="M30"/>
    <m/>
    <s v="AET02"/>
    <s v="R"/>
    <s v="N"/>
    <x v="2"/>
    <m/>
    <s v="wfm H-SL851HT"/>
    <m/>
    <m/>
    <m/>
    <n v="528"/>
  </r>
  <r>
    <x v="62"/>
    <n v="50170369"/>
    <s v="MF"/>
    <n v="1"/>
    <n v="1"/>
    <n v="1"/>
    <n v="5"/>
    <n v="5"/>
    <m/>
    <m/>
    <m/>
    <m/>
    <x v="62"/>
    <s v="07/13/2015"/>
    <s v="05/24/2016"/>
    <x v="97"/>
    <s v="PITOT PROBE ELECTICALLY HEATED"/>
    <m/>
    <s v="M30"/>
    <m/>
    <s v="AET02"/>
    <s v="R"/>
    <s v="N"/>
    <x v="37"/>
    <s v="3/22/16 MS"/>
    <m/>
    <m/>
    <m/>
    <m/>
    <n v="529"/>
  </r>
  <r>
    <x v="62"/>
    <n v="50180329"/>
    <s v="MF"/>
    <n v="1"/>
    <n v="1"/>
    <n v="1"/>
    <n v="5"/>
    <n v="3"/>
    <m/>
    <m/>
    <m/>
    <m/>
    <x v="62"/>
    <s v="07/22/2016"/>
    <s v="05/24/2016"/>
    <x v="97"/>
    <s v="PITOT PROBE ELECTICALLY HEATED"/>
    <s v="-0.875"/>
    <s v="M30"/>
    <m/>
    <s v="AET02"/>
    <s v="R"/>
    <s v="N"/>
    <x v="38"/>
    <m/>
    <m/>
    <m/>
    <m/>
    <m/>
    <n v="530"/>
  </r>
  <r>
    <x v="62"/>
    <n v="50180529"/>
    <s v="MF"/>
    <n v="1"/>
    <n v="1"/>
    <n v="1"/>
    <n v="5"/>
    <n v="5"/>
    <m/>
    <m/>
    <m/>
    <m/>
    <x v="62"/>
    <s v="06/14/2016"/>
    <s v="05/24/2016"/>
    <x v="97"/>
    <s v="PITOT PROBE ELECTICALLY HEATED"/>
    <m/>
    <s v="M30"/>
    <m/>
    <m/>
    <s v="R"/>
    <s v="N"/>
    <x v="2"/>
    <s v="6/29/16 MS"/>
    <m/>
    <m/>
    <m/>
    <m/>
    <n v="531"/>
  </r>
  <r>
    <x v="62"/>
    <n v="50180530"/>
    <s v="MF"/>
    <n v="1"/>
    <n v="1"/>
    <n v="1"/>
    <n v="5"/>
    <n v="5"/>
    <m/>
    <m/>
    <m/>
    <m/>
    <x v="62"/>
    <s v="06/14/2016"/>
    <s v="05/24/2016"/>
    <x v="97"/>
    <s v="PITOT PROBE ELECTICALLY HEATED"/>
    <m/>
    <s v="M30"/>
    <m/>
    <m/>
    <s v="R"/>
    <s v="N"/>
    <x v="2"/>
    <m/>
    <m/>
    <m/>
    <m/>
    <m/>
    <n v="532"/>
  </r>
  <r>
    <x v="11"/>
    <n v="50178300"/>
    <s v="MF"/>
    <n v="1"/>
    <n v="1"/>
    <n v="1"/>
    <n v="5"/>
    <n v="5"/>
    <m/>
    <m/>
    <m/>
    <m/>
    <x v="11"/>
    <s v="04/05/2016"/>
    <s v="06/01/2016"/>
    <x v="97"/>
    <s v="PITOT PROBE ELECTICALLY HEATED"/>
    <s v="-99.999"/>
    <s v="M30"/>
    <m/>
    <m/>
    <s v="R"/>
    <s v="N"/>
    <x v="2"/>
    <m/>
    <m/>
    <m/>
    <m/>
    <m/>
    <n v="533"/>
  </r>
  <r>
    <x v="42"/>
    <n v="50180531"/>
    <s v="MF"/>
    <n v="1"/>
    <n v="1"/>
    <n v="1"/>
    <n v="5"/>
    <n v="5"/>
    <m/>
    <m/>
    <m/>
    <m/>
    <x v="42"/>
    <s v="06/14/2016"/>
    <s v="06/29/2016"/>
    <x v="97"/>
    <s v="PITOT PROBE ELECTICALLY HEATED"/>
    <m/>
    <s v="M30"/>
    <m/>
    <m/>
    <s v="R"/>
    <s v="N"/>
    <x v="2"/>
    <m/>
    <m/>
    <m/>
    <m/>
    <m/>
    <n v="534"/>
  </r>
  <r>
    <x v="42"/>
    <n v="50180532"/>
    <s v="MF"/>
    <n v="1"/>
    <n v="1"/>
    <n v="1"/>
    <n v="5"/>
    <n v="5"/>
    <m/>
    <m/>
    <m/>
    <m/>
    <x v="42"/>
    <s v="06/14/2016"/>
    <s v="06/29/2016"/>
    <x v="97"/>
    <s v="PITOT PROBE ELECTICALLY HEATED"/>
    <m/>
    <s v="M30"/>
    <m/>
    <m/>
    <s v="R"/>
    <s v="N"/>
    <x v="2"/>
    <m/>
    <m/>
    <m/>
    <m/>
    <m/>
    <n v="535"/>
  </r>
  <r>
    <x v="42"/>
    <n v="50167586"/>
    <s v="MF"/>
    <n v="1"/>
    <n v="1"/>
    <n v="1"/>
    <n v="25"/>
    <n v="25"/>
    <m/>
    <m/>
    <m/>
    <m/>
    <x v="42"/>
    <s v="06/29/2015"/>
    <s v="06/29/2016"/>
    <x v="97"/>
    <s v="PITOT PROBE ELECTICALLY HEATED"/>
    <m/>
    <s v="M30"/>
    <m/>
    <s v="AET02"/>
    <s v="R"/>
    <s v="N"/>
    <x v="2"/>
    <s v="7/13/15 MS"/>
    <m/>
    <m/>
    <m/>
    <m/>
    <n v="536"/>
  </r>
  <r>
    <x v="17"/>
    <n v="50180201"/>
    <s v="MF"/>
    <n v="1"/>
    <n v="1"/>
    <n v="1"/>
    <n v="15"/>
    <n v="15"/>
    <m/>
    <m/>
    <m/>
    <m/>
    <x v="17"/>
    <s v="07/25/2016"/>
    <s v="07/07/2016"/>
    <x v="98"/>
    <s v="PROBE, PITOT-STATIC"/>
    <s v="1.129"/>
    <s v="M30"/>
    <m/>
    <s v="AET02"/>
    <s v="R"/>
    <s v="M"/>
    <x v="2"/>
    <s v="6/10/16 MS"/>
    <m/>
    <m/>
    <m/>
    <m/>
    <n v="539"/>
  </r>
  <r>
    <x v="7"/>
    <n v="50171117"/>
    <s v="MF"/>
    <n v="1"/>
    <n v="1"/>
    <n v="1"/>
    <n v="10"/>
    <n v="10"/>
    <m/>
    <m/>
    <m/>
    <m/>
    <x v="7"/>
    <s v="08/31/2015"/>
    <s v="09/02/2016"/>
    <x v="98"/>
    <s v="PROBE, PITOT-STATIC"/>
    <m/>
    <s v="M30"/>
    <m/>
    <s v="AET02"/>
    <s v="R"/>
    <s v="M"/>
    <x v="2"/>
    <s v="9/15/15 MS"/>
    <m/>
    <m/>
    <m/>
    <m/>
    <n v="540"/>
  </r>
  <r>
    <x v="7"/>
    <n v="50172440"/>
    <s v="MF"/>
    <n v="1"/>
    <n v="1"/>
    <n v="1"/>
    <n v="1"/>
    <n v="1"/>
    <m/>
    <m/>
    <m/>
    <m/>
    <x v="7"/>
    <s v="09/30/2015"/>
    <s v="09/02/2016"/>
    <x v="98"/>
    <s v="PROBE, PITOT-STATIC"/>
    <m/>
    <s v="M30"/>
    <m/>
    <s v="AET02"/>
    <s v="R"/>
    <s v="M"/>
    <x v="39"/>
    <m/>
    <m/>
    <m/>
    <m/>
    <m/>
    <n v="541"/>
  </r>
  <r>
    <x v="29"/>
    <n v="50178606"/>
    <s v="MF"/>
    <n v="1"/>
    <n v="1"/>
    <n v="1"/>
    <n v="7"/>
    <n v="1"/>
    <m/>
    <m/>
    <m/>
    <m/>
    <x v="29"/>
    <s v="05/31/2016"/>
    <s v="05/17/2016"/>
    <x v="99"/>
    <s v="DUAL STATIC PITOT PROBE"/>
    <s v="-1.4"/>
    <s v="M30"/>
    <m/>
    <s v="AET02"/>
    <s v="R"/>
    <s v="~"/>
    <x v="2"/>
    <s v="4/27/16 MS"/>
    <m/>
    <m/>
    <m/>
    <m/>
    <n v="542"/>
  </r>
  <r>
    <x v="7"/>
    <n v="50181428"/>
    <s v="MF"/>
    <n v="1"/>
    <n v="1"/>
    <n v="1"/>
    <n v="3"/>
    <n v="2"/>
    <m/>
    <m/>
    <m/>
    <m/>
    <x v="7"/>
    <s v="10/31/2016"/>
    <s v="09/02/2016"/>
    <x v="99"/>
    <s v="DUAL STATIC PITOT PROBE"/>
    <s v="31.667"/>
    <s v="M30"/>
    <m/>
    <s v="AET02"/>
    <s v="R"/>
    <s v="~"/>
    <x v="4"/>
    <m/>
    <m/>
    <m/>
    <m/>
    <m/>
    <n v="543"/>
  </r>
  <r>
    <x v="39"/>
    <n v="50178595"/>
    <s v="MF"/>
    <n v="1"/>
    <n v="1"/>
    <n v="1"/>
    <n v="4"/>
    <n v="4"/>
    <m/>
    <m/>
    <m/>
    <m/>
    <x v="39"/>
    <s v="04/20/2016"/>
    <s v="06/02/2016"/>
    <x v="100"/>
    <s v="PITOT-STATIC PROBE, LEFT"/>
    <m/>
    <s v="M30"/>
    <m/>
    <m/>
    <s v="R"/>
    <s v="J"/>
    <x v="2"/>
    <m/>
    <m/>
    <m/>
    <m/>
    <m/>
    <n v="544"/>
  </r>
  <r>
    <x v="25"/>
    <n v="50176927"/>
    <s v="MF"/>
    <n v="1"/>
    <n v="1"/>
    <n v="1"/>
    <n v="10"/>
    <n v="10"/>
    <m/>
    <m/>
    <m/>
    <m/>
    <x v="25"/>
    <s v="02/22/2016"/>
    <s v="06/23/2016"/>
    <x v="100"/>
    <s v="PITOT-STATIC PROBE, LEFT"/>
    <s v="1.4"/>
    <s v="M30"/>
    <m/>
    <s v="AET02"/>
    <s v="R"/>
    <s v="J"/>
    <x v="2"/>
    <s v="6/16/16 MS"/>
    <m/>
    <m/>
    <m/>
    <m/>
    <n v="545"/>
  </r>
  <r>
    <x v="37"/>
    <n v="50178795"/>
    <s v="MF"/>
    <n v="1"/>
    <n v="1"/>
    <n v="1"/>
    <n v="15"/>
    <n v="15"/>
    <m/>
    <m/>
    <m/>
    <m/>
    <x v="37"/>
    <s v="07/11/2016"/>
    <s v="07/13/2016"/>
    <x v="100"/>
    <s v="PITOT-STATIC PROBE, LEFT"/>
    <s v="2.267"/>
    <s v="M30"/>
    <m/>
    <s v="AET02"/>
    <s v="R"/>
    <s v="J"/>
    <x v="2"/>
    <s v="6/16/16 MS"/>
    <m/>
    <m/>
    <m/>
    <m/>
    <n v="546"/>
  </r>
  <r>
    <x v="63"/>
    <n v="50181839"/>
    <s v="MF"/>
    <n v="1"/>
    <n v="1"/>
    <n v="0"/>
    <n v="1"/>
    <n v="1"/>
    <m/>
    <m/>
    <m/>
    <m/>
    <x v="63"/>
    <s v="07/25/2016"/>
    <s v="04/09/2015"/>
    <x v="101"/>
    <s v="PITOT-STATIC PROBE, RIGHT"/>
    <s v="-99.999"/>
    <s v="M30"/>
    <m/>
    <s v="AET02"/>
    <s v="R"/>
    <s v="K"/>
    <x v="40"/>
    <m/>
    <m/>
    <m/>
    <m/>
    <m/>
    <n v="548"/>
  </r>
  <r>
    <x v="11"/>
    <n v="50172281"/>
    <s v="MF"/>
    <n v="1"/>
    <n v="1"/>
    <n v="1"/>
    <n v="10"/>
    <n v="8"/>
    <m/>
    <m/>
    <m/>
    <m/>
    <x v="11"/>
    <s v="09/21/2015"/>
    <s v="06/01/2016"/>
    <x v="101"/>
    <s v="PITOT-STATIC PROBE, RIGHT"/>
    <s v="-99.999"/>
    <s v="M30"/>
    <m/>
    <s v="AET02"/>
    <s v="R"/>
    <s v="K"/>
    <x v="2"/>
    <s v="6/22/16 MS"/>
    <m/>
    <m/>
    <m/>
    <m/>
    <n v="549"/>
  </r>
  <r>
    <x v="30"/>
    <n v="50173376"/>
    <s v="MF"/>
    <n v="1"/>
    <n v="1"/>
    <n v="1"/>
    <n v="10"/>
    <n v="10"/>
    <m/>
    <m/>
    <m/>
    <m/>
    <x v="30"/>
    <s v="10/26/2015"/>
    <s v="06/08/2016"/>
    <x v="101"/>
    <s v="PITOT-STATIC PROBE, RIGHT"/>
    <m/>
    <s v="M30"/>
    <m/>
    <s v="AET02"/>
    <s v="R"/>
    <s v="K"/>
    <x v="2"/>
    <m/>
    <m/>
    <m/>
    <m/>
    <m/>
    <n v="550"/>
  </r>
  <r>
    <x v="30"/>
    <n v="50178796"/>
    <s v="MF"/>
    <n v="1"/>
    <n v="1"/>
    <n v="1"/>
    <n v="10"/>
    <n v="10"/>
    <m/>
    <m/>
    <m/>
    <m/>
    <x v="30"/>
    <s v="07/11/2016"/>
    <s v="06/08/2016"/>
    <x v="101"/>
    <s v="PITOT-STATIC PROBE, RIGHT"/>
    <s v="0.7"/>
    <s v="M30"/>
    <m/>
    <s v="AET02"/>
    <s v="R"/>
    <s v="K"/>
    <x v="2"/>
    <s v="6/22/16 MS"/>
    <m/>
    <m/>
    <m/>
    <m/>
    <n v="551"/>
  </r>
  <r>
    <x v="9"/>
    <n v="50177864"/>
    <s v="MF"/>
    <n v="1"/>
    <n v="1"/>
    <n v="1"/>
    <n v="10"/>
    <n v="10"/>
    <m/>
    <m/>
    <m/>
    <m/>
    <x v="9"/>
    <s v="03/07/2016"/>
    <s v="07/28/2016"/>
    <x v="101"/>
    <s v="PITOT-STATIC PROBE, RIGHT"/>
    <s v="6"/>
    <s v="M30"/>
    <m/>
    <s v="AET02"/>
    <s v="R"/>
    <s v="K"/>
    <x v="2"/>
    <m/>
    <m/>
    <m/>
    <m/>
    <m/>
    <n v="552"/>
  </r>
  <r>
    <x v="23"/>
    <n v="50173790"/>
    <s v="MF"/>
    <n v="1"/>
    <n v="1"/>
    <n v="1"/>
    <n v="1"/>
    <n v="1"/>
    <m/>
    <m/>
    <m/>
    <m/>
    <x v="23"/>
    <s v="11/02/2015"/>
    <s v="08/04/2016"/>
    <x v="101"/>
    <s v="PITOT-STATIC PROBE, RIGHT"/>
    <s v="64"/>
    <s v="M30"/>
    <m/>
    <s v="AET02"/>
    <s v="R"/>
    <s v="K"/>
    <x v="41"/>
    <m/>
    <m/>
    <m/>
    <m/>
    <m/>
    <n v="553"/>
  </r>
  <r>
    <x v="23"/>
    <n v="50170182"/>
    <s v="MF"/>
    <n v="1"/>
    <n v="1"/>
    <n v="1"/>
    <n v="10"/>
    <n v="4"/>
    <m/>
    <m/>
    <m/>
    <m/>
    <x v="23"/>
    <s v="08/31/2015"/>
    <s v="08/04/2016"/>
    <x v="101"/>
    <s v="PITOT-STATIC PROBE, RIGHT"/>
    <s v="CLOSED"/>
    <s v="M30"/>
    <m/>
    <s v="AET02"/>
    <s v="R"/>
    <s v="K"/>
    <x v="4"/>
    <s v="5/2/16 MS"/>
    <m/>
    <m/>
    <m/>
    <m/>
    <n v="554"/>
  </r>
  <r>
    <x v="23"/>
    <n v="50178847"/>
    <s v="MF"/>
    <n v="1"/>
    <n v="1"/>
    <n v="1"/>
    <n v="1"/>
    <n v="1"/>
    <m/>
    <m/>
    <m/>
    <m/>
    <x v="23"/>
    <s v="06/30/2016"/>
    <s v="08/04/2016"/>
    <x v="101"/>
    <s v="PITOT-STATIC PROBE, RIGHT"/>
    <s v="64"/>
    <s v="M30"/>
    <m/>
    <s v="AET02"/>
    <s v="R"/>
    <s v="K"/>
    <x v="4"/>
    <m/>
    <m/>
    <m/>
    <m/>
    <m/>
    <n v="555"/>
  </r>
  <r>
    <x v="23"/>
    <n v="50178049"/>
    <s v="MF"/>
    <n v="1"/>
    <n v="1"/>
    <n v="1"/>
    <n v="1"/>
    <n v="1"/>
    <m/>
    <m/>
    <m/>
    <m/>
    <x v="23"/>
    <s v="07/08/2016"/>
    <s v="08/04/2016"/>
    <x v="101"/>
    <s v="PITOT-STATIC PROBE, RIGHT"/>
    <s v="32"/>
    <s v="M30"/>
    <m/>
    <s v="AET02"/>
    <s v="R"/>
    <s v="K"/>
    <x v="4"/>
    <m/>
    <m/>
    <m/>
    <m/>
    <m/>
    <n v="556"/>
  </r>
  <r>
    <x v="23"/>
    <n v="50178146"/>
    <s v="MF"/>
    <n v="1"/>
    <n v="1"/>
    <n v="1"/>
    <n v="1"/>
    <n v="1"/>
    <m/>
    <m/>
    <m/>
    <m/>
    <x v="23"/>
    <s v="05/27/2016"/>
    <s v="08/04/2016"/>
    <x v="101"/>
    <s v="PITOT-STATIC PROBE, RIGHT"/>
    <s v="64"/>
    <s v="M30"/>
    <m/>
    <s v="AET02"/>
    <s v="R"/>
    <s v="K"/>
    <x v="4"/>
    <m/>
    <m/>
    <m/>
    <m/>
    <m/>
    <n v="557"/>
  </r>
  <r>
    <x v="28"/>
    <n v="50178880"/>
    <s v="MF"/>
    <n v="1"/>
    <n v="1"/>
    <n v="1"/>
    <n v="7"/>
    <n v="7"/>
    <m/>
    <m/>
    <m/>
    <m/>
    <x v="28"/>
    <s v="04/28/2016"/>
    <s v="07/14/2016"/>
    <x v="102"/>
    <s v="PROBE, PITOT-STATIC ASSEMBLY"/>
    <m/>
    <s v="M30"/>
    <m/>
    <m/>
    <s v="R"/>
    <s v="K"/>
    <x v="2"/>
    <s v="5/31/16 MS"/>
    <m/>
    <m/>
    <m/>
    <m/>
    <n v="558"/>
  </r>
  <r>
    <x v="28"/>
    <n v="50181258"/>
    <s v="MF"/>
    <n v="1"/>
    <n v="1"/>
    <n v="1"/>
    <n v="10"/>
    <n v="10"/>
    <m/>
    <m/>
    <m/>
    <m/>
    <x v="28"/>
    <s v="08/08/2016"/>
    <s v="07/14/2016"/>
    <x v="102"/>
    <s v="PROBE, PITOT-STATIC ASSEMBLY"/>
    <s v="0.458"/>
    <s v="M30"/>
    <m/>
    <s v="AET02"/>
    <s v="R"/>
    <s v="K"/>
    <x v="2"/>
    <s v="S"/>
    <m/>
    <m/>
    <m/>
    <m/>
    <n v="559"/>
  </r>
  <r>
    <x v="28"/>
    <n v="50169959"/>
    <s v="MF"/>
    <n v="1"/>
    <n v="1"/>
    <n v="0"/>
    <n v="15"/>
    <n v="11"/>
    <m/>
    <m/>
    <m/>
    <m/>
    <x v="28"/>
    <s v="08/24/2015"/>
    <s v="07/28/2016"/>
    <x v="103"/>
    <s v="PROBE, PITOT-STATIC ASSEMBLY"/>
    <m/>
    <s v="M30"/>
    <m/>
    <s v="AET02"/>
    <s v="R"/>
    <s v="L"/>
    <x v="42"/>
    <s v="7/1/15 MKC-KIT"/>
    <m/>
    <m/>
    <m/>
    <m/>
    <n v="561"/>
  </r>
  <r>
    <x v="28"/>
    <n v="50178882"/>
    <s v="MF"/>
    <n v="1"/>
    <n v="1"/>
    <n v="0"/>
    <n v="5"/>
    <n v="5"/>
    <m/>
    <m/>
    <m/>
    <m/>
    <x v="28"/>
    <s v="04/28/2016"/>
    <s v="07/28/2016"/>
    <x v="103"/>
    <s v="PROBE, PITOT-STATIC ASSEMBLY"/>
    <m/>
    <s v="M30"/>
    <m/>
    <m/>
    <s v="R"/>
    <s v="L"/>
    <x v="2"/>
    <m/>
    <m/>
    <m/>
    <m/>
    <m/>
    <n v="562"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4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  <r>
    <x v="65"/>
    <m/>
    <m/>
    <m/>
    <m/>
    <m/>
    <m/>
    <m/>
    <m/>
    <m/>
    <m/>
    <m/>
    <x v="64"/>
    <m/>
    <m/>
    <x v="104"/>
    <m/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7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4" indent="0" compact="0" compactData="0" gridDropZones="1" multipleFieldFilters="0">
  <location ref="A3:C242" firstHeaderRow="2" firstDataRow="2" firstDataCol="2" rowPageCount="1" colPageCount="1"/>
  <pivotFields count="30">
    <pivotField axis="axisRow" compact="0" outline="0" showAll="0" sortType="ascending" defaultSubtotal="0">
      <items count="131">
        <item x="64"/>
        <item m="1" x="97"/>
        <item m="1" x="102"/>
        <item x="63"/>
        <item x="0"/>
        <item x="1"/>
        <item m="1" x="123"/>
        <item x="61"/>
        <item x="59"/>
        <item x="60"/>
        <item m="1" x="103"/>
        <item m="1" x="74"/>
        <item m="1" x="90"/>
        <item m="1" x="126"/>
        <item m="1" x="87"/>
        <item x="52"/>
        <item x="53"/>
        <item m="1" x="86"/>
        <item x="51"/>
        <item x="56"/>
        <item m="1" x="83"/>
        <item x="29"/>
        <item x="34"/>
        <item x="62"/>
        <item x="39"/>
        <item x="35"/>
        <item x="36"/>
        <item x="55"/>
        <item x="11"/>
        <item x="5"/>
        <item m="1" x="80"/>
        <item x="30"/>
        <item x="20"/>
        <item x="28"/>
        <item x="31"/>
        <item x="25"/>
        <item x="3"/>
        <item m="1" x="115"/>
        <item x="57"/>
        <item x="54"/>
        <item x="14"/>
        <item x="8"/>
        <item x="48"/>
        <item x="42"/>
        <item x="13"/>
        <item x="37"/>
        <item x="17"/>
        <item x="21"/>
        <item x="22"/>
        <item m="1" x="73"/>
        <item x="26"/>
        <item x="4"/>
        <item x="18"/>
        <item x="46"/>
        <item x="27"/>
        <item x="32"/>
        <item x="12"/>
        <item x="47"/>
        <item m="1" x="107"/>
        <item x="19"/>
        <item x="9"/>
        <item x="15"/>
        <item m="1" x="120"/>
        <item x="16"/>
        <item x="23"/>
        <item x="24"/>
        <item x="49"/>
        <item m="1" x="104"/>
        <item x="43"/>
        <item x="6"/>
        <item x="10"/>
        <item m="1" x="82"/>
        <item m="1" x="66"/>
        <item x="44"/>
        <item m="1" x="79"/>
        <item x="7"/>
        <item x="40"/>
        <item m="1" x="101"/>
        <item x="2"/>
        <item x="41"/>
        <item x="45"/>
        <item m="1" x="75"/>
        <item m="1" x="91"/>
        <item m="1" x="109"/>
        <item x="38"/>
        <item x="50"/>
        <item x="33"/>
        <item m="1" x="100"/>
        <item m="1" x="117"/>
        <item m="1" x="127"/>
        <item m="1" x="77"/>
        <item m="1" x="94"/>
        <item m="1" x="92"/>
        <item m="1" x="125"/>
        <item m="1" x="89"/>
        <item m="1" x="108"/>
        <item m="1" x="121"/>
        <item m="1" x="68"/>
        <item m="1" x="85"/>
        <item x="58"/>
        <item m="1" x="129"/>
        <item m="1" x="67"/>
        <item m="1" x="78"/>
        <item m="1" x="95"/>
        <item m="1" x="112"/>
        <item m="1" x="110"/>
        <item m="1" x="72"/>
        <item m="1" x="106"/>
        <item m="1" x="119"/>
        <item m="1" x="124"/>
        <item m="1" x="70"/>
        <item m="1" x="81"/>
        <item m="1" x="99"/>
        <item m="1" x="116"/>
        <item m="1" x="130"/>
        <item m="1" x="76"/>
        <item m="1" x="93"/>
        <item m="1" x="111"/>
        <item m="1" x="71"/>
        <item m="1" x="88"/>
        <item m="1" x="105"/>
        <item m="1" x="122"/>
        <item m="1" x="69"/>
        <item m="1" x="98"/>
        <item m="1" x="118"/>
        <item m="1" x="96"/>
        <item m="1" x="113"/>
        <item m="1" x="84"/>
        <item m="1" x="128"/>
        <item m="1" x="114"/>
        <item x="65"/>
      </items>
    </pivotField>
    <pivotField compact="0" outline="0" showAll="0" sortType="ascending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ascending" defaultSubtotal="0">
      <items count="130">
        <item m="1" x="88"/>
        <item x="33"/>
        <item m="1" x="100"/>
        <item m="1" x="84"/>
        <item m="1" x="125"/>
        <item m="1" x="92"/>
        <item m="1" x="81"/>
        <item m="1" x="124"/>
        <item m="1" x="121"/>
        <item m="1" x="67"/>
        <item m="1" x="68"/>
        <item m="1" x="114"/>
        <item m="1" x="96"/>
        <item m="1" x="103"/>
        <item m="1" x="123"/>
        <item m="1" x="94"/>
        <item x="58"/>
        <item m="1" x="89"/>
        <item m="1" x="90"/>
        <item m="1" x="113"/>
        <item m="1" x="95"/>
        <item m="1" x="101"/>
        <item m="1" x="77"/>
        <item m="1" x="85"/>
        <item m="1" x="73"/>
        <item m="1" x="75"/>
        <item m="1" x="82"/>
        <item x="63"/>
        <item m="1" x="87"/>
        <item m="1" x="106"/>
        <item m="1" x="127"/>
        <item x="52"/>
        <item x="0"/>
        <item x="53"/>
        <item m="1" x="65"/>
        <item m="1" x="104"/>
        <item x="51"/>
        <item m="1" x="110"/>
        <item x="56"/>
        <item m="1" x="115"/>
        <item x="29"/>
        <item m="1" x="76"/>
        <item x="34"/>
        <item x="62"/>
        <item x="39"/>
        <item m="1" x="119"/>
        <item x="35"/>
        <item x="36"/>
        <item x="55"/>
        <item m="1" x="105"/>
        <item x="11"/>
        <item m="1" x="99"/>
        <item x="5"/>
        <item m="1" x="126"/>
        <item x="30"/>
        <item x="20"/>
        <item m="1" x="118"/>
        <item x="28"/>
        <item x="31"/>
        <item x="25"/>
        <item m="1" x="97"/>
        <item x="3"/>
        <item m="1" x="70"/>
        <item x="57"/>
        <item x="54"/>
        <item x="14"/>
        <item m="1" x="79"/>
        <item x="8"/>
        <item x="48"/>
        <item x="42"/>
        <item m="1" x="107"/>
        <item x="13"/>
        <item x="37"/>
        <item x="17"/>
        <item x="21"/>
        <item x="22"/>
        <item m="1" x="86"/>
        <item x="26"/>
        <item m="1" x="122"/>
        <item x="4"/>
        <item x="18"/>
        <item x="46"/>
        <item x="27"/>
        <item x="32"/>
        <item m="1" x="91"/>
        <item x="12"/>
        <item x="47"/>
        <item m="1" x="108"/>
        <item x="19"/>
        <item x="1"/>
        <item m="1" x="66"/>
        <item x="9"/>
        <item x="15"/>
        <item m="1" x="71"/>
        <item m="1" x="117"/>
        <item x="16"/>
        <item x="23"/>
        <item x="24"/>
        <item m="1" x="128"/>
        <item x="49"/>
        <item m="1" x="112"/>
        <item m="1" x="72"/>
        <item x="43"/>
        <item x="6"/>
        <item m="1" x="93"/>
        <item x="10"/>
        <item m="1" x="98"/>
        <item m="1" x="83"/>
        <item x="44"/>
        <item m="1" x="111"/>
        <item m="1" x="120"/>
        <item x="7"/>
        <item x="61"/>
        <item x="40"/>
        <item m="1" x="74"/>
        <item m="1" x="78"/>
        <item x="2"/>
        <item x="41"/>
        <item x="59"/>
        <item x="60"/>
        <item x="45"/>
        <item m="1" x="129"/>
        <item m="1" x="69"/>
        <item m="1" x="102"/>
        <item m="1" x="109"/>
        <item m="1" x="116"/>
        <item m="1" x="80"/>
        <item x="38"/>
        <item x="50"/>
        <item x="64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x="92"/>
        <item x="93"/>
        <item x="94"/>
        <item x="0"/>
        <item x="95"/>
        <item x="96"/>
        <item m="1" x="105"/>
        <item x="97"/>
        <item x="98"/>
        <item x="99"/>
        <item x="100"/>
        <item x="101"/>
        <item x="102"/>
        <item x="103"/>
        <item x="60"/>
        <item m="1" x="114"/>
        <item x="61"/>
        <item m="1" x="131"/>
        <item x="62"/>
        <item x="63"/>
        <item x="64"/>
        <item x="65"/>
        <item x="66"/>
        <item x="67"/>
        <item x="68"/>
        <item x="69"/>
        <item x="56"/>
        <item x="57"/>
        <item m="1" x="127"/>
        <item x="58"/>
        <item x="59"/>
        <item x="70"/>
        <item x="71"/>
        <item m="1" x="108"/>
        <item x="1"/>
        <item x="2"/>
        <item x="3"/>
        <item x="4"/>
        <item x="5"/>
        <item x="6"/>
        <item x="7"/>
        <item x="8"/>
        <item x="9"/>
        <item x="10"/>
        <item m="1" x="125"/>
        <item m="1" x="112"/>
        <item x="11"/>
        <item x="12"/>
        <item x="13"/>
        <item x="14"/>
        <item x="15"/>
        <item x="16"/>
        <item x="17"/>
        <item x="18"/>
        <item x="19"/>
        <item x="20"/>
        <item m="1" x="117"/>
        <item x="22"/>
        <item x="23"/>
        <item x="24"/>
        <item x="25"/>
        <item x="26"/>
        <item x="27"/>
        <item x="28"/>
        <item x="72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73"/>
        <item x="74"/>
        <item m="1" x="115"/>
        <item x="75"/>
        <item x="76"/>
        <item x="77"/>
        <item x="78"/>
        <item x="79"/>
        <item x="80"/>
        <item x="81"/>
        <item x="82"/>
        <item x="83"/>
        <item m="1" x="121"/>
        <item x="84"/>
        <item x="85"/>
        <item x="86"/>
        <item x="42"/>
        <item x="43"/>
        <item x="44"/>
        <item x="45"/>
        <item m="1" x="110"/>
        <item x="46"/>
        <item x="47"/>
        <item m="1" x="122"/>
        <item m="1" x="109"/>
        <item x="48"/>
        <item x="49"/>
        <item x="50"/>
        <item x="51"/>
        <item m="1" x="130"/>
        <item x="52"/>
        <item x="53"/>
        <item x="55"/>
        <item x="87"/>
        <item x="88"/>
        <item x="89"/>
        <item x="90"/>
        <item x="91"/>
        <item x="104"/>
        <item m="1" x="123"/>
        <item x="41"/>
        <item x="54"/>
        <item m="1" x="113"/>
        <item m="1" x="106"/>
        <item x="21"/>
        <item m="1" x="118"/>
        <item m="1" x="124"/>
        <item m="1" x="128"/>
        <item m="1" x="116"/>
        <item m="1" x="126"/>
        <item m="1" x="119"/>
        <item m="1" x="120"/>
        <item m="1" x="111"/>
        <item m="1" x="132"/>
        <item m="1" x="107"/>
        <item m="1" x="12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2">
        <item x="1"/>
        <item x="0"/>
        <item x="34"/>
        <item x="33"/>
        <item x="31"/>
        <item x="32"/>
        <item x="18"/>
        <item x="26"/>
        <item x="29"/>
        <item x="30"/>
        <item x="14"/>
        <item x="21"/>
        <item x="5"/>
        <item x="25"/>
        <item x="24"/>
        <item m="1" x="57"/>
        <item m="1" x="52"/>
        <item x="20"/>
        <item x="10"/>
        <item x="38"/>
        <item x="41"/>
        <item x="15"/>
        <item x="39"/>
        <item x="37"/>
        <item x="28"/>
        <item x="7"/>
        <item x="13"/>
        <item x="16"/>
        <item x="4"/>
        <item m="1" x="59"/>
        <item x="12"/>
        <item x="42"/>
        <item x="17"/>
        <item x="3"/>
        <item x="2"/>
        <item x="19"/>
        <item m="1" x="48"/>
        <item x="35"/>
        <item x="23"/>
        <item x="6"/>
        <item x="11"/>
        <item x="22"/>
        <item x="27"/>
        <item x="36"/>
        <item x="40"/>
        <item m="1" x="53"/>
        <item x="8"/>
        <item x="9"/>
        <item m="1" x="46"/>
        <item m="1" x="49"/>
        <item m="1" x="50"/>
        <item m="1" x="60"/>
        <item m="1" x="54"/>
        <item m="1" x="51"/>
        <item m="1" x="45"/>
        <item m="1" x="47"/>
        <item m="1" x="61"/>
        <item m="1" x="56"/>
        <item m="1" x="58"/>
        <item m="1" x="43"/>
        <item m="1" x="44"/>
        <item m="1" x="5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5"/>
  </rowFields>
  <rowItems count="238">
    <i>
      <x/>
      <x v="115"/>
    </i>
    <i>
      <x v="3"/>
      <x v="11"/>
    </i>
    <i>
      <x v="4"/>
      <x v="3"/>
    </i>
    <i>
      <x v="5"/>
      <x v="3"/>
    </i>
    <i>
      <x v="7"/>
      <x v="2"/>
    </i>
    <i>
      <x v="8"/>
      <x/>
    </i>
    <i>
      <x v="9"/>
      <x v="1"/>
    </i>
    <i>
      <x v="15"/>
      <x v="27"/>
    </i>
    <i>
      <x v="16"/>
      <x v="30"/>
    </i>
    <i r="1">
      <x v="31"/>
    </i>
    <i r="1">
      <x v="111"/>
    </i>
    <i>
      <x v="18"/>
      <x v="26"/>
    </i>
    <i r="1">
      <x v="91"/>
    </i>
    <i>
      <x v="19"/>
      <x v="64"/>
    </i>
    <i>
      <x v="21"/>
      <x v="9"/>
    </i>
    <i r="1">
      <x v="24"/>
    </i>
    <i r="1">
      <x v="66"/>
    </i>
    <i>
      <x v="22"/>
      <x v="7"/>
    </i>
    <i r="1">
      <x v="70"/>
    </i>
    <i r="1">
      <x v="71"/>
    </i>
    <i>
      <x v="23"/>
      <x v="7"/>
    </i>
    <i>
      <x v="24"/>
      <x v="10"/>
    </i>
    <i r="1">
      <x v="14"/>
    </i>
    <i r="1">
      <x v="26"/>
    </i>
    <i r="1">
      <x v="27"/>
    </i>
    <i r="1">
      <x v="32"/>
    </i>
    <i r="1">
      <x v="82"/>
    </i>
    <i r="1">
      <x v="117"/>
    </i>
    <i r="1">
      <x v="118"/>
    </i>
    <i>
      <x v="25"/>
      <x v="70"/>
    </i>
    <i r="1">
      <x v="88"/>
    </i>
    <i r="1">
      <x v="93"/>
    </i>
    <i r="1">
      <x v="112"/>
    </i>
    <i>
      <x v="26"/>
      <x v="70"/>
    </i>
    <i>
      <x v="27"/>
      <x v="23"/>
    </i>
    <i>
      <x v="28"/>
      <x v="4"/>
    </i>
    <i r="1">
      <x v="7"/>
    </i>
    <i r="1">
      <x v="11"/>
    </i>
    <i r="1">
      <x v="18"/>
    </i>
    <i r="1">
      <x v="19"/>
    </i>
    <i r="1">
      <x v="20"/>
    </i>
    <i r="1">
      <x v="24"/>
    </i>
    <i r="1">
      <x v="47"/>
    </i>
    <i r="1">
      <x v="60"/>
    </i>
    <i r="1">
      <x v="62"/>
    </i>
    <i r="1">
      <x v="65"/>
    </i>
    <i r="1">
      <x v="66"/>
    </i>
    <i r="1">
      <x v="72"/>
    </i>
    <i r="1">
      <x v="75"/>
    </i>
    <i r="1">
      <x v="81"/>
    </i>
    <i r="1">
      <x v="98"/>
    </i>
    <i r="1">
      <x v="109"/>
    </i>
    <i>
      <x v="29"/>
      <x v="19"/>
    </i>
    <i r="1">
      <x v="21"/>
    </i>
    <i r="1">
      <x v="22"/>
    </i>
    <i r="1">
      <x v="38"/>
    </i>
    <i r="1">
      <x v="50"/>
    </i>
    <i r="1">
      <x v="61"/>
    </i>
    <i r="1">
      <x v="63"/>
    </i>
    <i r="1">
      <x v="92"/>
    </i>
    <i r="1">
      <x v="99"/>
    </i>
    <i r="1">
      <x v="112"/>
    </i>
    <i r="1">
      <x v="113"/>
    </i>
    <i r="1">
      <x v="114"/>
    </i>
    <i r="1">
      <x v="121"/>
    </i>
    <i>
      <x v="31"/>
      <x v="11"/>
    </i>
    <i r="1">
      <x v="66"/>
    </i>
    <i>
      <x v="32"/>
      <x v="53"/>
    </i>
    <i r="1">
      <x v="82"/>
    </i>
    <i r="1">
      <x v="108"/>
    </i>
    <i>
      <x v="33"/>
      <x v="12"/>
    </i>
    <i r="1">
      <x v="13"/>
    </i>
    <i r="1">
      <x v="22"/>
    </i>
    <i r="1">
      <x v="65"/>
    </i>
    <i r="1">
      <x v="77"/>
    </i>
    <i r="1">
      <x v="83"/>
    </i>
    <i r="1">
      <x v="87"/>
    </i>
    <i>
      <x v="34"/>
      <x v="66"/>
    </i>
    <i>
      <x v="35"/>
      <x v="10"/>
    </i>
    <i r="1">
      <x v="26"/>
    </i>
    <i r="1">
      <x v="27"/>
    </i>
    <i r="1">
      <x v="55"/>
    </i>
    <i r="1">
      <x v="102"/>
    </i>
    <i r="1">
      <x v="103"/>
    </i>
    <i>
      <x v="36"/>
      <x v="14"/>
    </i>
    <i r="1">
      <x v="21"/>
    </i>
    <i r="1">
      <x v="35"/>
    </i>
    <i r="1">
      <x v="37"/>
    </i>
    <i r="1">
      <x v="42"/>
    </i>
    <i r="1">
      <x v="81"/>
    </i>
    <i r="1">
      <x v="83"/>
    </i>
    <i r="1">
      <x v="90"/>
    </i>
    <i r="1">
      <x v="92"/>
    </i>
    <i r="1">
      <x v="105"/>
    </i>
    <i r="1">
      <x v="110"/>
    </i>
    <i r="1">
      <x v="113"/>
    </i>
    <i>
      <x v="38"/>
      <x v="80"/>
    </i>
    <i>
      <x v="39"/>
      <x v="18"/>
    </i>
    <i>
      <x v="40"/>
      <x v="49"/>
    </i>
    <i r="1">
      <x v="53"/>
    </i>
    <i>
      <x v="41"/>
      <x v="40"/>
    </i>
    <i r="1">
      <x v="49"/>
    </i>
    <i r="1">
      <x v="54"/>
    </i>
    <i r="1">
      <x v="88"/>
    </i>
    <i r="1">
      <x v="95"/>
    </i>
    <i r="1">
      <x v="96"/>
    </i>
    <i r="1">
      <x v="103"/>
    </i>
    <i r="1">
      <x v="105"/>
    </i>
    <i r="1">
      <x v="111"/>
    </i>
    <i>
      <x v="42"/>
      <x v="108"/>
    </i>
    <i>
      <x v="43"/>
      <x v="7"/>
    </i>
    <i r="1">
      <x v="94"/>
    </i>
    <i r="1">
      <x v="99"/>
    </i>
    <i>
      <x v="44"/>
      <x v="16"/>
    </i>
    <i r="1">
      <x v="18"/>
    </i>
    <i r="1">
      <x v="21"/>
    </i>
    <i r="1">
      <x v="22"/>
    </i>
    <i r="1">
      <x v="48"/>
    </i>
    <i r="1">
      <x v="51"/>
    </i>
    <i r="1">
      <x v="78"/>
    </i>
    <i r="1">
      <x v="83"/>
    </i>
    <i r="1">
      <x v="91"/>
    </i>
    <i r="1">
      <x v="92"/>
    </i>
    <i r="1">
      <x v="94"/>
    </i>
    <i r="1">
      <x v="105"/>
    </i>
    <i r="1">
      <x v="107"/>
    </i>
    <i r="1">
      <x v="110"/>
    </i>
    <i>
      <x v="45"/>
      <x v="10"/>
    </i>
    <i r="1">
      <x v="25"/>
    </i>
    <i r="1">
      <x v="70"/>
    </i>
    <i r="1">
      <x v="73"/>
    </i>
    <i r="1">
      <x v="74"/>
    </i>
    <i r="1">
      <x v="93"/>
    </i>
    <i>
      <x v="46"/>
      <x v="8"/>
    </i>
    <i r="1">
      <x v="18"/>
    </i>
    <i r="1">
      <x v="50"/>
    </i>
    <i>
      <x v="47"/>
      <x v="21"/>
    </i>
    <i r="1">
      <x v="53"/>
    </i>
    <i r="1">
      <x v="54"/>
    </i>
    <i r="1">
      <x v="57"/>
    </i>
    <i r="1">
      <x v="58"/>
    </i>
    <i r="1">
      <x v="65"/>
    </i>
    <i r="1">
      <x v="99"/>
    </i>
    <i>
      <x v="48"/>
      <x v="53"/>
    </i>
    <i>
      <x v="50"/>
      <x v="60"/>
    </i>
    <i>
      <x v="51"/>
      <x v="14"/>
    </i>
    <i r="1">
      <x v="22"/>
    </i>
    <i r="1">
      <x v="36"/>
    </i>
    <i r="1">
      <x v="46"/>
    </i>
    <i r="1">
      <x v="65"/>
    </i>
    <i r="1">
      <x v="78"/>
    </i>
    <i>
      <x v="52"/>
      <x v="50"/>
    </i>
    <i>
      <x v="53"/>
      <x v="104"/>
    </i>
    <i>
      <x v="54"/>
      <x v="61"/>
    </i>
    <i>
      <x v="55"/>
      <x v="66"/>
    </i>
    <i>
      <x v="56"/>
      <x v="18"/>
    </i>
    <i r="1">
      <x v="22"/>
    </i>
    <i r="1">
      <x v="47"/>
    </i>
    <i r="1">
      <x v="49"/>
    </i>
    <i r="1">
      <x v="50"/>
    </i>
    <i r="1">
      <x v="53"/>
    </i>
    <i r="1">
      <x v="55"/>
    </i>
    <i r="1">
      <x v="102"/>
    </i>
    <i r="1">
      <x v="103"/>
    </i>
    <i r="1">
      <x v="109"/>
    </i>
    <i>
      <x v="57"/>
      <x v="105"/>
    </i>
    <i>
      <x v="59"/>
      <x v="52"/>
    </i>
    <i r="1">
      <x v="58"/>
    </i>
    <i r="1">
      <x v="93"/>
    </i>
    <i r="1">
      <x v="94"/>
    </i>
    <i r="1">
      <x v="96"/>
    </i>
    <i>
      <x v="60"/>
      <x v="5"/>
    </i>
    <i r="1">
      <x v="11"/>
    </i>
    <i r="1">
      <x v="22"/>
    </i>
    <i r="1">
      <x v="40"/>
    </i>
    <i r="1">
      <x v="41"/>
    </i>
    <i r="1">
      <x v="53"/>
    </i>
    <i r="1">
      <x v="54"/>
    </i>
    <i r="1">
      <x v="65"/>
    </i>
    <i r="1">
      <x v="70"/>
    </i>
    <i>
      <x v="61"/>
      <x v="49"/>
    </i>
    <i>
      <x v="63"/>
      <x v="49"/>
    </i>
    <i r="1">
      <x v="54"/>
    </i>
    <i r="1">
      <x v="62"/>
    </i>
    <i>
      <x v="64"/>
      <x v="5"/>
    </i>
    <i r="1">
      <x v="11"/>
    </i>
    <i r="1">
      <x v="18"/>
    </i>
    <i r="1">
      <x v="19"/>
    </i>
    <i r="1">
      <x v="29"/>
    </i>
    <i r="1">
      <x v="53"/>
    </i>
    <i r="1">
      <x v="60"/>
    </i>
    <i r="1">
      <x v="65"/>
    </i>
    <i r="1">
      <x v="66"/>
    </i>
    <i r="1">
      <x v="67"/>
    </i>
    <i r="1">
      <x v="70"/>
    </i>
    <i r="1">
      <x v="98"/>
    </i>
    <i>
      <x v="65"/>
      <x v="14"/>
    </i>
    <i r="1">
      <x v="53"/>
    </i>
    <i>
      <x v="66"/>
      <x v="108"/>
    </i>
    <i>
      <x v="68"/>
      <x v="94"/>
    </i>
    <i>
      <x v="69"/>
      <x v="29"/>
    </i>
    <i r="1">
      <x v="38"/>
    </i>
    <i>
      <x v="70"/>
      <x v="43"/>
    </i>
    <i r="1">
      <x v="84"/>
    </i>
    <i r="1">
      <x v="85"/>
    </i>
    <i r="1">
      <x v="86"/>
    </i>
    <i>
      <x v="73"/>
      <x v="94"/>
    </i>
    <i>
      <x v="75"/>
      <x v="8"/>
    </i>
    <i r="1">
      <x v="9"/>
    </i>
    <i r="1">
      <x v="26"/>
    </i>
    <i r="1">
      <x v="27"/>
    </i>
    <i r="1">
      <x v="39"/>
    </i>
    <i r="1">
      <x v="40"/>
    </i>
    <i r="1">
      <x v="50"/>
    </i>
    <i r="1">
      <x v="52"/>
    </i>
    <i r="1">
      <x v="53"/>
    </i>
    <i r="1">
      <x v="58"/>
    </i>
    <i r="1">
      <x v="62"/>
    </i>
    <i r="1">
      <x v="63"/>
    </i>
    <i r="1">
      <x v="68"/>
    </i>
    <i r="1">
      <x v="70"/>
    </i>
    <i r="1">
      <x v="76"/>
    </i>
    <i r="1">
      <x v="93"/>
    </i>
    <i r="1">
      <x v="94"/>
    </i>
    <i r="1">
      <x v="102"/>
    </i>
    <i r="1">
      <x v="103"/>
    </i>
    <i r="1">
      <x v="107"/>
    </i>
    <i r="1">
      <x v="108"/>
    </i>
    <i>
      <x v="76"/>
      <x v="93"/>
    </i>
    <i>
      <x v="78"/>
      <x v="34"/>
    </i>
    <i r="1">
      <x v="59"/>
    </i>
    <i>
      <x v="79"/>
      <x v="93"/>
    </i>
    <i>
      <x v="80"/>
      <x v="98"/>
    </i>
    <i>
      <x v="84"/>
      <x v="70"/>
    </i>
    <i>
      <x v="85"/>
      <x v="108"/>
    </i>
    <i>
      <x v="86"/>
      <x v="69"/>
    </i>
    <i>
      <x v="99"/>
      <x v="114"/>
    </i>
    <i>
      <x v="130"/>
      <x v="115"/>
    </i>
  </rowItems>
  <colItems count="1">
    <i/>
  </colItems>
  <pageFields count="1">
    <pageField fld="23" hier="-1"/>
  </pageFields>
  <dataFields count="1">
    <dataField name="Sum of Qty_Due" fld="7" baseField="14" baseItem="21"/>
  </dataFields>
  <formats count="17">
    <format dxfId="30">
      <pivotArea field="12" type="button" dataOnly="0" labelOnly="1" outline="0"/>
    </format>
    <format dxfId="29">
      <pivotArea type="origin" dataOnly="0" labelOnly="1" outline="0" fieldPosition="0"/>
    </format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0" count="1">
            <x v="0"/>
          </reference>
        </references>
      </pivotArea>
    </format>
    <format dxfId="26">
      <pivotArea dataOnly="0" labelOnly="1" outline="0" fieldPosition="0">
        <references count="1">
          <reference field="0" count="1">
            <x v="130"/>
          </reference>
        </references>
      </pivotArea>
    </format>
    <format dxfId="25">
      <pivotArea dataOnly="0" labelOnly="1" outline="0" fieldPosition="0">
        <references count="1">
          <reference field="0" count="50">
            <x v="0"/>
            <x v="4"/>
            <x v="5"/>
            <x v="7"/>
            <x v="8"/>
            <x v="9"/>
            <x v="12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5"/>
            <x v="36"/>
            <x v="39"/>
            <x v="41"/>
            <x v="43"/>
            <x v="44"/>
            <x v="45"/>
            <x v="47"/>
            <x v="50"/>
            <x v="51"/>
            <x v="52"/>
            <x v="53"/>
            <x v="54"/>
            <x v="56"/>
            <x v="59"/>
            <x v="60"/>
            <x v="61"/>
            <x v="63"/>
            <x v="64"/>
            <x v="65"/>
            <x v="67"/>
            <x v="69"/>
            <x v="70"/>
            <x v="72"/>
            <x v="75"/>
          </reference>
        </references>
      </pivotArea>
    </format>
    <format dxfId="24">
      <pivotArea dataOnly="0" labelOnly="1" outline="0" fieldPosition="0">
        <references count="1">
          <reference field="0" count="50"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23">
      <pivotArea dataOnly="0" labelOnly="1" outline="0" fieldPosition="0">
        <references count="1">
          <reference field="0" count="50">
            <x v="0"/>
            <x v="13"/>
            <x v="14"/>
            <x v="15"/>
            <x v="16"/>
            <x v="18"/>
            <x v="19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9"/>
            <x v="40"/>
            <x v="41"/>
            <x v="42"/>
            <x v="43"/>
            <x v="44"/>
            <x v="45"/>
            <x v="46"/>
            <x v="47"/>
            <x v="48"/>
            <x v="50"/>
            <x v="51"/>
            <x v="52"/>
            <x v="53"/>
            <x v="54"/>
            <x v="55"/>
            <x v="56"/>
            <x v="59"/>
            <x v="60"/>
            <x v="61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2">
      <pivotArea dataOnly="0" labelOnly="1" outline="0" fieldPosition="0">
        <references count="1">
          <reference field="0" count="6">
            <x v="124"/>
            <x v="125"/>
            <x v="126"/>
            <x v="128"/>
            <x v="129"/>
            <x v="130"/>
          </reference>
        </references>
      </pivotArea>
    </format>
    <format dxfId="21">
      <pivotArea dataOnly="0" labelOnly="1" outline="0" fieldPosition="0">
        <references count="1">
          <reference field="0" count="50">
            <x v="6"/>
            <x v="11"/>
            <x v="13"/>
            <x v="15"/>
            <x v="16"/>
            <x v="18"/>
            <x v="19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9"/>
            <x v="40"/>
            <x v="41"/>
            <x v="42"/>
            <x v="43"/>
            <x v="44"/>
            <x v="45"/>
            <x v="46"/>
            <x v="47"/>
            <x v="48"/>
            <x v="50"/>
            <x v="51"/>
            <x v="52"/>
            <x v="53"/>
            <x v="54"/>
            <x v="55"/>
            <x v="56"/>
            <x v="59"/>
            <x v="60"/>
            <x v="61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20">
      <pivotArea dataOnly="0" labelOnly="1" outline="0" fieldPosition="0">
        <references count="1">
          <reference field="0" count="50">
            <x v="72"/>
            <x v="73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</reference>
        </references>
      </pivotArea>
    </format>
    <format dxfId="19">
      <pivotArea dataOnly="0" labelOnly="1" outline="0" fieldPosition="0">
        <references count="1">
          <reference field="0" count="5">
            <x v="124"/>
            <x v="125"/>
            <x v="126"/>
            <x v="128"/>
            <x v="129"/>
          </reference>
        </references>
      </pivotArea>
    </format>
    <format dxfId="18">
      <pivotArea field="23" type="button" dataOnly="0" labelOnly="1" outline="0" axis="axisPage" fieldPosition="0"/>
    </format>
    <format dxfId="17">
      <pivotArea type="origin" dataOnly="0" labelOnly="1" outline="0" fieldPosition="0"/>
    </format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0" count="50">
            <x v="0"/>
            <x v="3"/>
            <x v="15"/>
            <x v="16"/>
            <x v="18"/>
            <x v="19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50"/>
            <x v="51"/>
            <x v="53"/>
            <x v="54"/>
            <x v="55"/>
            <x v="56"/>
            <x v="57"/>
            <x v="59"/>
            <x v="60"/>
            <x v="61"/>
            <x v="63"/>
            <x v="64"/>
            <x v="65"/>
            <x v="66"/>
            <x v="68"/>
            <x v="69"/>
            <x v="70"/>
            <x v="73"/>
          </reference>
        </references>
      </pivotArea>
    </format>
    <format dxfId="14">
      <pivotArea dataOnly="0" labelOnly="1" outline="0" fieldPosition="0">
        <references count="1">
          <reference field="0" count="9">
            <x v="75"/>
            <x v="76"/>
            <x v="78"/>
            <x v="79"/>
            <x v="80"/>
            <x v="84"/>
            <x v="85"/>
            <x v="99"/>
            <x v="130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AD327" tableType="xml" totalsRowShown="0" connectionId="1">
  <autoFilter ref="B1:AD327" xr:uid="{00000000-0009-0000-0100-000001000000}"/>
  <sortState ref="B2:AD372">
    <sortCondition ref="B1:B372"/>
  </sortState>
  <tableColumns count="29">
    <tableColumn id="1" xr3:uid="{00000000-0010-0000-0000-000001000000}" uniqueName="Order_Number" name="Order_Number">
      <xmlColumnPr mapId="1" xpath="/Order_Navigator/row/Order_Number" xmlDataType="integer"/>
    </tableColumn>
    <tableColumn id="2" xr3:uid="{00000000-0010-0000-0000-000002000000}" uniqueName="Type" name="Type">
      <xmlColumnPr mapId="1" xpath="/Order_Navigator/row/Type" xmlDataType="string"/>
    </tableColumn>
    <tableColumn id="3" xr3:uid="{00000000-0010-0000-0000-000003000000}" uniqueName="App" name="App">
      <xmlColumnPr mapId="1" xpath="/Order_Navigator/row/App" xmlDataType="integer"/>
    </tableColumn>
    <tableColumn id="4" xr3:uid="{00000000-0010-0000-0000-000004000000}" uniqueName="Rel" name="Rel">
      <xmlColumnPr mapId="1" xpath="/Order_Navigator/row/Rel" xmlDataType="integer"/>
    </tableColumn>
    <tableColumn id="5" xr3:uid="{00000000-0010-0000-0000-000005000000}" uniqueName="Firm" name="Firm">
      <xmlColumnPr mapId="1" xpath="/Order_Navigator/row/Firm" xmlDataType="integer"/>
    </tableColumn>
    <tableColumn id="6" xr3:uid="{00000000-0010-0000-0000-000006000000}" uniqueName="Ord_Qty" name="Ord_Qty">
      <xmlColumnPr mapId="1" xpath="/Order_Navigator/row/Ord_Qty" xmlDataType="double"/>
    </tableColumn>
    <tableColumn id="7" xr3:uid="{00000000-0010-0000-0000-000007000000}" uniqueName="Qty_Due" name="Qty_Due">
      <xmlColumnPr mapId="1" xpath="/Order_Navigator/row/Qty_Due" xmlDataType="double"/>
    </tableColumn>
    <tableColumn id="8" xr3:uid="{00000000-0010-0000-0000-000008000000}" uniqueName="BOM_Alt_Code" name="BOM_Alt_Code">
      <xmlColumnPr mapId="1" xpath="/Order_Navigator/row/BOM_Alt_Code" xmlDataType="string"/>
    </tableColumn>
    <tableColumn id="9" xr3:uid="{00000000-0010-0000-0000-000009000000}" uniqueName="Routing_Alt_Code" name="Routing_Alt_Code">
      <xmlColumnPr mapId="1" xpath="/Order_Navigator/row/Routing_Alt_Code" xmlDataType="string"/>
    </tableColumn>
    <tableColumn id="10" xr3:uid="{00000000-0010-0000-0000-00000A000000}" uniqueName="Lot_Number" name="Lot_Number">
      <xmlColumnPr mapId="1" xpath="/Order_Navigator/row/Lot_Number" xmlDataType="string"/>
    </tableColumn>
    <tableColumn id="11" xr3:uid="{00000000-0010-0000-0000-00000B000000}" uniqueName="Serial_Number" name="Serial_Number">
      <xmlColumnPr mapId="1" xpath="/Order_Navigator/row/Serial_Number" xmlDataType="string"/>
    </tableColumn>
    <tableColumn id="12" xr3:uid="{00000000-0010-0000-0000-00000C000000}" uniqueName="Cur_Due" name="Cur_Due" dataDxfId="13">
      <xmlColumnPr mapId="1" xpath="/Order_Navigator/row/Cur_Due" xmlDataType="string"/>
    </tableColumn>
    <tableColumn id="13" xr3:uid="{00000000-0010-0000-0000-00000D000000}" uniqueName="Org_Due" name="Org_Due">
      <xmlColumnPr mapId="1" xpath="/Order_Navigator/row/Org_Due" xmlDataType="string"/>
    </tableColumn>
    <tableColumn id="14" xr3:uid="{00000000-0010-0000-0000-00000E000000}" uniqueName="Start_Date" name="Start_Date">
      <xmlColumnPr mapId="1" xpath="/Order_Navigator/row/Start_Date" xmlDataType="string"/>
    </tableColumn>
    <tableColumn id="15" xr3:uid="{00000000-0010-0000-0000-00000F000000}" uniqueName="Part_ID" name="Part_ID">
      <xmlColumnPr mapId="1" xpath="/Order_Navigator/row/Part_ID" xmlDataType="string"/>
    </tableColumn>
    <tableColumn id="16" xr3:uid="{00000000-0010-0000-0000-000010000000}" uniqueName="Description" name="Description">
      <xmlColumnPr mapId="1" xpath="/Order_Navigator/row/Description" xmlDataType="string"/>
    </tableColumn>
    <tableColumn id="17" xr3:uid="{00000000-0010-0000-0000-000011000000}" uniqueName="Priority" name="Priority">
      <xmlColumnPr mapId="1" xpath="/Order_Navigator/row/Priority" xmlDataType="string"/>
    </tableColumn>
    <tableColumn id="18" xr3:uid="{00000000-0010-0000-0000-000012000000}" uniqueName="Planner" name="Planner">
      <xmlColumnPr mapId="1" xpath="/Order_Navigator/row/Planner" xmlDataType="string"/>
    </tableColumn>
    <tableColumn id="19" xr3:uid="{00000000-0010-0000-0000-000013000000}" uniqueName="Vendor" name="Vendor">
      <xmlColumnPr mapId="1" xpath="/Order_Navigator/row/Vendor" xmlDataType="string"/>
    </tableColumn>
    <tableColumn id="20" xr3:uid="{00000000-0010-0000-0000-000014000000}" uniqueName="Stock" name="Stock">
      <xmlColumnPr mapId="1" xpath="/Order_Navigator/row/Stock" xmlDataType="string"/>
    </tableColumn>
    <tableColumn id="21" xr3:uid="{00000000-0010-0000-0000-000015000000}" uniqueName="Sched" name="Sched">
      <xmlColumnPr mapId="1" xpath="/Order_Navigator/row/Sched" xmlDataType="string"/>
    </tableColumn>
    <tableColumn id="22" xr3:uid="{00000000-0010-0000-0000-000016000000}" uniqueName="Rev" name="Rev">
      <xmlColumnPr mapId="1" xpath="/Order_Navigator/row/Rev" xmlDataType="string"/>
    </tableColumn>
    <tableColumn id="23" xr3:uid="{00000000-0010-0000-0000-000017000000}" uniqueName="Reference" name="Reference">
      <xmlColumnPr mapId="1" xpath="/Order_Navigator/row/Reference" xmlDataType="string"/>
    </tableColumn>
    <tableColumn id="24" xr3:uid="{00000000-0010-0000-0000-000018000000}" uniqueName="UDF_Key" name="UDF_Key">
      <xmlColumnPr mapId="1" xpath="/Order_Navigator/row/UDF_Key" xmlDataType="string"/>
    </tableColumn>
    <tableColumn id="25" xr3:uid="{00000000-0010-0000-0000-000019000000}" uniqueName="UDF_Ref" name="UDF_Ref">
      <xmlColumnPr mapId="1" xpath="/Order_Navigator/row/UDF_Ref" xmlDataType="string"/>
    </tableColumn>
    <tableColumn id="26" xr3:uid="{00000000-0010-0000-0000-00001A000000}" uniqueName="MPN" name="MPN">
      <xmlColumnPr mapId="1" xpath="/Order_Navigator/row/MPN" xmlDataType="string"/>
    </tableColumn>
    <tableColumn id="27" xr3:uid="{00000000-0010-0000-0000-00001B000000}" uniqueName="Manufacturer" name="Manufacturer">
      <xmlColumnPr mapId="1" xpath="/Order_Navigator/row/Manufacturer" xmlDataType="string"/>
    </tableColumn>
    <tableColumn id="28" xr3:uid="{00000000-0010-0000-0000-00001C000000}" uniqueName="SortColRealValue" name="SortColRealValue">
      <xmlColumnPr mapId="1" xpath="/Order_Navigator/row/SortColRealValue" xmlDataType="string"/>
    </tableColumn>
    <tableColumn id="29" xr3:uid="{00000000-0010-0000-0000-00001D000000}" uniqueName="OrgRowNumForSort" name="OrgRowNumForSort">
      <xmlColumnPr mapId="1" xpath="/Order_Navigator/row/OrgRowNumForSor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7:K154" totalsRowShown="0" headerRowDxfId="12" tableBorderDxfId="11">
  <sortState ref="B8:K156">
    <sortCondition ref="C7"/>
  </sortState>
  <tableColumns count="10">
    <tableColumn id="1" xr3:uid="{00000000-0010-0000-0100-000001000000}" name="Part ID" dataDxfId="10"/>
    <tableColumn id="2" xr3:uid="{00000000-0010-0000-0100-000002000000}" name="Workstation" dataDxfId="9"/>
    <tableColumn id="4" xr3:uid="{00000000-0010-0000-0100-000004000000}" name="2nd Workstation" dataDxfId="8" dataCellStyle="Normal 3"/>
    <tableColumn id="3" xr3:uid="{00000000-0010-0000-0100-000003000000}" name="3rd Workstation" dataDxfId="7" dataCellStyle="Normal 3"/>
    <tableColumn id="10" xr3:uid="{00000000-0010-0000-0100-00000A000000}" name="Rate" dataDxfId="6" dataCellStyle="Normal 3"/>
    <tableColumn id="9" xr3:uid="{00000000-0010-0000-0100-000009000000}" name="Wind tunnel" dataDxfId="5"/>
    <tableColumn id="8" xr3:uid="{00000000-0010-0000-0100-000008000000}" name="Testing" dataDxfId="4"/>
    <tableColumn id="5" xr3:uid="{00000000-0010-0000-0100-000005000000}" name="Plating" dataDxfId="3"/>
    <tableColumn id="6" xr3:uid="{00000000-0010-0000-0100-000006000000}" name="Inspection" dataDxfId="2"/>
    <tableColumn id="7" xr3:uid="{00000000-0010-0000-0100-000007000000}" name="Additional LT" dataDxfId="1">
      <calculatedColumnFormula>ROUNDUP(G8+H8+I8+J8,0)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  <pageSetUpPr autoPageBreaks="0" fitToPage="1"/>
  </sheetPr>
  <dimension ref="A1:MZ5497"/>
  <sheetViews>
    <sheetView tabSelected="1" zoomScale="80" zoomScaleNormal="80" workbookViewId="0">
      <selection activeCell="O18" sqref="O18"/>
    </sheetView>
  </sheetViews>
  <sheetFormatPr defaultRowHeight="15" x14ac:dyDescent="0.25"/>
  <cols>
    <col min="1" max="1" width="20.140625" style="19" bestFit="1" customWidth="1"/>
    <col min="2" max="2" width="14.7109375" style="19" customWidth="1"/>
    <col min="3" max="3" width="14.7109375" style="20" customWidth="1"/>
    <col min="4" max="5" width="14.7109375" style="19" customWidth="1"/>
    <col min="6" max="7" width="14.7109375" style="25" customWidth="1"/>
    <col min="8" max="8" width="6" style="24" customWidth="1"/>
    <col min="9" max="9" width="5.5703125" style="2" customWidth="1"/>
    <col min="10" max="10" width="6.42578125" customWidth="1"/>
    <col min="11" max="11" width="4.85546875" customWidth="1"/>
    <col min="12" max="12" width="4.85546875" bestFit="1" customWidth="1"/>
    <col min="13" max="13" width="4.5703125" bestFit="1" customWidth="1"/>
    <col min="14" max="14" width="5.5703125" bestFit="1" customWidth="1"/>
    <col min="15" max="15" width="4.5703125" bestFit="1" customWidth="1"/>
    <col min="16" max="16" width="4.5703125" customWidth="1"/>
    <col min="17" max="17" width="7.85546875" customWidth="1"/>
    <col min="18" max="18" width="4.5703125" customWidth="1"/>
    <col min="19" max="52" width="4.5703125" style="26" bestFit="1" customWidth="1"/>
    <col min="53" max="53" width="9.140625" style="26" bestFit="1" customWidth="1"/>
    <col min="54" max="238" width="4.5703125" style="26" bestFit="1" customWidth="1"/>
    <col min="239" max="239" width="9.140625" style="26" bestFit="1" customWidth="1"/>
    <col min="240" max="240" width="4.5703125" style="26" bestFit="1" customWidth="1"/>
    <col min="241" max="16384" width="9.140625" style="26"/>
  </cols>
  <sheetData>
    <row r="1" spans="1:241" ht="15.75" thickBot="1" x14ac:dyDescent="0.3">
      <c r="A1" s="16"/>
    </row>
    <row r="2" spans="1:241" ht="15.75" thickBot="1" x14ac:dyDescent="0.3">
      <c r="C2" s="21"/>
      <c r="I2" s="15" t="s">
        <v>432</v>
      </c>
      <c r="J2" s="142">
        <v>42604</v>
      </c>
      <c r="K2" s="143"/>
      <c r="L2" s="146">
        <v>45</v>
      </c>
      <c r="M2" s="147"/>
      <c r="O2" s="154" t="s">
        <v>442</v>
      </c>
      <c r="P2" s="155"/>
      <c r="Q2" s="150">
        <v>43410.411828703705</v>
      </c>
      <c r="R2" s="151"/>
    </row>
    <row r="3" spans="1:241" ht="15.75" thickBot="1" x14ac:dyDescent="0.3">
      <c r="A3" s="16"/>
      <c r="B3" s="22"/>
      <c r="C3" s="17"/>
      <c r="I3" s="15" t="s">
        <v>433</v>
      </c>
      <c r="J3" s="144">
        <v>42674</v>
      </c>
      <c r="K3" s="145"/>
      <c r="L3" s="148"/>
      <c r="M3" s="149"/>
      <c r="O3" s="156"/>
      <c r="P3" s="156"/>
      <c r="Q3" s="152">
        <v>0.41182870370370367</v>
      </c>
      <c r="R3" s="153"/>
    </row>
    <row r="4" spans="1:241" s="49" customFormat="1" x14ac:dyDescent="0.25">
      <c r="A4" s="158" t="s">
        <v>437</v>
      </c>
      <c r="B4" s="158"/>
      <c r="C4" s="158"/>
      <c r="D4" s="47"/>
      <c r="E4" s="47"/>
      <c r="F4" s="48"/>
      <c r="G4" s="48"/>
      <c r="H4" s="47"/>
      <c r="I4" s="159" t="s">
        <v>516</v>
      </c>
      <c r="J4" s="137"/>
      <c r="K4" s="137"/>
      <c r="L4" s="137"/>
      <c r="M4" s="137"/>
      <c r="N4" s="137"/>
      <c r="O4" s="137"/>
      <c r="P4" s="137" t="s">
        <v>485</v>
      </c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 t="s">
        <v>494</v>
      </c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8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</row>
    <row r="5" spans="1:241" s="54" customFormat="1" ht="64.5" customHeight="1" thickBot="1" x14ac:dyDescent="0.3">
      <c r="A5" s="20"/>
      <c r="B5" s="20"/>
      <c r="C5" s="20"/>
      <c r="D5" s="20"/>
      <c r="E5" s="23"/>
      <c r="F5" s="23"/>
      <c r="G5" s="23"/>
      <c r="H5" s="23"/>
      <c r="I5" s="53">
        <v>42604</v>
      </c>
      <c r="J5" s="52">
        <v>42605</v>
      </c>
      <c r="K5" s="52">
        <v>42606</v>
      </c>
      <c r="L5" s="52">
        <v>42607</v>
      </c>
      <c r="M5" s="52">
        <v>42611</v>
      </c>
      <c r="N5" s="52">
        <v>42612</v>
      </c>
      <c r="O5" s="52">
        <v>42613</v>
      </c>
      <c r="P5" s="52">
        <v>42614</v>
      </c>
      <c r="Q5" s="52">
        <v>42615</v>
      </c>
      <c r="R5" s="52">
        <v>42619</v>
      </c>
      <c r="S5" s="52">
        <v>42620</v>
      </c>
      <c r="T5" s="52">
        <v>42621</v>
      </c>
      <c r="U5" s="52">
        <v>42625</v>
      </c>
      <c r="V5" s="52">
        <v>42626</v>
      </c>
      <c r="W5" s="52">
        <v>42627</v>
      </c>
      <c r="X5" s="52">
        <v>42628</v>
      </c>
      <c r="Y5" s="52">
        <v>42629</v>
      </c>
      <c r="Z5" s="52">
        <v>42632</v>
      </c>
      <c r="AA5" s="52">
        <v>42633</v>
      </c>
      <c r="AB5" s="52">
        <v>42634</v>
      </c>
      <c r="AC5" s="52">
        <v>42635</v>
      </c>
      <c r="AD5" s="52">
        <v>42639</v>
      </c>
      <c r="AE5" s="52">
        <v>42640</v>
      </c>
      <c r="AF5" s="52">
        <v>42641</v>
      </c>
      <c r="AG5" s="52">
        <v>42642</v>
      </c>
      <c r="AH5" s="52">
        <v>42643</v>
      </c>
      <c r="AI5" s="52">
        <v>42646</v>
      </c>
      <c r="AJ5" s="52">
        <v>42647</v>
      </c>
      <c r="AK5" s="52">
        <v>42648</v>
      </c>
      <c r="AL5" s="52">
        <v>42649</v>
      </c>
      <c r="AM5" s="52">
        <v>42653</v>
      </c>
      <c r="AN5" s="52">
        <v>42654</v>
      </c>
      <c r="AO5" s="52">
        <v>42655</v>
      </c>
      <c r="AP5" s="52">
        <v>42656</v>
      </c>
      <c r="AQ5" s="52">
        <v>42657</v>
      </c>
      <c r="AR5" s="52">
        <v>42660</v>
      </c>
      <c r="AS5" s="52">
        <v>42661</v>
      </c>
      <c r="AT5" s="52">
        <v>42662</v>
      </c>
      <c r="AU5" s="52">
        <v>42663</v>
      </c>
      <c r="AV5" s="52">
        <v>42667</v>
      </c>
      <c r="AW5" s="52">
        <v>42668</v>
      </c>
      <c r="AX5" s="52">
        <v>42669</v>
      </c>
      <c r="AY5" s="52">
        <v>42670</v>
      </c>
      <c r="AZ5" s="52">
        <v>42671</v>
      </c>
      <c r="BA5" s="55">
        <v>42674</v>
      </c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45"/>
      <c r="FC5" s="45"/>
      <c r="FD5" s="45"/>
      <c r="FE5" s="45"/>
      <c r="FF5" s="45"/>
      <c r="FG5" s="45"/>
      <c r="FH5" s="45"/>
      <c r="FI5" s="45"/>
      <c r="FJ5" s="45"/>
      <c r="FK5" s="45"/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45"/>
      <c r="GW5" s="45"/>
      <c r="GX5" s="45"/>
      <c r="GY5" s="45"/>
      <c r="GZ5" s="45"/>
      <c r="HA5" s="45"/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45"/>
      <c r="HX5" s="45"/>
      <c r="HY5" s="45"/>
      <c r="HZ5" s="45"/>
      <c r="IA5" s="45"/>
      <c r="IB5" s="45"/>
      <c r="IC5" s="45"/>
      <c r="ID5" s="45"/>
      <c r="IE5" s="45"/>
      <c r="IF5" s="45"/>
      <c r="IG5" s="45"/>
    </row>
    <row r="6" spans="1:241" s="51" customFormat="1" ht="18.75" customHeight="1" thickBot="1" x14ac:dyDescent="0.3">
      <c r="A6" s="65" t="s">
        <v>115</v>
      </c>
      <c r="B6" s="66" t="s">
        <v>505</v>
      </c>
      <c r="C6" s="67" t="s">
        <v>114</v>
      </c>
      <c r="D6" s="68" t="s">
        <v>496</v>
      </c>
      <c r="E6" s="68" t="s">
        <v>499</v>
      </c>
      <c r="F6" s="69" t="s">
        <v>497</v>
      </c>
      <c r="G6" s="64" t="s">
        <v>498</v>
      </c>
      <c r="H6" s="70" t="s">
        <v>441</v>
      </c>
      <c r="I6" s="160" t="s">
        <v>480</v>
      </c>
      <c r="J6" s="140"/>
      <c r="K6" s="140"/>
      <c r="L6" s="141"/>
      <c r="M6" s="139" t="s">
        <v>481</v>
      </c>
      <c r="N6" s="140"/>
      <c r="O6" s="140"/>
      <c r="P6" s="140"/>
      <c r="Q6" s="141"/>
      <c r="R6" s="139" t="s">
        <v>482</v>
      </c>
      <c r="S6" s="140"/>
      <c r="T6" s="141"/>
      <c r="U6" s="139" t="s">
        <v>483</v>
      </c>
      <c r="V6" s="140"/>
      <c r="W6" s="140"/>
      <c r="X6" s="140"/>
      <c r="Y6" s="141"/>
      <c r="Z6" s="139" t="s">
        <v>484</v>
      </c>
      <c r="AA6" s="140"/>
      <c r="AB6" s="140"/>
      <c r="AC6" s="141"/>
      <c r="AD6" s="139" t="s">
        <v>486</v>
      </c>
      <c r="AE6" s="140"/>
      <c r="AF6" s="140"/>
      <c r="AG6" s="140"/>
      <c r="AH6" s="141"/>
      <c r="AI6" s="139" t="s">
        <v>487</v>
      </c>
      <c r="AJ6" s="140"/>
      <c r="AK6" s="140"/>
      <c r="AL6" s="141"/>
      <c r="AM6" s="139" t="s">
        <v>488</v>
      </c>
      <c r="AN6" s="140"/>
      <c r="AO6" s="140"/>
      <c r="AP6" s="140"/>
      <c r="AQ6" s="141"/>
      <c r="AR6" s="139" t="s">
        <v>489</v>
      </c>
      <c r="AS6" s="140"/>
      <c r="AT6" s="140"/>
      <c r="AU6" s="141"/>
      <c r="AV6" s="139" t="s">
        <v>490</v>
      </c>
      <c r="AW6" s="140"/>
      <c r="AX6" s="140"/>
      <c r="AY6" s="140"/>
      <c r="AZ6" s="141"/>
      <c r="BA6" s="85" t="s">
        <v>491</v>
      </c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1"/>
      <c r="BR6" s="61"/>
      <c r="BS6" s="61"/>
      <c r="BT6" s="61"/>
    </row>
    <row r="7" spans="1:241" x14ac:dyDescent="0.25">
      <c r="A7" s="157" t="s">
        <v>0</v>
      </c>
      <c r="B7" s="136" t="str">
        <f>VLOOKUP(A7,Rules!$B$8:$C$154,2,0)</f>
        <v>Deb</v>
      </c>
      <c r="C7" s="126">
        <f>SUM(I8:XX8)</f>
        <v>0</v>
      </c>
      <c r="D7" s="128"/>
      <c r="E7" s="116" t="s">
        <v>492</v>
      </c>
      <c r="F7" s="130">
        <f>VLOOKUP(A7,Table2[],10,0)</f>
        <v>6</v>
      </c>
      <c r="G7" s="131"/>
      <c r="H7" s="56" t="s">
        <v>440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</row>
    <row r="8" spans="1:241" x14ac:dyDescent="0.25">
      <c r="A8" s="157"/>
      <c r="B8" s="122"/>
      <c r="C8" s="126"/>
      <c r="D8" s="128"/>
      <c r="E8" s="117"/>
      <c r="F8" s="131"/>
      <c r="G8" s="131"/>
      <c r="H8" s="57" t="s">
        <v>439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</row>
    <row r="9" spans="1:241" x14ac:dyDescent="0.25">
      <c r="A9" s="157"/>
      <c r="B9" s="122"/>
      <c r="C9" s="126"/>
      <c r="D9" s="128"/>
      <c r="E9" s="117" t="s">
        <v>493</v>
      </c>
      <c r="F9" s="131"/>
      <c r="G9" s="131"/>
      <c r="H9" s="58" t="s">
        <v>438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</row>
    <row r="10" spans="1:241" x14ac:dyDescent="0.25">
      <c r="A10" s="157"/>
      <c r="B10" s="122"/>
      <c r="C10" s="126"/>
      <c r="D10" s="128"/>
      <c r="E10" s="117"/>
      <c r="F10" s="131"/>
      <c r="G10" s="131"/>
      <c r="H10" s="59" t="s">
        <v>149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</row>
    <row r="11" spans="1:241" x14ac:dyDescent="0.25">
      <c r="A11" s="161" t="s">
        <v>1</v>
      </c>
      <c r="B11" s="124" t="str">
        <f>VLOOKUP(A11,Rules!$B$8:$C$154,2,0)</f>
        <v>Deb</v>
      </c>
      <c r="C11" s="125">
        <f>SUM(I12:XX12)</f>
        <v>0</v>
      </c>
      <c r="D11" s="127"/>
      <c r="E11" s="116" t="s">
        <v>492</v>
      </c>
      <c r="F11" s="130">
        <f>VLOOKUP(A11,Table2[],10,0)</f>
        <v>6</v>
      </c>
      <c r="G11" s="130"/>
      <c r="H11" s="56" t="s">
        <v>440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</row>
    <row r="12" spans="1:241" x14ac:dyDescent="0.25">
      <c r="A12" s="157"/>
      <c r="B12" s="122"/>
      <c r="C12" s="126"/>
      <c r="D12" s="128"/>
      <c r="E12" s="117"/>
      <c r="F12" s="131"/>
      <c r="G12" s="131"/>
      <c r="H12" s="57" t="s">
        <v>439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</row>
    <row r="13" spans="1:241" x14ac:dyDescent="0.25">
      <c r="A13" s="157"/>
      <c r="B13" s="122"/>
      <c r="C13" s="126"/>
      <c r="D13" s="128"/>
      <c r="E13" s="117" t="s">
        <v>493</v>
      </c>
      <c r="F13" s="131"/>
      <c r="G13" s="131"/>
      <c r="H13" s="58" t="s">
        <v>438</v>
      </c>
      <c r="I13" s="115"/>
      <c r="J13" s="115"/>
      <c r="K13" s="115"/>
      <c r="L13" s="115"/>
      <c r="M13" s="115"/>
      <c r="N13" s="115"/>
      <c r="O13" s="115"/>
      <c r="P13" s="115"/>
      <c r="Q13" s="115"/>
      <c r="R13" s="115"/>
    </row>
    <row r="14" spans="1:241" x14ac:dyDescent="0.25">
      <c r="A14" s="157"/>
      <c r="B14" s="122"/>
      <c r="C14" s="126"/>
      <c r="D14" s="128"/>
      <c r="E14" s="117"/>
      <c r="F14" s="131"/>
      <c r="G14" s="131"/>
      <c r="H14" s="59" t="s">
        <v>149</v>
      </c>
      <c r="I14" s="115"/>
      <c r="J14" s="115"/>
      <c r="K14" s="115"/>
      <c r="L14" s="115"/>
      <c r="M14" s="115"/>
      <c r="N14" s="115"/>
      <c r="O14" s="115"/>
      <c r="P14" s="115"/>
      <c r="Q14" s="115"/>
      <c r="R14" s="115"/>
    </row>
    <row r="15" spans="1:241" x14ac:dyDescent="0.25">
      <c r="A15" s="161" t="s">
        <v>2</v>
      </c>
      <c r="B15" s="124" t="str">
        <f>VLOOKUP(A15,Rules!$B$8:$C$154,2,0)</f>
        <v>Deb</v>
      </c>
      <c r="C15" s="125">
        <f>SUM(I16:XX16)</f>
        <v>0</v>
      </c>
      <c r="D15" s="127"/>
      <c r="E15" s="116" t="s">
        <v>492</v>
      </c>
      <c r="F15" s="130">
        <f>VLOOKUP(A15,Table2[],10,0)</f>
        <v>6</v>
      </c>
      <c r="G15" s="130"/>
      <c r="H15" s="56" t="s">
        <v>440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</row>
    <row r="16" spans="1:241" x14ac:dyDescent="0.25">
      <c r="A16" s="157"/>
      <c r="B16" s="122"/>
      <c r="C16" s="126"/>
      <c r="D16" s="128"/>
      <c r="E16" s="117"/>
      <c r="F16" s="131"/>
      <c r="G16" s="131"/>
      <c r="H16" s="57" t="s">
        <v>439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</row>
    <row r="17" spans="1:28" x14ac:dyDescent="0.25">
      <c r="A17" s="157"/>
      <c r="B17" s="122"/>
      <c r="C17" s="126"/>
      <c r="D17" s="128"/>
      <c r="E17" s="117" t="s">
        <v>493</v>
      </c>
      <c r="F17" s="131"/>
      <c r="G17" s="131"/>
      <c r="H17" s="58" t="s">
        <v>438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</row>
    <row r="18" spans="1:28" x14ac:dyDescent="0.25">
      <c r="A18" s="157"/>
      <c r="B18" s="122"/>
      <c r="C18" s="126"/>
      <c r="D18" s="128"/>
      <c r="E18" s="117"/>
      <c r="F18" s="131"/>
      <c r="G18" s="131"/>
      <c r="H18" s="59" t="s">
        <v>149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</row>
    <row r="19" spans="1:28" ht="15.75" customHeight="1" x14ac:dyDescent="0.25">
      <c r="A19" s="161" t="s">
        <v>3</v>
      </c>
      <c r="B19" s="124" t="str">
        <f>VLOOKUP(A19,Rules!$B$8:$C$154,2,0)</f>
        <v>Deb</v>
      </c>
      <c r="C19" s="125">
        <f>SUM(I20:XX20)</f>
        <v>0</v>
      </c>
      <c r="D19" s="127"/>
      <c r="E19" s="116" t="s">
        <v>492</v>
      </c>
      <c r="F19" s="130">
        <f>VLOOKUP(A19,Table2[],10,0)</f>
        <v>3</v>
      </c>
      <c r="G19" s="130"/>
      <c r="H19" s="56" t="s">
        <v>440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</row>
    <row r="20" spans="1:28" ht="15.75" customHeight="1" x14ac:dyDescent="0.25">
      <c r="A20" s="157"/>
      <c r="B20" s="122"/>
      <c r="C20" s="126"/>
      <c r="D20" s="128"/>
      <c r="E20" s="117"/>
      <c r="F20" s="131"/>
      <c r="G20" s="131"/>
      <c r="H20" s="57" t="s">
        <v>439</v>
      </c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AB20" s="120"/>
    </row>
    <row r="21" spans="1:28" ht="15.75" customHeight="1" x14ac:dyDescent="0.25">
      <c r="A21" s="157"/>
      <c r="B21" s="122"/>
      <c r="C21" s="126"/>
      <c r="D21" s="128"/>
      <c r="E21" s="117" t="s">
        <v>493</v>
      </c>
      <c r="F21" s="131"/>
      <c r="G21" s="131"/>
      <c r="H21" s="58" t="s">
        <v>438</v>
      </c>
      <c r="I21" s="115"/>
      <c r="J21" s="115"/>
      <c r="K21" s="115"/>
      <c r="L21" s="115"/>
      <c r="M21" s="115"/>
      <c r="N21" s="115"/>
      <c r="O21" s="115"/>
      <c r="P21" s="115"/>
      <c r="Q21" s="115"/>
      <c r="R21" s="115"/>
    </row>
    <row r="22" spans="1:28" ht="15.75" customHeight="1" x14ac:dyDescent="0.25">
      <c r="A22" s="157"/>
      <c r="B22" s="122"/>
      <c r="C22" s="126"/>
      <c r="D22" s="128"/>
      <c r="E22" s="117"/>
      <c r="F22" s="131"/>
      <c r="G22" s="131"/>
      <c r="H22" s="59" t="s">
        <v>149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</row>
    <row r="23" spans="1:28" ht="15.75" customHeight="1" x14ac:dyDescent="0.25">
      <c r="A23" s="161" t="s">
        <v>4</v>
      </c>
      <c r="B23" s="124" t="str">
        <f>VLOOKUP(A23,Rules!$B$8:$C$154,2,0)</f>
        <v>Deb</v>
      </c>
      <c r="C23" s="125">
        <f>SUM(I24:XX24)</f>
        <v>0</v>
      </c>
      <c r="D23" s="127"/>
      <c r="E23" s="116" t="s">
        <v>492</v>
      </c>
      <c r="F23" s="130">
        <f>VLOOKUP(A23,Table2[],10,0)</f>
        <v>3</v>
      </c>
      <c r="G23" s="130"/>
      <c r="H23" s="56" t="s">
        <v>440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</row>
    <row r="24" spans="1:28" ht="15.75" customHeight="1" x14ac:dyDescent="0.25">
      <c r="A24" s="157"/>
      <c r="B24" s="122"/>
      <c r="C24" s="126"/>
      <c r="D24" s="128"/>
      <c r="E24" s="117"/>
      <c r="F24" s="131"/>
      <c r="G24" s="131"/>
      <c r="H24" s="57" t="s">
        <v>439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</row>
    <row r="25" spans="1:28" ht="15.75" customHeight="1" x14ac:dyDescent="0.25">
      <c r="A25" s="157"/>
      <c r="B25" s="122"/>
      <c r="C25" s="126"/>
      <c r="D25" s="128"/>
      <c r="E25" s="117" t="s">
        <v>493</v>
      </c>
      <c r="F25" s="131"/>
      <c r="G25" s="131"/>
      <c r="H25" s="58" t="s">
        <v>438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</row>
    <row r="26" spans="1:28" ht="15.75" customHeight="1" x14ac:dyDescent="0.25">
      <c r="A26" s="157"/>
      <c r="B26" s="122"/>
      <c r="C26" s="126"/>
      <c r="D26" s="128"/>
      <c r="E26" s="117"/>
      <c r="F26" s="131"/>
      <c r="G26" s="131"/>
      <c r="H26" s="59" t="s">
        <v>149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</row>
    <row r="27" spans="1:28" ht="15.75" customHeight="1" x14ac:dyDescent="0.25">
      <c r="A27" s="161" t="s">
        <v>5</v>
      </c>
      <c r="B27" s="124" t="str">
        <f>VLOOKUP(A27,Rules!$B$8:$C$154,2,0)</f>
        <v>Elvis</v>
      </c>
      <c r="C27" s="125">
        <f>SUM(I28:XX28)</f>
        <v>0</v>
      </c>
      <c r="D27" s="127"/>
      <c r="E27" s="116" t="s">
        <v>492</v>
      </c>
      <c r="F27" s="130">
        <f>VLOOKUP(A27,Table2[],10,0)</f>
        <v>7</v>
      </c>
      <c r="G27" s="130"/>
      <c r="H27" s="56" t="s">
        <v>440</v>
      </c>
      <c r="I27" s="115"/>
      <c r="J27" s="115"/>
      <c r="K27" s="115"/>
      <c r="L27" s="115"/>
      <c r="M27" s="115"/>
      <c r="N27" s="115"/>
      <c r="O27" s="115"/>
      <c r="P27" s="115"/>
      <c r="Q27" s="115"/>
      <c r="R27" s="115"/>
    </row>
    <row r="28" spans="1:28" ht="15.75" customHeight="1" x14ac:dyDescent="0.25">
      <c r="A28" s="157"/>
      <c r="B28" s="122"/>
      <c r="C28" s="126"/>
      <c r="D28" s="128"/>
      <c r="E28" s="117"/>
      <c r="F28" s="131"/>
      <c r="G28" s="131"/>
      <c r="H28" s="57" t="s">
        <v>439</v>
      </c>
      <c r="I28" s="115"/>
      <c r="J28" s="115"/>
      <c r="K28" s="115"/>
      <c r="L28" s="115"/>
      <c r="M28" s="115"/>
      <c r="N28" s="115"/>
      <c r="O28" s="115"/>
      <c r="P28" s="115"/>
      <c r="Q28" s="115"/>
      <c r="R28" s="115"/>
    </row>
    <row r="29" spans="1:28" ht="15.75" customHeight="1" x14ac:dyDescent="0.25">
      <c r="A29" s="157"/>
      <c r="B29" s="122"/>
      <c r="C29" s="126"/>
      <c r="D29" s="128"/>
      <c r="E29" s="117" t="s">
        <v>493</v>
      </c>
      <c r="F29" s="131"/>
      <c r="G29" s="131"/>
      <c r="H29" s="58" t="s">
        <v>438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</row>
    <row r="30" spans="1:28" ht="15.75" customHeight="1" x14ac:dyDescent="0.25">
      <c r="A30" s="157"/>
      <c r="B30" s="122"/>
      <c r="C30" s="126"/>
      <c r="D30" s="128"/>
      <c r="E30" s="117"/>
      <c r="F30" s="131"/>
      <c r="G30" s="131"/>
      <c r="H30" s="59" t="s">
        <v>149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</row>
    <row r="31" spans="1:28" ht="15.75" customHeight="1" x14ac:dyDescent="0.25">
      <c r="A31" s="161" t="s">
        <v>6</v>
      </c>
      <c r="B31" s="124" t="str">
        <f>VLOOKUP(A31,Rules!$B$8:$C$154,2,0)</f>
        <v>Luis</v>
      </c>
      <c r="C31" s="125">
        <f>SUM(I32:XX32)</f>
        <v>0</v>
      </c>
      <c r="D31" s="127"/>
      <c r="E31" s="116" t="s">
        <v>492</v>
      </c>
      <c r="F31" s="130">
        <f>VLOOKUP(A31,Table2[],10,0)</f>
        <v>6</v>
      </c>
      <c r="G31" s="130"/>
      <c r="H31" s="56" t="s">
        <v>440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</row>
    <row r="32" spans="1:28" ht="15.75" customHeight="1" x14ac:dyDescent="0.25">
      <c r="A32" s="157"/>
      <c r="B32" s="122"/>
      <c r="C32" s="126"/>
      <c r="D32" s="128"/>
      <c r="E32" s="117"/>
      <c r="F32" s="131"/>
      <c r="G32" s="131"/>
      <c r="H32" s="57" t="s">
        <v>439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</row>
    <row r="33" spans="1:18" ht="15.75" customHeight="1" x14ac:dyDescent="0.25">
      <c r="A33" s="157"/>
      <c r="B33" s="122"/>
      <c r="C33" s="126"/>
      <c r="D33" s="128"/>
      <c r="E33" s="117" t="s">
        <v>493</v>
      </c>
      <c r="F33" s="131"/>
      <c r="G33" s="131"/>
      <c r="H33" s="58" t="s">
        <v>438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</row>
    <row r="34" spans="1:18" ht="15.75" customHeight="1" x14ac:dyDescent="0.25">
      <c r="A34" s="157"/>
      <c r="B34" s="122"/>
      <c r="C34" s="126"/>
      <c r="D34" s="128"/>
      <c r="E34" s="117"/>
      <c r="F34" s="131"/>
      <c r="G34" s="131"/>
      <c r="H34" s="59" t="s">
        <v>149</v>
      </c>
      <c r="I34" s="115"/>
      <c r="J34" s="115"/>
      <c r="K34" s="115"/>
      <c r="L34" s="115"/>
      <c r="M34" s="115"/>
      <c r="N34" s="115"/>
      <c r="O34" s="115"/>
      <c r="P34" s="115"/>
      <c r="Q34" s="115"/>
      <c r="R34" s="115"/>
    </row>
    <row r="35" spans="1:18" x14ac:dyDescent="0.25">
      <c r="A35" s="161" t="s">
        <v>7</v>
      </c>
      <c r="B35" s="124" t="str">
        <f>VLOOKUP(A35,Rules!$B$8:$C$154,2,0)</f>
        <v>Dan</v>
      </c>
      <c r="C35" s="125">
        <f>SUM(I36:XX36)</f>
        <v>0</v>
      </c>
      <c r="D35" s="127"/>
      <c r="E35" s="116" t="s">
        <v>492</v>
      </c>
      <c r="F35" s="130">
        <f>VLOOKUP(A35,Table2[],10,0)</f>
        <v>6</v>
      </c>
      <c r="G35" s="130"/>
      <c r="H35" s="56" t="s">
        <v>440</v>
      </c>
      <c r="I35" s="115"/>
      <c r="J35" s="115"/>
      <c r="K35" s="115"/>
      <c r="L35" s="115"/>
      <c r="M35" s="115"/>
      <c r="N35" s="115"/>
      <c r="O35" s="115"/>
      <c r="P35" s="115"/>
      <c r="Q35" s="115"/>
      <c r="R35" s="115"/>
    </row>
    <row r="36" spans="1:18" x14ac:dyDescent="0.25">
      <c r="A36" s="157"/>
      <c r="B36" s="122"/>
      <c r="C36" s="126"/>
      <c r="D36" s="128"/>
      <c r="E36" s="117"/>
      <c r="F36" s="131"/>
      <c r="G36" s="131"/>
      <c r="H36" s="57" t="s">
        <v>439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</row>
    <row r="37" spans="1:18" x14ac:dyDescent="0.25">
      <c r="A37" s="157"/>
      <c r="B37" s="122"/>
      <c r="C37" s="126"/>
      <c r="D37" s="128"/>
      <c r="E37" s="117" t="s">
        <v>493</v>
      </c>
      <c r="F37" s="131"/>
      <c r="G37" s="131"/>
      <c r="H37" s="58" t="s">
        <v>438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</row>
    <row r="38" spans="1:18" x14ac:dyDescent="0.25">
      <c r="A38" s="157"/>
      <c r="B38" s="122"/>
      <c r="C38" s="126"/>
      <c r="D38" s="128"/>
      <c r="E38" s="117"/>
      <c r="F38" s="131"/>
      <c r="G38" s="131"/>
      <c r="H38" s="59" t="s">
        <v>149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</row>
    <row r="39" spans="1:18" x14ac:dyDescent="0.25">
      <c r="A39" s="161" t="s">
        <v>8</v>
      </c>
      <c r="B39" s="124" t="str">
        <f>VLOOKUP(A39,Rules!$B$8:$C$154,2,0)</f>
        <v>Dan</v>
      </c>
      <c r="C39" s="125">
        <f>SUM(I40:XX40)</f>
        <v>0</v>
      </c>
      <c r="D39" s="127"/>
      <c r="E39" s="116" t="s">
        <v>492</v>
      </c>
      <c r="F39" s="130">
        <f>VLOOKUP(A39,Table2[],10,0)</f>
        <v>6</v>
      </c>
      <c r="G39" s="130"/>
      <c r="H39" s="56" t="s">
        <v>440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</row>
    <row r="40" spans="1:18" x14ac:dyDescent="0.25">
      <c r="A40" s="157"/>
      <c r="B40" s="122"/>
      <c r="C40" s="126"/>
      <c r="D40" s="128"/>
      <c r="E40" s="117"/>
      <c r="F40" s="131"/>
      <c r="G40" s="131"/>
      <c r="H40" s="57" t="s">
        <v>439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</row>
    <row r="41" spans="1:18" x14ac:dyDescent="0.25">
      <c r="A41" s="157"/>
      <c r="B41" s="122"/>
      <c r="C41" s="126"/>
      <c r="D41" s="128"/>
      <c r="E41" s="117" t="s">
        <v>493</v>
      </c>
      <c r="F41" s="131"/>
      <c r="G41" s="131"/>
      <c r="H41" s="58" t="s">
        <v>438</v>
      </c>
      <c r="I41" s="115"/>
      <c r="J41" s="115"/>
      <c r="K41" s="115"/>
      <c r="L41" s="115"/>
      <c r="M41" s="115"/>
      <c r="N41" s="115"/>
      <c r="O41" s="115"/>
      <c r="P41" s="115"/>
      <c r="Q41" s="115"/>
      <c r="R41" s="115"/>
    </row>
    <row r="42" spans="1:18" x14ac:dyDescent="0.25">
      <c r="A42" s="157"/>
      <c r="B42" s="122"/>
      <c r="C42" s="126"/>
      <c r="D42" s="128"/>
      <c r="E42" s="117"/>
      <c r="F42" s="131"/>
      <c r="G42" s="131"/>
      <c r="H42" s="59" t="s">
        <v>149</v>
      </c>
      <c r="I42" s="115"/>
      <c r="J42" s="115"/>
      <c r="K42" s="115"/>
      <c r="L42" s="115"/>
      <c r="M42" s="115"/>
      <c r="N42" s="115"/>
      <c r="O42" s="115"/>
      <c r="P42" s="115"/>
      <c r="Q42" s="115"/>
      <c r="R42" s="115"/>
    </row>
    <row r="43" spans="1:18" x14ac:dyDescent="0.25">
      <c r="A43" s="161" t="s">
        <v>9</v>
      </c>
      <c r="B43" s="124" t="str">
        <f>VLOOKUP(A43,Rules!$B$8:$C$154,2,0)</f>
        <v>Felix</v>
      </c>
      <c r="C43" s="125">
        <f>SUM(I44:XX44)</f>
        <v>0</v>
      </c>
      <c r="D43" s="127"/>
      <c r="E43" s="116" t="s">
        <v>492</v>
      </c>
      <c r="F43" s="130">
        <f>VLOOKUP(A43,Table2[],10,0)</f>
        <v>7</v>
      </c>
      <c r="G43" s="130"/>
      <c r="H43" s="56" t="s">
        <v>440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</row>
    <row r="44" spans="1:18" x14ac:dyDescent="0.25">
      <c r="A44" s="157"/>
      <c r="B44" s="122"/>
      <c r="C44" s="126"/>
      <c r="D44" s="128"/>
      <c r="E44" s="117"/>
      <c r="F44" s="131"/>
      <c r="G44" s="131"/>
      <c r="H44" s="57" t="s">
        <v>439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</row>
    <row r="45" spans="1:18" x14ac:dyDescent="0.25">
      <c r="A45" s="157"/>
      <c r="B45" s="122"/>
      <c r="C45" s="126"/>
      <c r="D45" s="128"/>
      <c r="E45" s="117" t="s">
        <v>493</v>
      </c>
      <c r="F45" s="131"/>
      <c r="G45" s="131"/>
      <c r="H45" s="58" t="s">
        <v>438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</row>
    <row r="46" spans="1:18" x14ac:dyDescent="0.25">
      <c r="A46" s="157"/>
      <c r="B46" s="122"/>
      <c r="C46" s="126"/>
      <c r="D46" s="128"/>
      <c r="E46" s="117"/>
      <c r="F46" s="131"/>
      <c r="G46" s="131"/>
      <c r="H46" s="59" t="s">
        <v>149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</row>
    <row r="47" spans="1:18" x14ac:dyDescent="0.25">
      <c r="A47" s="161" t="s">
        <v>10</v>
      </c>
      <c r="B47" s="124" t="str">
        <f>VLOOKUP(A47,Rules!$B$8:$C$154,2,0)</f>
        <v>Jeana</v>
      </c>
      <c r="C47" s="125">
        <f>SUM(I48:XX48)</f>
        <v>0</v>
      </c>
      <c r="D47" s="127"/>
      <c r="E47" s="116" t="s">
        <v>492</v>
      </c>
      <c r="F47" s="130">
        <f>VLOOKUP(A47,Table2[],10,0)</f>
        <v>6</v>
      </c>
      <c r="G47" s="130"/>
      <c r="H47" s="56" t="s">
        <v>440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</row>
    <row r="48" spans="1:18" x14ac:dyDescent="0.25">
      <c r="A48" s="157"/>
      <c r="B48" s="122"/>
      <c r="C48" s="126"/>
      <c r="D48" s="128"/>
      <c r="E48" s="117"/>
      <c r="F48" s="131"/>
      <c r="G48" s="131"/>
      <c r="H48" s="57" t="s">
        <v>439</v>
      </c>
      <c r="I48" s="115"/>
      <c r="J48" s="115"/>
      <c r="K48" s="115"/>
      <c r="L48" s="115"/>
      <c r="M48" s="115"/>
      <c r="N48" s="115"/>
      <c r="O48" s="115"/>
      <c r="P48" s="115"/>
      <c r="Q48" s="115"/>
      <c r="R48" s="115"/>
    </row>
    <row r="49" spans="1:18" x14ac:dyDescent="0.25">
      <c r="A49" s="157"/>
      <c r="B49" s="122"/>
      <c r="C49" s="126"/>
      <c r="D49" s="128"/>
      <c r="E49" s="117" t="s">
        <v>493</v>
      </c>
      <c r="F49" s="131"/>
      <c r="G49" s="131"/>
      <c r="H49" s="58" t="s">
        <v>438</v>
      </c>
      <c r="I49" s="115"/>
      <c r="J49" s="115"/>
      <c r="K49" s="115"/>
      <c r="L49" s="115"/>
      <c r="M49" s="115"/>
      <c r="N49" s="115"/>
      <c r="O49" s="115"/>
      <c r="P49" s="115"/>
      <c r="Q49" s="115"/>
      <c r="R49" s="115"/>
    </row>
    <row r="50" spans="1:18" x14ac:dyDescent="0.25">
      <c r="A50" s="157"/>
      <c r="B50" s="122"/>
      <c r="C50" s="126"/>
      <c r="D50" s="128"/>
      <c r="E50" s="117"/>
      <c r="F50" s="131"/>
      <c r="G50" s="131"/>
      <c r="H50" s="59" t="s">
        <v>149</v>
      </c>
      <c r="I50" s="115"/>
      <c r="J50" s="115"/>
      <c r="K50" s="115"/>
      <c r="L50" s="115"/>
      <c r="M50" s="115"/>
      <c r="N50" s="115"/>
      <c r="O50" s="115"/>
      <c r="P50" s="115"/>
      <c r="Q50" s="115"/>
      <c r="R50" s="115"/>
    </row>
    <row r="51" spans="1:18" x14ac:dyDescent="0.25">
      <c r="A51" s="161" t="s">
        <v>11</v>
      </c>
      <c r="B51" s="124" t="str">
        <f>VLOOKUP(A51,Rules!$B$8:$C$154,2,0)</f>
        <v>Jeana</v>
      </c>
      <c r="C51" s="125">
        <f>SUM(I52:XX52)</f>
        <v>0</v>
      </c>
      <c r="D51" s="127"/>
      <c r="E51" s="116" t="s">
        <v>492</v>
      </c>
      <c r="F51" s="130">
        <f>VLOOKUP(A51,Table2[],10,0)</f>
        <v>6</v>
      </c>
      <c r="G51" s="130"/>
      <c r="H51" s="56" t="s">
        <v>440</v>
      </c>
      <c r="I51" s="115"/>
      <c r="J51" s="115"/>
      <c r="K51" s="115"/>
      <c r="L51" s="115"/>
      <c r="M51" s="115"/>
      <c r="N51" s="115"/>
      <c r="O51" s="115"/>
      <c r="P51" s="115"/>
      <c r="Q51" s="115"/>
      <c r="R51" s="115"/>
    </row>
    <row r="52" spans="1:18" x14ac:dyDescent="0.25">
      <c r="A52" s="157"/>
      <c r="B52" s="122"/>
      <c r="C52" s="126"/>
      <c r="D52" s="128"/>
      <c r="E52" s="117"/>
      <c r="F52" s="131"/>
      <c r="G52" s="131"/>
      <c r="H52" s="57" t="s">
        <v>439</v>
      </c>
      <c r="I52" s="115"/>
      <c r="J52" s="115"/>
      <c r="K52" s="115"/>
      <c r="L52" s="115"/>
      <c r="M52" s="115"/>
      <c r="N52" s="115"/>
      <c r="O52" s="115"/>
      <c r="P52" s="115"/>
      <c r="Q52" s="115"/>
      <c r="R52" s="115"/>
    </row>
    <row r="53" spans="1:18" x14ac:dyDescent="0.25">
      <c r="A53" s="157"/>
      <c r="B53" s="122"/>
      <c r="C53" s="126"/>
      <c r="D53" s="128"/>
      <c r="E53" s="117" t="s">
        <v>493</v>
      </c>
      <c r="F53" s="131"/>
      <c r="G53" s="131"/>
      <c r="H53" s="58" t="s">
        <v>438</v>
      </c>
      <c r="I53" s="115"/>
      <c r="J53" s="115"/>
      <c r="K53" s="115"/>
      <c r="L53" s="115"/>
      <c r="M53" s="115"/>
      <c r="N53" s="115"/>
      <c r="O53" s="115"/>
      <c r="P53" s="115"/>
      <c r="Q53" s="115"/>
      <c r="R53" s="115"/>
    </row>
    <row r="54" spans="1:18" x14ac:dyDescent="0.25">
      <c r="A54" s="157"/>
      <c r="B54" s="122"/>
      <c r="C54" s="126"/>
      <c r="D54" s="128"/>
      <c r="E54" s="117"/>
      <c r="F54" s="131"/>
      <c r="G54" s="131"/>
      <c r="H54" s="59" t="s">
        <v>149</v>
      </c>
      <c r="I54" s="115"/>
      <c r="J54" s="115"/>
      <c r="K54" s="115"/>
      <c r="L54" s="115"/>
      <c r="M54" s="115"/>
      <c r="N54" s="115"/>
      <c r="O54" s="115"/>
      <c r="P54" s="115"/>
      <c r="Q54" s="115"/>
      <c r="R54" s="115"/>
    </row>
    <row r="55" spans="1:18" x14ac:dyDescent="0.25">
      <c r="A55" s="161" t="s">
        <v>12</v>
      </c>
      <c r="B55" s="124" t="str">
        <f>VLOOKUP(A55,Rules!$B$8:$C$154,2,0)</f>
        <v>Jeana</v>
      </c>
      <c r="C55" s="125">
        <f>SUM(I56:XX56)</f>
        <v>0</v>
      </c>
      <c r="D55" s="127"/>
      <c r="E55" s="116" t="s">
        <v>492</v>
      </c>
      <c r="F55" s="130">
        <f>VLOOKUP(A55,Table2[],10,0)</f>
        <v>6</v>
      </c>
      <c r="G55" s="130"/>
      <c r="H55" s="56" t="s">
        <v>440</v>
      </c>
      <c r="I55" s="115"/>
      <c r="J55" s="115"/>
      <c r="K55" s="115"/>
      <c r="L55" s="115"/>
      <c r="M55" s="115"/>
      <c r="N55" s="115"/>
      <c r="O55" s="115"/>
      <c r="P55" s="115"/>
      <c r="Q55" s="115"/>
      <c r="R55" s="115"/>
    </row>
    <row r="56" spans="1:18" x14ac:dyDescent="0.25">
      <c r="A56" s="157"/>
      <c r="B56" s="122"/>
      <c r="C56" s="126"/>
      <c r="D56" s="128"/>
      <c r="E56" s="117"/>
      <c r="F56" s="131"/>
      <c r="G56" s="131"/>
      <c r="H56" s="57" t="s">
        <v>439</v>
      </c>
      <c r="I56" s="115"/>
      <c r="J56" s="115"/>
      <c r="K56" s="115"/>
      <c r="L56" s="115"/>
      <c r="M56" s="115"/>
      <c r="N56" s="115"/>
      <c r="O56" s="115"/>
      <c r="P56" s="115"/>
      <c r="Q56" s="115"/>
      <c r="R56" s="115"/>
    </row>
    <row r="57" spans="1:18" x14ac:dyDescent="0.25">
      <c r="A57" s="157"/>
      <c r="B57" s="122"/>
      <c r="C57" s="126"/>
      <c r="D57" s="128"/>
      <c r="E57" s="117" t="s">
        <v>493</v>
      </c>
      <c r="F57" s="131"/>
      <c r="G57" s="131"/>
      <c r="H57" s="58" t="s">
        <v>438</v>
      </c>
      <c r="I57" s="115"/>
      <c r="J57" s="115"/>
      <c r="K57" s="115"/>
      <c r="L57" s="115"/>
      <c r="M57" s="115"/>
      <c r="N57" s="115"/>
      <c r="O57" s="115"/>
      <c r="P57" s="115"/>
      <c r="Q57" s="115"/>
      <c r="R57" s="115"/>
    </row>
    <row r="58" spans="1:18" x14ac:dyDescent="0.25">
      <c r="A58" s="157"/>
      <c r="B58" s="122"/>
      <c r="C58" s="126"/>
      <c r="D58" s="128"/>
      <c r="E58" s="117"/>
      <c r="F58" s="131"/>
      <c r="G58" s="131"/>
      <c r="H58" s="59" t="s">
        <v>149</v>
      </c>
      <c r="I58" s="115"/>
      <c r="J58" s="115"/>
      <c r="K58" s="115"/>
      <c r="L58" s="115"/>
      <c r="M58" s="115"/>
      <c r="N58" s="115"/>
      <c r="O58" s="115"/>
      <c r="P58" s="115"/>
      <c r="Q58" s="115"/>
      <c r="R58" s="115"/>
    </row>
    <row r="59" spans="1:18" x14ac:dyDescent="0.25">
      <c r="A59" s="161" t="s">
        <v>13</v>
      </c>
      <c r="B59" s="124" t="str">
        <f>VLOOKUP(A59,Rules!$B$8:$C$154,2,0)</f>
        <v>Jeana</v>
      </c>
      <c r="C59" s="125">
        <f>SUM(I60:XX60)</f>
        <v>0</v>
      </c>
      <c r="D59" s="127"/>
      <c r="E59" s="116" t="s">
        <v>492</v>
      </c>
      <c r="F59" s="130">
        <f>VLOOKUP(A59,Table2[],10,0)</f>
        <v>6</v>
      </c>
      <c r="G59" s="130"/>
      <c r="H59" s="56" t="s">
        <v>440</v>
      </c>
      <c r="I59" s="115"/>
      <c r="J59" s="115"/>
      <c r="K59" s="115"/>
      <c r="L59" s="115"/>
      <c r="M59" s="115"/>
      <c r="N59" s="115"/>
      <c r="O59" s="115"/>
      <c r="P59" s="115"/>
      <c r="Q59" s="115"/>
      <c r="R59" s="115"/>
    </row>
    <row r="60" spans="1:18" x14ac:dyDescent="0.25">
      <c r="A60" s="157"/>
      <c r="B60" s="122"/>
      <c r="C60" s="126"/>
      <c r="D60" s="128"/>
      <c r="E60" s="117"/>
      <c r="F60" s="131"/>
      <c r="G60" s="131"/>
      <c r="H60" s="57" t="s">
        <v>439</v>
      </c>
      <c r="I60" s="115"/>
      <c r="J60" s="115"/>
      <c r="K60" s="115"/>
      <c r="L60" s="115"/>
      <c r="M60" s="115"/>
      <c r="N60" s="115"/>
      <c r="O60" s="115"/>
      <c r="P60" s="115"/>
      <c r="Q60" s="115"/>
      <c r="R60" s="115"/>
    </row>
    <row r="61" spans="1:18" x14ac:dyDescent="0.25">
      <c r="A61" s="157"/>
      <c r="B61" s="122"/>
      <c r="C61" s="126"/>
      <c r="D61" s="128"/>
      <c r="E61" s="117" t="s">
        <v>493</v>
      </c>
      <c r="F61" s="131"/>
      <c r="G61" s="131"/>
      <c r="H61" s="58" t="s">
        <v>438</v>
      </c>
      <c r="I61" s="115"/>
      <c r="J61" s="115"/>
      <c r="K61" s="115"/>
      <c r="L61" s="115"/>
      <c r="M61" s="115"/>
      <c r="N61" s="115"/>
      <c r="O61" s="115"/>
      <c r="P61" s="115"/>
      <c r="Q61" s="115"/>
      <c r="R61" s="115"/>
    </row>
    <row r="62" spans="1:18" x14ac:dyDescent="0.25">
      <c r="A62" s="157"/>
      <c r="B62" s="122"/>
      <c r="C62" s="126"/>
      <c r="D62" s="128"/>
      <c r="E62" s="117"/>
      <c r="F62" s="131"/>
      <c r="G62" s="131"/>
      <c r="H62" s="59" t="s">
        <v>149</v>
      </c>
      <c r="I62" s="115"/>
      <c r="J62" s="115"/>
      <c r="K62" s="115"/>
      <c r="L62" s="115"/>
      <c r="M62" s="115"/>
      <c r="N62" s="115"/>
      <c r="O62" s="115"/>
      <c r="P62" s="115"/>
      <c r="Q62" s="115"/>
      <c r="R62" s="115"/>
    </row>
    <row r="63" spans="1:18" x14ac:dyDescent="0.25">
      <c r="A63" s="161" t="s">
        <v>14</v>
      </c>
      <c r="B63" s="124" t="str">
        <f>VLOOKUP(A63,Rules!$B$8:$C$154,2,0)</f>
        <v>Jeana</v>
      </c>
      <c r="C63" s="125">
        <f>SUM(I64:XX64)</f>
        <v>0</v>
      </c>
      <c r="D63" s="127"/>
      <c r="E63" s="116" t="s">
        <v>492</v>
      </c>
      <c r="F63" s="130">
        <f>VLOOKUP(A63,Table2[],10,0)</f>
        <v>6</v>
      </c>
      <c r="G63" s="130"/>
      <c r="H63" s="56" t="s">
        <v>440</v>
      </c>
      <c r="I63" s="115"/>
      <c r="J63" s="115"/>
      <c r="K63" s="115"/>
      <c r="L63" s="115"/>
      <c r="M63" s="115"/>
      <c r="N63" s="115"/>
      <c r="O63" s="115"/>
      <c r="P63" s="115"/>
      <c r="Q63" s="115"/>
      <c r="R63" s="115"/>
    </row>
    <row r="64" spans="1:18" x14ac:dyDescent="0.25">
      <c r="A64" s="157"/>
      <c r="B64" s="122"/>
      <c r="C64" s="126"/>
      <c r="D64" s="128"/>
      <c r="E64" s="117"/>
      <c r="F64" s="131"/>
      <c r="G64" s="131"/>
      <c r="H64" s="57" t="s">
        <v>439</v>
      </c>
      <c r="I64" s="115"/>
      <c r="J64" s="115"/>
      <c r="K64" s="115"/>
      <c r="L64" s="115"/>
      <c r="M64" s="115"/>
      <c r="N64" s="115"/>
      <c r="O64" s="115"/>
      <c r="P64" s="115"/>
      <c r="Q64" s="115"/>
      <c r="R64" s="115"/>
    </row>
    <row r="65" spans="1:18" x14ac:dyDescent="0.25">
      <c r="A65" s="157"/>
      <c r="B65" s="122"/>
      <c r="C65" s="126"/>
      <c r="D65" s="128"/>
      <c r="E65" s="117" t="s">
        <v>493</v>
      </c>
      <c r="F65" s="131"/>
      <c r="G65" s="131"/>
      <c r="H65" s="58" t="s">
        <v>438</v>
      </c>
      <c r="I65" s="115"/>
      <c r="J65" s="115"/>
      <c r="K65" s="115"/>
      <c r="L65" s="115"/>
      <c r="M65" s="115"/>
      <c r="N65" s="115"/>
      <c r="O65" s="115"/>
      <c r="P65" s="115"/>
      <c r="Q65" s="115"/>
      <c r="R65" s="115"/>
    </row>
    <row r="66" spans="1:18" x14ac:dyDescent="0.25">
      <c r="A66" s="157"/>
      <c r="B66" s="122"/>
      <c r="C66" s="126"/>
      <c r="D66" s="128"/>
      <c r="E66" s="117"/>
      <c r="F66" s="131"/>
      <c r="G66" s="131"/>
      <c r="H66" s="59" t="s">
        <v>149</v>
      </c>
      <c r="I66" s="115"/>
      <c r="J66" s="115"/>
      <c r="K66" s="115"/>
      <c r="L66" s="115"/>
      <c r="M66" s="115"/>
      <c r="N66" s="115"/>
      <c r="O66" s="115"/>
      <c r="P66" s="115"/>
      <c r="Q66" s="115"/>
      <c r="R66" s="115"/>
    </row>
    <row r="67" spans="1:18" x14ac:dyDescent="0.25">
      <c r="A67" s="161" t="s">
        <v>15</v>
      </c>
      <c r="B67" s="124" t="str">
        <f>VLOOKUP(A67,Rules!$B$8:$C$154,2,0)</f>
        <v>Jeana</v>
      </c>
      <c r="C67" s="125">
        <f>SUM(I68:XX68)</f>
        <v>0</v>
      </c>
      <c r="D67" s="127"/>
      <c r="E67" s="116" t="s">
        <v>492</v>
      </c>
      <c r="F67" s="130">
        <f>VLOOKUP(A67,Table2[],10,0)</f>
        <v>6</v>
      </c>
      <c r="G67" s="130"/>
      <c r="H67" s="56" t="s">
        <v>440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</row>
    <row r="68" spans="1:18" x14ac:dyDescent="0.25">
      <c r="A68" s="157"/>
      <c r="B68" s="122"/>
      <c r="C68" s="126"/>
      <c r="D68" s="128"/>
      <c r="E68" s="117"/>
      <c r="F68" s="131"/>
      <c r="G68" s="131"/>
      <c r="H68" s="57" t="s">
        <v>439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</row>
    <row r="69" spans="1:18" x14ac:dyDescent="0.25">
      <c r="A69" s="157"/>
      <c r="B69" s="122"/>
      <c r="C69" s="126"/>
      <c r="D69" s="128"/>
      <c r="E69" s="117" t="s">
        <v>493</v>
      </c>
      <c r="F69" s="131"/>
      <c r="G69" s="131"/>
      <c r="H69" s="58" t="s">
        <v>438</v>
      </c>
      <c r="I69" s="115"/>
      <c r="J69" s="115"/>
      <c r="K69" s="115"/>
      <c r="L69" s="115"/>
      <c r="M69" s="115"/>
      <c r="N69" s="115"/>
      <c r="O69" s="115"/>
      <c r="P69" s="115"/>
      <c r="Q69" s="115"/>
      <c r="R69" s="115"/>
    </row>
    <row r="70" spans="1:18" x14ac:dyDescent="0.25">
      <c r="A70" s="157"/>
      <c r="B70" s="122"/>
      <c r="C70" s="126"/>
      <c r="D70" s="128"/>
      <c r="E70" s="117"/>
      <c r="F70" s="131"/>
      <c r="G70" s="131"/>
      <c r="H70" s="59" t="s">
        <v>149</v>
      </c>
      <c r="I70" s="115"/>
      <c r="J70" s="115"/>
      <c r="K70" s="115"/>
      <c r="L70" s="115"/>
      <c r="M70" s="115"/>
      <c r="N70" s="115"/>
      <c r="O70" s="115"/>
      <c r="P70" s="115"/>
      <c r="Q70" s="115"/>
      <c r="R70" s="115"/>
    </row>
    <row r="71" spans="1:18" x14ac:dyDescent="0.25">
      <c r="A71" s="161" t="s">
        <v>16</v>
      </c>
      <c r="B71" s="124" t="str">
        <f>VLOOKUP(A71,Rules!$B$8:$C$154,2,0)</f>
        <v>Jeana</v>
      </c>
      <c r="C71" s="125">
        <f>SUM(I72:XX72)</f>
        <v>0</v>
      </c>
      <c r="D71" s="127"/>
      <c r="E71" s="116" t="s">
        <v>492</v>
      </c>
      <c r="F71" s="130">
        <f>VLOOKUP(A71,Table2[],10,0)</f>
        <v>6</v>
      </c>
      <c r="G71" s="130"/>
      <c r="H71" s="56" t="s">
        <v>440</v>
      </c>
      <c r="I71" s="115"/>
      <c r="J71" s="115"/>
      <c r="K71" s="115"/>
      <c r="L71" s="115"/>
      <c r="M71" s="115"/>
      <c r="N71" s="115"/>
      <c r="O71" s="115"/>
      <c r="P71" s="115"/>
      <c r="Q71" s="115"/>
      <c r="R71" s="115"/>
    </row>
    <row r="72" spans="1:18" x14ac:dyDescent="0.25">
      <c r="A72" s="157"/>
      <c r="B72" s="122"/>
      <c r="C72" s="126"/>
      <c r="D72" s="128"/>
      <c r="E72" s="117"/>
      <c r="F72" s="131"/>
      <c r="G72" s="131"/>
      <c r="H72" s="57" t="s">
        <v>439</v>
      </c>
      <c r="I72" s="115"/>
      <c r="J72" s="115"/>
      <c r="K72" s="115"/>
      <c r="L72" s="115"/>
      <c r="M72" s="115"/>
      <c r="N72" s="115"/>
      <c r="O72" s="115"/>
      <c r="P72" s="115"/>
      <c r="Q72" s="115"/>
      <c r="R72" s="115"/>
    </row>
    <row r="73" spans="1:18" x14ac:dyDescent="0.25">
      <c r="A73" s="157"/>
      <c r="B73" s="122"/>
      <c r="C73" s="126"/>
      <c r="D73" s="128"/>
      <c r="E73" s="117" t="s">
        <v>493</v>
      </c>
      <c r="F73" s="131"/>
      <c r="G73" s="131"/>
      <c r="H73" s="58" t="s">
        <v>438</v>
      </c>
      <c r="I73" s="115"/>
      <c r="J73" s="115"/>
      <c r="K73" s="115"/>
      <c r="L73" s="115"/>
      <c r="M73" s="115"/>
      <c r="N73" s="115"/>
      <c r="O73" s="115"/>
      <c r="P73" s="115"/>
      <c r="Q73" s="115"/>
      <c r="R73" s="115"/>
    </row>
    <row r="74" spans="1:18" x14ac:dyDescent="0.25">
      <c r="A74" s="157"/>
      <c r="B74" s="122"/>
      <c r="C74" s="126"/>
      <c r="D74" s="128"/>
      <c r="E74" s="117"/>
      <c r="F74" s="131"/>
      <c r="G74" s="131"/>
      <c r="H74" s="59" t="s">
        <v>149</v>
      </c>
      <c r="I74" s="115"/>
      <c r="J74" s="115"/>
      <c r="K74" s="115"/>
      <c r="L74" s="115"/>
      <c r="M74" s="115"/>
      <c r="N74" s="115"/>
      <c r="O74" s="115"/>
      <c r="P74" s="115"/>
      <c r="Q74" s="115"/>
      <c r="R74" s="115"/>
    </row>
    <row r="75" spans="1:18" x14ac:dyDescent="0.25">
      <c r="A75" s="161" t="s">
        <v>17</v>
      </c>
      <c r="B75" s="124" t="str">
        <f>VLOOKUP(A75,Rules!$B$8:$C$154,2,0)</f>
        <v>Jeana</v>
      </c>
      <c r="C75" s="125">
        <f>SUM(I76:XX76)</f>
        <v>0</v>
      </c>
      <c r="D75" s="127"/>
      <c r="E75" s="116" t="s">
        <v>492</v>
      </c>
      <c r="F75" s="130">
        <f>VLOOKUP(A75,Table2[],10,0)</f>
        <v>6</v>
      </c>
      <c r="G75" s="130"/>
      <c r="H75" s="56" t="s">
        <v>440</v>
      </c>
      <c r="I75" s="115"/>
      <c r="J75" s="115"/>
      <c r="K75" s="115"/>
      <c r="L75" s="115"/>
      <c r="M75" s="115"/>
      <c r="N75" s="115"/>
      <c r="O75" s="115"/>
      <c r="P75" s="115"/>
      <c r="Q75" s="115"/>
      <c r="R75" s="115"/>
    </row>
    <row r="76" spans="1:18" x14ac:dyDescent="0.25">
      <c r="A76" s="157"/>
      <c r="B76" s="122"/>
      <c r="C76" s="126"/>
      <c r="D76" s="128"/>
      <c r="E76" s="117"/>
      <c r="F76" s="131"/>
      <c r="G76" s="131"/>
      <c r="H76" s="57" t="s">
        <v>439</v>
      </c>
      <c r="I76" s="115"/>
      <c r="J76" s="115"/>
      <c r="K76" s="115"/>
      <c r="L76" s="115"/>
      <c r="M76" s="115"/>
      <c r="N76" s="115"/>
      <c r="O76" s="115"/>
      <c r="P76" s="115"/>
      <c r="Q76" s="115"/>
      <c r="R76" s="115"/>
    </row>
    <row r="77" spans="1:18" x14ac:dyDescent="0.25">
      <c r="A77" s="157"/>
      <c r="B77" s="122"/>
      <c r="C77" s="126"/>
      <c r="D77" s="128"/>
      <c r="E77" s="117" t="s">
        <v>493</v>
      </c>
      <c r="F77" s="131"/>
      <c r="G77" s="131"/>
      <c r="H77" s="58" t="s">
        <v>438</v>
      </c>
      <c r="I77" s="115"/>
      <c r="J77" s="115"/>
      <c r="K77" s="115"/>
      <c r="L77" s="115"/>
      <c r="M77" s="115"/>
      <c r="N77" s="115"/>
      <c r="O77" s="115"/>
      <c r="P77" s="115"/>
      <c r="Q77" s="115"/>
      <c r="R77" s="115"/>
    </row>
    <row r="78" spans="1:18" x14ac:dyDescent="0.25">
      <c r="A78" s="157"/>
      <c r="B78" s="122"/>
      <c r="C78" s="126"/>
      <c r="D78" s="128"/>
      <c r="E78" s="117"/>
      <c r="F78" s="131"/>
      <c r="G78" s="131"/>
      <c r="H78" s="59" t="s">
        <v>149</v>
      </c>
      <c r="I78" s="115"/>
      <c r="J78" s="115"/>
      <c r="K78" s="115"/>
      <c r="L78" s="115"/>
      <c r="M78" s="115"/>
      <c r="N78" s="115"/>
      <c r="O78" s="115"/>
      <c r="P78" s="115"/>
      <c r="Q78" s="115"/>
      <c r="R78" s="115"/>
    </row>
    <row r="79" spans="1:18" x14ac:dyDescent="0.25">
      <c r="A79" s="161" t="s">
        <v>18</v>
      </c>
      <c r="B79" s="124" t="str">
        <f>VLOOKUP(A79,Rules!$B$8:$C$154,2,0)</f>
        <v>Jeana</v>
      </c>
      <c r="C79" s="125">
        <f>SUM(I80:XX80)</f>
        <v>0</v>
      </c>
      <c r="D79" s="127"/>
      <c r="E79" s="116" t="s">
        <v>492</v>
      </c>
      <c r="F79" s="130">
        <f>VLOOKUP(A79,Table2[],10,0)</f>
        <v>6</v>
      </c>
      <c r="G79" s="130"/>
      <c r="H79" s="56" t="s">
        <v>440</v>
      </c>
      <c r="I79" s="115"/>
      <c r="J79" s="115"/>
      <c r="K79" s="115"/>
      <c r="L79" s="115"/>
      <c r="M79" s="115"/>
      <c r="N79" s="115"/>
      <c r="O79" s="115"/>
      <c r="P79" s="115"/>
      <c r="Q79" s="115"/>
      <c r="R79" s="115"/>
    </row>
    <row r="80" spans="1:18" x14ac:dyDescent="0.25">
      <c r="A80" s="157"/>
      <c r="B80" s="122"/>
      <c r="C80" s="126"/>
      <c r="D80" s="128"/>
      <c r="E80" s="117"/>
      <c r="F80" s="131"/>
      <c r="G80" s="131"/>
      <c r="H80" s="57" t="s">
        <v>439</v>
      </c>
      <c r="I80" s="115"/>
      <c r="J80" s="115"/>
      <c r="K80" s="115"/>
      <c r="L80" s="115"/>
      <c r="M80" s="115"/>
      <c r="N80" s="115"/>
      <c r="O80" s="115"/>
      <c r="P80" s="115"/>
      <c r="Q80" s="115"/>
      <c r="R80" s="115"/>
    </row>
    <row r="81" spans="1:18" x14ac:dyDescent="0.25">
      <c r="A81" s="157"/>
      <c r="B81" s="122"/>
      <c r="C81" s="126"/>
      <c r="D81" s="128"/>
      <c r="E81" s="117" t="s">
        <v>493</v>
      </c>
      <c r="F81" s="131"/>
      <c r="G81" s="131"/>
      <c r="H81" s="58" t="s">
        <v>438</v>
      </c>
      <c r="I81" s="115"/>
      <c r="J81" s="115"/>
      <c r="K81" s="115"/>
      <c r="L81" s="115"/>
      <c r="M81" s="115"/>
      <c r="N81" s="115"/>
      <c r="O81" s="115"/>
      <c r="P81" s="115"/>
      <c r="Q81" s="115"/>
      <c r="R81" s="115"/>
    </row>
    <row r="82" spans="1:18" x14ac:dyDescent="0.25">
      <c r="A82" s="157"/>
      <c r="B82" s="122"/>
      <c r="C82" s="126"/>
      <c r="D82" s="128"/>
      <c r="E82" s="117"/>
      <c r="F82" s="131"/>
      <c r="G82" s="131"/>
      <c r="H82" s="59" t="s">
        <v>149</v>
      </c>
      <c r="I82" s="115"/>
      <c r="J82" s="115"/>
      <c r="K82" s="115"/>
      <c r="L82" s="115"/>
      <c r="M82" s="115"/>
      <c r="N82" s="115"/>
      <c r="O82" s="115"/>
      <c r="P82" s="115"/>
      <c r="Q82" s="115"/>
      <c r="R82" s="115"/>
    </row>
    <row r="83" spans="1:18" x14ac:dyDescent="0.25">
      <c r="A83" s="161" t="s">
        <v>19</v>
      </c>
      <c r="B83" s="124" t="str">
        <f>VLOOKUP(A83,Rules!$B$8:$C$154,2,0)</f>
        <v>Jeana</v>
      </c>
      <c r="C83" s="125">
        <f>SUM(I84:XX84)</f>
        <v>0</v>
      </c>
      <c r="D83" s="127"/>
      <c r="E83" s="116" t="s">
        <v>492</v>
      </c>
      <c r="F83" s="130">
        <f>VLOOKUP(A83,Table2[],10,0)</f>
        <v>6</v>
      </c>
      <c r="G83" s="130"/>
      <c r="H83" s="56" t="s">
        <v>440</v>
      </c>
      <c r="I83" s="115"/>
      <c r="J83" s="115"/>
      <c r="K83" s="115"/>
      <c r="L83" s="115"/>
      <c r="M83" s="115"/>
      <c r="N83" s="115"/>
      <c r="O83" s="115"/>
      <c r="P83" s="115"/>
      <c r="Q83" s="115"/>
      <c r="R83" s="115"/>
    </row>
    <row r="84" spans="1:18" x14ac:dyDescent="0.25">
      <c r="A84" s="157"/>
      <c r="B84" s="122"/>
      <c r="C84" s="126"/>
      <c r="D84" s="128"/>
      <c r="E84" s="117"/>
      <c r="F84" s="131"/>
      <c r="G84" s="131"/>
      <c r="H84" s="57" t="s">
        <v>439</v>
      </c>
      <c r="I84" s="115"/>
      <c r="J84" s="115"/>
      <c r="K84" s="115"/>
      <c r="L84" s="115"/>
      <c r="M84" s="115"/>
      <c r="N84" s="115"/>
      <c r="O84" s="115"/>
      <c r="P84" s="115"/>
      <c r="Q84" s="115"/>
      <c r="R84" s="115"/>
    </row>
    <row r="85" spans="1:18" x14ac:dyDescent="0.25">
      <c r="A85" s="157"/>
      <c r="B85" s="122"/>
      <c r="C85" s="126"/>
      <c r="D85" s="128"/>
      <c r="E85" s="117" t="s">
        <v>493</v>
      </c>
      <c r="F85" s="131"/>
      <c r="G85" s="131"/>
      <c r="H85" s="58" t="s">
        <v>438</v>
      </c>
      <c r="I85" s="115"/>
      <c r="J85" s="115"/>
      <c r="K85" s="115"/>
      <c r="L85" s="115"/>
      <c r="M85" s="115"/>
      <c r="N85" s="115"/>
      <c r="O85" s="115"/>
      <c r="P85" s="115"/>
      <c r="Q85" s="115"/>
      <c r="R85" s="115"/>
    </row>
    <row r="86" spans="1:18" x14ac:dyDescent="0.25">
      <c r="A86" s="157"/>
      <c r="B86" s="122"/>
      <c r="C86" s="126"/>
      <c r="D86" s="128"/>
      <c r="E86" s="117"/>
      <c r="F86" s="131"/>
      <c r="G86" s="131"/>
      <c r="H86" s="59" t="s">
        <v>149</v>
      </c>
      <c r="I86" s="115"/>
      <c r="J86" s="115"/>
      <c r="K86" s="115"/>
      <c r="L86" s="115"/>
      <c r="M86" s="115"/>
      <c r="N86" s="115"/>
      <c r="O86" s="115"/>
      <c r="P86" s="115"/>
      <c r="Q86" s="115"/>
      <c r="R86" s="115"/>
    </row>
    <row r="87" spans="1:18" x14ac:dyDescent="0.25">
      <c r="A87" s="161" t="s">
        <v>20</v>
      </c>
      <c r="B87" s="124" t="str">
        <f>VLOOKUP(A87,Rules!$B$8:$C$154,2,0)</f>
        <v>Jeana</v>
      </c>
      <c r="C87" s="125">
        <f>SUM(I88:XX88)</f>
        <v>0</v>
      </c>
      <c r="D87" s="127"/>
      <c r="E87" s="116" t="s">
        <v>492</v>
      </c>
      <c r="F87" s="130">
        <f>VLOOKUP(A87,Table2[],10,0)</f>
        <v>6</v>
      </c>
      <c r="G87" s="130"/>
      <c r="H87" s="56" t="s">
        <v>440</v>
      </c>
      <c r="I87" s="115"/>
      <c r="J87" s="115"/>
      <c r="K87" s="115"/>
      <c r="L87" s="115"/>
      <c r="M87" s="115"/>
      <c r="N87" s="115"/>
      <c r="O87" s="115"/>
      <c r="P87" s="115"/>
      <c r="Q87" s="115"/>
      <c r="R87" s="115"/>
    </row>
    <row r="88" spans="1:18" x14ac:dyDescent="0.25">
      <c r="A88" s="157"/>
      <c r="B88" s="122"/>
      <c r="C88" s="126"/>
      <c r="D88" s="128"/>
      <c r="E88" s="117"/>
      <c r="F88" s="131"/>
      <c r="G88" s="131"/>
      <c r="H88" s="57" t="s">
        <v>439</v>
      </c>
      <c r="I88" s="115"/>
      <c r="J88" s="115"/>
      <c r="K88" s="115"/>
      <c r="L88" s="115"/>
      <c r="M88" s="115"/>
      <c r="N88" s="115"/>
      <c r="O88" s="115"/>
      <c r="P88" s="115"/>
      <c r="Q88" s="115"/>
      <c r="R88" s="115"/>
    </row>
    <row r="89" spans="1:18" x14ac:dyDescent="0.25">
      <c r="A89" s="157"/>
      <c r="B89" s="122"/>
      <c r="C89" s="126"/>
      <c r="D89" s="128"/>
      <c r="E89" s="117" t="s">
        <v>493</v>
      </c>
      <c r="F89" s="131"/>
      <c r="G89" s="131"/>
      <c r="H89" s="58" t="s">
        <v>438</v>
      </c>
      <c r="I89" s="115"/>
      <c r="J89" s="115"/>
      <c r="K89" s="115"/>
      <c r="L89" s="115"/>
      <c r="M89" s="115"/>
      <c r="N89" s="115"/>
      <c r="O89" s="115"/>
      <c r="P89" s="115"/>
      <c r="Q89" s="115"/>
      <c r="R89" s="115"/>
    </row>
    <row r="90" spans="1:18" x14ac:dyDescent="0.25">
      <c r="A90" s="157"/>
      <c r="B90" s="122"/>
      <c r="C90" s="126"/>
      <c r="D90" s="128"/>
      <c r="E90" s="117"/>
      <c r="F90" s="131"/>
      <c r="G90" s="131"/>
      <c r="H90" s="59" t="s">
        <v>149</v>
      </c>
      <c r="I90" s="115"/>
      <c r="J90" s="115"/>
      <c r="K90" s="115"/>
      <c r="L90" s="115"/>
      <c r="M90" s="115"/>
      <c r="N90" s="115"/>
      <c r="O90" s="115"/>
      <c r="P90" s="115"/>
      <c r="Q90" s="115"/>
      <c r="R90" s="115"/>
    </row>
    <row r="91" spans="1:18" x14ac:dyDescent="0.25">
      <c r="A91" s="161" t="s">
        <v>21</v>
      </c>
      <c r="B91" s="124" t="str">
        <f>VLOOKUP(A91,Rules!$B$8:$C$154,2,0)</f>
        <v>Jeana</v>
      </c>
      <c r="C91" s="125">
        <f>SUM(I92:XX92)</f>
        <v>0</v>
      </c>
      <c r="D91" s="127"/>
      <c r="E91" s="116" t="s">
        <v>492</v>
      </c>
      <c r="F91" s="130">
        <f>VLOOKUP(A91,Table2[],10,0)</f>
        <v>6</v>
      </c>
      <c r="G91" s="130"/>
      <c r="H91" s="56" t="s">
        <v>440</v>
      </c>
      <c r="I91" s="115"/>
      <c r="J91" s="115"/>
      <c r="K91" s="115"/>
      <c r="L91" s="115"/>
      <c r="M91" s="115"/>
      <c r="N91" s="115"/>
      <c r="O91" s="115"/>
      <c r="P91" s="115"/>
      <c r="Q91" s="115"/>
      <c r="R91" s="115"/>
    </row>
    <row r="92" spans="1:18" x14ac:dyDescent="0.25">
      <c r="A92" s="157"/>
      <c r="B92" s="122"/>
      <c r="C92" s="126"/>
      <c r="D92" s="128"/>
      <c r="E92" s="117"/>
      <c r="F92" s="131"/>
      <c r="G92" s="131"/>
      <c r="H92" s="57" t="s">
        <v>439</v>
      </c>
      <c r="I92" s="115"/>
      <c r="J92" s="115"/>
      <c r="K92" s="115"/>
      <c r="L92" s="115"/>
      <c r="M92" s="115"/>
      <c r="N92" s="115"/>
      <c r="O92" s="115"/>
      <c r="P92" s="115"/>
      <c r="Q92" s="115"/>
      <c r="R92" s="115"/>
    </row>
    <row r="93" spans="1:18" x14ac:dyDescent="0.25">
      <c r="A93" s="157"/>
      <c r="B93" s="122"/>
      <c r="C93" s="126"/>
      <c r="D93" s="128"/>
      <c r="E93" s="117" t="s">
        <v>493</v>
      </c>
      <c r="F93" s="131"/>
      <c r="G93" s="131"/>
      <c r="H93" s="58" t="s">
        <v>438</v>
      </c>
      <c r="I93" s="115"/>
      <c r="J93" s="115"/>
      <c r="K93" s="115"/>
      <c r="L93" s="115"/>
      <c r="M93" s="115"/>
      <c r="N93" s="115"/>
      <c r="O93" s="115"/>
      <c r="P93" s="115"/>
      <c r="Q93" s="115"/>
      <c r="R93" s="115"/>
    </row>
    <row r="94" spans="1:18" x14ac:dyDescent="0.25">
      <c r="A94" s="157"/>
      <c r="B94" s="122"/>
      <c r="C94" s="126"/>
      <c r="D94" s="128"/>
      <c r="E94" s="117"/>
      <c r="F94" s="131"/>
      <c r="G94" s="131"/>
      <c r="H94" s="59" t="s">
        <v>149</v>
      </c>
      <c r="I94" s="115"/>
      <c r="J94" s="115"/>
      <c r="K94" s="115"/>
      <c r="L94" s="115"/>
      <c r="M94" s="115"/>
      <c r="N94" s="115"/>
      <c r="O94" s="115"/>
      <c r="P94" s="115"/>
      <c r="Q94" s="115"/>
      <c r="R94" s="115"/>
    </row>
    <row r="95" spans="1:18" x14ac:dyDescent="0.25">
      <c r="A95" s="161" t="s">
        <v>22</v>
      </c>
      <c r="B95" s="124" t="str">
        <f>VLOOKUP(A95,Rules!$B$8:$C$154,2,0)</f>
        <v>Jeana</v>
      </c>
      <c r="C95" s="125">
        <f>SUM(I96:XX96)</f>
        <v>0</v>
      </c>
      <c r="D95" s="127"/>
      <c r="E95" s="116" t="s">
        <v>492</v>
      </c>
      <c r="F95" s="130">
        <f>VLOOKUP(A95,Table2[],10,0)</f>
        <v>6</v>
      </c>
      <c r="G95" s="130"/>
      <c r="H95" s="56" t="s">
        <v>440</v>
      </c>
      <c r="I95" s="115"/>
      <c r="J95" s="115"/>
      <c r="K95" s="115"/>
      <c r="L95" s="115"/>
      <c r="M95" s="115"/>
      <c r="N95" s="115"/>
      <c r="O95" s="115"/>
      <c r="P95" s="115"/>
      <c r="Q95" s="115"/>
      <c r="R95" s="115"/>
    </row>
    <row r="96" spans="1:18" x14ac:dyDescent="0.25">
      <c r="A96" s="157"/>
      <c r="B96" s="122"/>
      <c r="C96" s="126"/>
      <c r="D96" s="128"/>
      <c r="E96" s="117"/>
      <c r="F96" s="131"/>
      <c r="G96" s="131"/>
      <c r="H96" s="57" t="s">
        <v>439</v>
      </c>
      <c r="I96" s="115"/>
      <c r="J96" s="115"/>
      <c r="K96" s="115"/>
      <c r="L96" s="115"/>
      <c r="M96" s="115"/>
      <c r="N96" s="115"/>
      <c r="O96" s="115"/>
      <c r="P96" s="115"/>
      <c r="Q96" s="115"/>
      <c r="R96" s="115"/>
    </row>
    <row r="97" spans="1:18" x14ac:dyDescent="0.25">
      <c r="A97" s="157"/>
      <c r="B97" s="122"/>
      <c r="C97" s="126"/>
      <c r="D97" s="128"/>
      <c r="E97" s="117" t="s">
        <v>493</v>
      </c>
      <c r="F97" s="131"/>
      <c r="G97" s="131"/>
      <c r="H97" s="58" t="s">
        <v>438</v>
      </c>
      <c r="I97" s="115"/>
      <c r="J97" s="115"/>
      <c r="K97" s="115"/>
      <c r="L97" s="115"/>
      <c r="M97" s="115"/>
      <c r="N97" s="115"/>
      <c r="O97" s="115"/>
      <c r="P97" s="115"/>
      <c r="Q97" s="115"/>
      <c r="R97" s="115"/>
    </row>
    <row r="98" spans="1:18" x14ac:dyDescent="0.25">
      <c r="A98" s="157"/>
      <c r="B98" s="122"/>
      <c r="C98" s="126"/>
      <c r="D98" s="128"/>
      <c r="E98" s="117"/>
      <c r="F98" s="131"/>
      <c r="G98" s="131"/>
      <c r="H98" s="59" t="s">
        <v>149</v>
      </c>
      <c r="I98" s="115"/>
      <c r="J98" s="115"/>
      <c r="K98" s="115"/>
      <c r="L98" s="115"/>
      <c r="M98" s="115"/>
      <c r="N98" s="115"/>
      <c r="O98" s="115"/>
      <c r="P98" s="115"/>
      <c r="Q98" s="115"/>
      <c r="R98" s="115"/>
    </row>
    <row r="99" spans="1:18" x14ac:dyDescent="0.25">
      <c r="A99" s="161" t="s">
        <v>23</v>
      </c>
      <c r="B99" s="124" t="str">
        <f>VLOOKUP(A99,Rules!$B$8:$C$154,2,0)</f>
        <v>Jeana</v>
      </c>
      <c r="C99" s="125">
        <f>SUM(I100:XX100)</f>
        <v>0</v>
      </c>
      <c r="D99" s="127"/>
      <c r="E99" s="116" t="s">
        <v>492</v>
      </c>
      <c r="F99" s="130">
        <f>VLOOKUP(A99,Table2[],10,0)</f>
        <v>6</v>
      </c>
      <c r="G99" s="130"/>
      <c r="H99" s="56" t="s">
        <v>440</v>
      </c>
      <c r="I99" s="115"/>
      <c r="J99" s="115"/>
      <c r="K99" s="115"/>
      <c r="L99" s="115"/>
      <c r="M99" s="115"/>
      <c r="N99" s="115"/>
      <c r="O99" s="115"/>
      <c r="P99" s="115"/>
      <c r="Q99" s="115"/>
      <c r="R99" s="115"/>
    </row>
    <row r="100" spans="1:18" x14ac:dyDescent="0.25">
      <c r="A100" s="157"/>
      <c r="B100" s="122"/>
      <c r="C100" s="126"/>
      <c r="D100" s="128"/>
      <c r="E100" s="117"/>
      <c r="F100" s="131"/>
      <c r="G100" s="131"/>
      <c r="H100" s="57" t="s">
        <v>439</v>
      </c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</row>
    <row r="101" spans="1:18" x14ac:dyDescent="0.25">
      <c r="A101" s="157"/>
      <c r="B101" s="122"/>
      <c r="C101" s="126"/>
      <c r="D101" s="128"/>
      <c r="E101" s="117" t="s">
        <v>493</v>
      </c>
      <c r="F101" s="131"/>
      <c r="G101" s="131"/>
      <c r="H101" s="58" t="s">
        <v>438</v>
      </c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</row>
    <row r="102" spans="1:18" x14ac:dyDescent="0.25">
      <c r="A102" s="157"/>
      <c r="B102" s="122"/>
      <c r="C102" s="126"/>
      <c r="D102" s="128"/>
      <c r="E102" s="117"/>
      <c r="F102" s="131"/>
      <c r="G102" s="131"/>
      <c r="H102" s="59" t="s">
        <v>149</v>
      </c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</row>
    <row r="103" spans="1:18" x14ac:dyDescent="0.25">
      <c r="A103" s="161" t="s">
        <v>24</v>
      </c>
      <c r="B103" s="124" t="str">
        <f>VLOOKUP(A103,Rules!$B$8:$C$154,2,0)</f>
        <v>Jeana</v>
      </c>
      <c r="C103" s="125">
        <f>SUM(I104:XX104)</f>
        <v>0</v>
      </c>
      <c r="D103" s="127"/>
      <c r="E103" s="116" t="s">
        <v>492</v>
      </c>
      <c r="F103" s="130">
        <f>VLOOKUP(A103,Table2[],10,0)</f>
        <v>6</v>
      </c>
      <c r="G103" s="130"/>
      <c r="H103" s="56" t="s">
        <v>440</v>
      </c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</row>
    <row r="104" spans="1:18" x14ac:dyDescent="0.25">
      <c r="A104" s="157"/>
      <c r="B104" s="122"/>
      <c r="C104" s="126"/>
      <c r="D104" s="128"/>
      <c r="E104" s="117"/>
      <c r="F104" s="131"/>
      <c r="G104" s="165"/>
      <c r="H104" s="57" t="s">
        <v>439</v>
      </c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</row>
    <row r="105" spans="1:18" x14ac:dyDescent="0.25">
      <c r="A105" s="157"/>
      <c r="B105" s="122"/>
      <c r="C105" s="126"/>
      <c r="D105" s="128"/>
      <c r="E105" s="117" t="s">
        <v>493</v>
      </c>
      <c r="F105" s="131"/>
      <c r="G105" s="131"/>
      <c r="H105" s="58" t="s">
        <v>438</v>
      </c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</row>
    <row r="106" spans="1:18" x14ac:dyDescent="0.25">
      <c r="A106" s="157"/>
      <c r="B106" s="122"/>
      <c r="C106" s="126"/>
      <c r="D106" s="128"/>
      <c r="E106" s="117"/>
      <c r="F106" s="131"/>
      <c r="G106" s="131"/>
      <c r="H106" s="59" t="s">
        <v>149</v>
      </c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</row>
    <row r="107" spans="1:18" x14ac:dyDescent="0.25">
      <c r="A107" s="161" t="s">
        <v>25</v>
      </c>
      <c r="B107" s="124" t="str">
        <f>VLOOKUP(A107,Rules!$B$8:$C$154,2,0)</f>
        <v>Jeana</v>
      </c>
      <c r="C107" s="125">
        <f>SUM(I108:XX108)</f>
        <v>0</v>
      </c>
      <c r="D107" s="127"/>
      <c r="E107" s="116" t="s">
        <v>492</v>
      </c>
      <c r="F107" s="130">
        <f>VLOOKUP(A107,Table2[],10,0)</f>
        <v>6</v>
      </c>
      <c r="G107" s="130"/>
      <c r="H107" s="56" t="s">
        <v>440</v>
      </c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</row>
    <row r="108" spans="1:18" x14ac:dyDescent="0.25">
      <c r="A108" s="157"/>
      <c r="B108" s="122"/>
      <c r="C108" s="126"/>
      <c r="D108" s="128"/>
      <c r="E108" s="117"/>
      <c r="F108" s="131"/>
      <c r="G108" s="131"/>
      <c r="H108" s="57" t="s">
        <v>439</v>
      </c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</row>
    <row r="109" spans="1:18" x14ac:dyDescent="0.25">
      <c r="A109" s="157"/>
      <c r="B109" s="122"/>
      <c r="C109" s="126"/>
      <c r="D109" s="128"/>
      <c r="E109" s="117" t="s">
        <v>493</v>
      </c>
      <c r="F109" s="131"/>
      <c r="G109" s="131"/>
      <c r="H109" s="58" t="s">
        <v>438</v>
      </c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</row>
    <row r="110" spans="1:18" x14ac:dyDescent="0.25">
      <c r="A110" s="157"/>
      <c r="B110" s="122"/>
      <c r="C110" s="126"/>
      <c r="D110" s="128"/>
      <c r="E110" s="117"/>
      <c r="F110" s="131"/>
      <c r="G110" s="131"/>
      <c r="H110" s="59" t="s">
        <v>149</v>
      </c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</row>
    <row r="111" spans="1:18" x14ac:dyDescent="0.25">
      <c r="A111" s="161" t="s">
        <v>26</v>
      </c>
      <c r="B111" s="124" t="str">
        <f>VLOOKUP(A111,Rules!$B$8:$C$154,2,0)</f>
        <v>Jeana</v>
      </c>
      <c r="C111" s="125">
        <f>SUM(I112:XX112)</f>
        <v>0</v>
      </c>
      <c r="D111" s="127"/>
      <c r="E111" s="116" t="s">
        <v>492</v>
      </c>
      <c r="F111" s="130">
        <f>VLOOKUP(A111,Table2[],10,0)</f>
        <v>6</v>
      </c>
      <c r="G111" s="130"/>
      <c r="H111" s="56" t="s">
        <v>440</v>
      </c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</row>
    <row r="112" spans="1:18" x14ac:dyDescent="0.25">
      <c r="A112" s="157"/>
      <c r="B112" s="122"/>
      <c r="C112" s="126"/>
      <c r="D112" s="128"/>
      <c r="E112" s="117"/>
      <c r="F112" s="131"/>
      <c r="G112" s="131"/>
      <c r="H112" s="57" t="s">
        <v>439</v>
      </c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</row>
    <row r="113" spans="1:18" x14ac:dyDescent="0.25">
      <c r="A113" s="157"/>
      <c r="B113" s="122"/>
      <c r="C113" s="126"/>
      <c r="D113" s="128"/>
      <c r="E113" s="117" t="s">
        <v>493</v>
      </c>
      <c r="F113" s="131"/>
      <c r="G113" s="131"/>
      <c r="H113" s="58" t="s">
        <v>438</v>
      </c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</row>
    <row r="114" spans="1:18" x14ac:dyDescent="0.25">
      <c r="A114" s="157"/>
      <c r="B114" s="122"/>
      <c r="C114" s="126"/>
      <c r="D114" s="128"/>
      <c r="E114" s="117"/>
      <c r="F114" s="131"/>
      <c r="G114" s="131"/>
      <c r="H114" s="59" t="s">
        <v>149</v>
      </c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</row>
    <row r="115" spans="1:18" ht="15.75" hidden="1" customHeight="1" thickBot="1" x14ac:dyDescent="0.25">
      <c r="A115" s="161" t="s">
        <v>27</v>
      </c>
      <c r="B115" s="124" t="str">
        <f>VLOOKUP(A115,Rules!$B$8:$C$154,2,0)</f>
        <v>Jeana</v>
      </c>
      <c r="C115" s="125">
        <f>SUM(I116:XX116)</f>
        <v>0</v>
      </c>
      <c r="D115" s="127"/>
      <c r="E115" s="116" t="s">
        <v>492</v>
      </c>
      <c r="F115" s="130">
        <f>VLOOKUP(A115,Table2[],10,0)</f>
        <v>6</v>
      </c>
      <c r="G115" s="130"/>
      <c r="H115" s="56" t="s">
        <v>440</v>
      </c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</row>
    <row r="116" spans="1:18" ht="15.75" hidden="1" customHeight="1" thickBot="1" x14ac:dyDescent="0.25">
      <c r="A116" s="157"/>
      <c r="B116" s="122"/>
      <c r="C116" s="126"/>
      <c r="D116" s="128"/>
      <c r="E116" s="117"/>
      <c r="F116" s="131"/>
      <c r="G116" s="131"/>
      <c r="H116" s="57" t="s">
        <v>439</v>
      </c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</row>
    <row r="117" spans="1:18" ht="15.75" hidden="1" customHeight="1" thickBot="1" x14ac:dyDescent="0.25">
      <c r="A117" s="157"/>
      <c r="B117" s="122"/>
      <c r="C117" s="126"/>
      <c r="D117" s="128"/>
      <c r="E117" s="117" t="s">
        <v>493</v>
      </c>
      <c r="F117" s="131"/>
      <c r="G117" s="131"/>
      <c r="H117" s="58" t="s">
        <v>438</v>
      </c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</row>
    <row r="118" spans="1:18" ht="15.75" hidden="1" customHeight="1" thickBot="1" x14ac:dyDescent="0.25">
      <c r="A118" s="157"/>
      <c r="B118" s="122"/>
      <c r="C118" s="126"/>
      <c r="D118" s="128"/>
      <c r="E118" s="117"/>
      <c r="F118" s="131"/>
      <c r="G118" s="131"/>
      <c r="H118" s="59" t="s">
        <v>149</v>
      </c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</row>
    <row r="119" spans="1:18" ht="15.75" hidden="1" customHeight="1" thickBot="1" x14ac:dyDescent="0.25">
      <c r="A119" s="161" t="s">
        <v>28</v>
      </c>
      <c r="B119" s="124" t="str">
        <f>VLOOKUP(A119,Rules!$B$8:$C$154,2,0)</f>
        <v>Jeana</v>
      </c>
      <c r="C119" s="125">
        <f>SUM(I120:XX120)</f>
        <v>0</v>
      </c>
      <c r="D119" s="127"/>
      <c r="E119" s="116" t="s">
        <v>492</v>
      </c>
      <c r="F119" s="130">
        <f>VLOOKUP(A119,Table2[],10,0)</f>
        <v>6</v>
      </c>
      <c r="G119" s="130"/>
      <c r="H119" s="56" t="s">
        <v>440</v>
      </c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</row>
    <row r="120" spans="1:18" ht="15.75" hidden="1" customHeight="1" thickBot="1" x14ac:dyDescent="0.25">
      <c r="A120" s="157"/>
      <c r="B120" s="122"/>
      <c r="C120" s="126"/>
      <c r="D120" s="128"/>
      <c r="E120" s="117"/>
      <c r="F120" s="131"/>
      <c r="G120" s="131"/>
      <c r="H120" s="57" t="s">
        <v>439</v>
      </c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</row>
    <row r="121" spans="1:18" ht="15.75" hidden="1" customHeight="1" thickBot="1" x14ac:dyDescent="0.25">
      <c r="A121" s="157"/>
      <c r="B121" s="122"/>
      <c r="C121" s="126"/>
      <c r="D121" s="128"/>
      <c r="E121" s="117" t="s">
        <v>493</v>
      </c>
      <c r="F121" s="131"/>
      <c r="G121" s="131"/>
      <c r="H121" s="58" t="s">
        <v>438</v>
      </c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</row>
    <row r="122" spans="1:18" ht="15.75" hidden="1" customHeight="1" thickBot="1" x14ac:dyDescent="0.25">
      <c r="A122" s="157"/>
      <c r="B122" s="122"/>
      <c r="C122" s="126"/>
      <c r="D122" s="128"/>
      <c r="E122" s="117"/>
      <c r="F122" s="131"/>
      <c r="G122" s="131"/>
      <c r="H122" s="59" t="s">
        <v>149</v>
      </c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</row>
    <row r="123" spans="1:18" x14ac:dyDescent="0.25">
      <c r="A123" s="161" t="s">
        <v>29</v>
      </c>
      <c r="B123" s="124" t="str">
        <f>VLOOKUP(A123,Rules!$B$8:$C$154,2,0)</f>
        <v>Jeana</v>
      </c>
      <c r="C123" s="125">
        <f>SUM(I124:XX124)</f>
        <v>0</v>
      </c>
      <c r="D123" s="127"/>
      <c r="E123" s="116" t="s">
        <v>492</v>
      </c>
      <c r="F123" s="130">
        <f>VLOOKUP(A123,Table2[],10,0)</f>
        <v>6</v>
      </c>
      <c r="G123" s="130"/>
      <c r="H123" s="56" t="s">
        <v>440</v>
      </c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</row>
    <row r="124" spans="1:18" x14ac:dyDescent="0.25">
      <c r="A124" s="157"/>
      <c r="B124" s="122"/>
      <c r="C124" s="126"/>
      <c r="D124" s="128"/>
      <c r="E124" s="117"/>
      <c r="F124" s="131"/>
      <c r="G124" s="131"/>
      <c r="H124" s="57" t="s">
        <v>439</v>
      </c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</row>
    <row r="125" spans="1:18" x14ac:dyDescent="0.25">
      <c r="A125" s="157"/>
      <c r="B125" s="122"/>
      <c r="C125" s="126"/>
      <c r="D125" s="128"/>
      <c r="E125" s="117" t="s">
        <v>493</v>
      </c>
      <c r="F125" s="131"/>
      <c r="G125" s="131"/>
      <c r="H125" s="58" t="s">
        <v>438</v>
      </c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</row>
    <row r="126" spans="1:18" x14ac:dyDescent="0.25">
      <c r="A126" s="157"/>
      <c r="B126" s="122"/>
      <c r="C126" s="126"/>
      <c r="D126" s="128"/>
      <c r="E126" s="117"/>
      <c r="F126" s="131"/>
      <c r="G126" s="131"/>
      <c r="H126" s="59" t="s">
        <v>149</v>
      </c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</row>
    <row r="127" spans="1:18" x14ac:dyDescent="0.25">
      <c r="A127" s="161" t="s">
        <v>30</v>
      </c>
      <c r="B127" s="124" t="str">
        <f>VLOOKUP(A127,Rules!$B$8:$C$154,2,0)</f>
        <v>Jeana</v>
      </c>
      <c r="C127" s="125">
        <f>SUM(I128:XX128)</f>
        <v>0</v>
      </c>
      <c r="D127" s="127"/>
      <c r="E127" s="116" t="s">
        <v>492</v>
      </c>
      <c r="F127" s="130">
        <f>VLOOKUP(A127,Table2[],10,0)</f>
        <v>6</v>
      </c>
      <c r="G127" s="130"/>
      <c r="H127" s="56" t="s">
        <v>440</v>
      </c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</row>
    <row r="128" spans="1:18" x14ac:dyDescent="0.25">
      <c r="A128" s="157"/>
      <c r="B128" s="122"/>
      <c r="C128" s="126"/>
      <c r="D128" s="128"/>
      <c r="E128" s="117"/>
      <c r="F128" s="131"/>
      <c r="G128" s="131"/>
      <c r="H128" s="57" t="s">
        <v>439</v>
      </c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</row>
    <row r="129" spans="1:18" x14ac:dyDescent="0.25">
      <c r="A129" s="157"/>
      <c r="B129" s="122"/>
      <c r="C129" s="126"/>
      <c r="D129" s="128"/>
      <c r="E129" s="117" t="s">
        <v>493</v>
      </c>
      <c r="F129" s="131"/>
      <c r="G129" s="131"/>
      <c r="H129" s="58" t="s">
        <v>438</v>
      </c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</row>
    <row r="130" spans="1:18" x14ac:dyDescent="0.25">
      <c r="A130" s="157"/>
      <c r="B130" s="122"/>
      <c r="C130" s="126"/>
      <c r="D130" s="128"/>
      <c r="E130" s="117"/>
      <c r="F130" s="131"/>
      <c r="G130" s="131"/>
      <c r="H130" s="59" t="s">
        <v>149</v>
      </c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</row>
    <row r="131" spans="1:18" ht="15.75" hidden="1" customHeight="1" thickBot="1" x14ac:dyDescent="0.25">
      <c r="A131" s="161" t="s">
        <v>31</v>
      </c>
      <c r="B131" s="124" t="str">
        <f>VLOOKUP(A131,Rules!$B$8:$C$154,2,0)</f>
        <v>Jeana</v>
      </c>
      <c r="C131" s="125">
        <f>SUM(I132:XX132)</f>
        <v>0</v>
      </c>
      <c r="D131" s="127"/>
      <c r="E131" s="116" t="s">
        <v>492</v>
      </c>
      <c r="F131" s="130">
        <f>VLOOKUP(A131,Table2[],10,0)</f>
        <v>6</v>
      </c>
      <c r="G131" s="130"/>
      <c r="H131" s="56" t="s">
        <v>440</v>
      </c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</row>
    <row r="132" spans="1:18" ht="15.75" hidden="1" customHeight="1" thickBot="1" x14ac:dyDescent="0.25">
      <c r="A132" s="157"/>
      <c r="B132" s="122"/>
      <c r="C132" s="126"/>
      <c r="D132" s="128"/>
      <c r="E132" s="117"/>
      <c r="F132" s="131"/>
      <c r="G132" s="131"/>
      <c r="H132" s="57" t="s">
        <v>439</v>
      </c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</row>
    <row r="133" spans="1:18" ht="15.75" hidden="1" customHeight="1" thickBot="1" x14ac:dyDescent="0.25">
      <c r="A133" s="157"/>
      <c r="B133" s="122"/>
      <c r="C133" s="126"/>
      <c r="D133" s="128"/>
      <c r="E133" s="117" t="s">
        <v>493</v>
      </c>
      <c r="F133" s="131"/>
      <c r="G133" s="131"/>
      <c r="H133" s="58" t="s">
        <v>438</v>
      </c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</row>
    <row r="134" spans="1:18" ht="15.75" hidden="1" customHeight="1" thickBot="1" x14ac:dyDescent="0.25">
      <c r="A134" s="157"/>
      <c r="B134" s="122"/>
      <c r="C134" s="126"/>
      <c r="D134" s="128"/>
      <c r="E134" s="117"/>
      <c r="F134" s="131"/>
      <c r="G134" s="131"/>
      <c r="H134" s="59" t="s">
        <v>149</v>
      </c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</row>
    <row r="135" spans="1:18" x14ac:dyDescent="0.25">
      <c r="A135" s="161" t="s">
        <v>32</v>
      </c>
      <c r="B135" s="124" t="str">
        <f>VLOOKUP(A135,Rules!$B$8:$C$154,2,0)</f>
        <v>Jeana</v>
      </c>
      <c r="C135" s="125">
        <f>SUM(I136:XX136)</f>
        <v>0</v>
      </c>
      <c r="D135" s="127"/>
      <c r="E135" s="116" t="s">
        <v>492</v>
      </c>
      <c r="F135" s="130">
        <f>VLOOKUP(A135,Table2[],10,0)</f>
        <v>6</v>
      </c>
      <c r="G135" s="130"/>
      <c r="H135" s="56" t="s">
        <v>440</v>
      </c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</row>
    <row r="136" spans="1:18" x14ac:dyDescent="0.25">
      <c r="A136" s="157"/>
      <c r="B136" s="122"/>
      <c r="C136" s="126"/>
      <c r="D136" s="128"/>
      <c r="E136" s="117"/>
      <c r="F136" s="131"/>
      <c r="G136" s="131"/>
      <c r="H136" s="57" t="s">
        <v>439</v>
      </c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</row>
    <row r="137" spans="1:18" x14ac:dyDescent="0.25">
      <c r="A137" s="157"/>
      <c r="B137" s="122"/>
      <c r="C137" s="126"/>
      <c r="D137" s="128"/>
      <c r="E137" s="117" t="s">
        <v>493</v>
      </c>
      <c r="F137" s="131"/>
      <c r="G137" s="131"/>
      <c r="H137" s="58" t="s">
        <v>438</v>
      </c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</row>
    <row r="138" spans="1:18" x14ac:dyDescent="0.25">
      <c r="A138" s="157"/>
      <c r="B138" s="122"/>
      <c r="C138" s="126"/>
      <c r="D138" s="128"/>
      <c r="E138" s="117"/>
      <c r="F138" s="131"/>
      <c r="G138" s="131"/>
      <c r="H138" s="59" t="s">
        <v>149</v>
      </c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</row>
    <row r="139" spans="1:18" x14ac:dyDescent="0.25">
      <c r="A139" s="161" t="s">
        <v>33</v>
      </c>
      <c r="B139" s="124" t="str">
        <f>VLOOKUP(A139,Rules!$B$8:$C$154,2,0)</f>
        <v>Jeana</v>
      </c>
      <c r="C139" s="125">
        <f>SUM(I140:XX140)</f>
        <v>0</v>
      </c>
      <c r="D139" s="127"/>
      <c r="E139" s="116" t="s">
        <v>492</v>
      </c>
      <c r="F139" s="130">
        <f>VLOOKUP(A139,Table2[],10,0)</f>
        <v>6</v>
      </c>
      <c r="G139" s="130"/>
      <c r="H139" s="56" t="s">
        <v>440</v>
      </c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</row>
    <row r="140" spans="1:18" x14ac:dyDescent="0.25">
      <c r="A140" s="157"/>
      <c r="B140" s="122"/>
      <c r="C140" s="126"/>
      <c r="D140" s="128"/>
      <c r="E140" s="117"/>
      <c r="F140" s="131"/>
      <c r="G140" s="131"/>
      <c r="H140" s="57" t="s">
        <v>439</v>
      </c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</row>
    <row r="141" spans="1:18" x14ac:dyDescent="0.25">
      <c r="A141" s="157"/>
      <c r="B141" s="122"/>
      <c r="C141" s="126"/>
      <c r="D141" s="128"/>
      <c r="E141" s="117" t="s">
        <v>493</v>
      </c>
      <c r="F141" s="131"/>
      <c r="G141" s="131"/>
      <c r="H141" s="58" t="s">
        <v>438</v>
      </c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</row>
    <row r="142" spans="1:18" x14ac:dyDescent="0.25">
      <c r="A142" s="157"/>
      <c r="B142" s="122"/>
      <c r="C142" s="126"/>
      <c r="D142" s="128"/>
      <c r="E142" s="117"/>
      <c r="F142" s="131"/>
      <c r="G142" s="131"/>
      <c r="H142" s="59" t="s">
        <v>149</v>
      </c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</row>
    <row r="143" spans="1:18" x14ac:dyDescent="0.25">
      <c r="A143" s="161" t="s">
        <v>34</v>
      </c>
      <c r="B143" s="124" t="str">
        <f>VLOOKUP(A143,Rules!$B$8:$C$154,2,0)</f>
        <v>Jeana</v>
      </c>
      <c r="C143" s="125">
        <f>SUM(I144:XX144)</f>
        <v>0</v>
      </c>
      <c r="D143" s="127"/>
      <c r="E143" s="116" t="s">
        <v>492</v>
      </c>
      <c r="F143" s="130">
        <f>VLOOKUP(A143,Table2[],10,0)</f>
        <v>6</v>
      </c>
      <c r="G143" s="130"/>
      <c r="H143" s="56" t="s">
        <v>440</v>
      </c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</row>
    <row r="144" spans="1:18" x14ac:dyDescent="0.25">
      <c r="A144" s="157"/>
      <c r="B144" s="122"/>
      <c r="C144" s="126"/>
      <c r="D144" s="128"/>
      <c r="E144" s="117"/>
      <c r="F144" s="131"/>
      <c r="G144" s="131"/>
      <c r="H144" s="57" t="s">
        <v>439</v>
      </c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</row>
    <row r="145" spans="1:18" x14ac:dyDescent="0.25">
      <c r="A145" s="157"/>
      <c r="B145" s="122"/>
      <c r="C145" s="126"/>
      <c r="D145" s="128"/>
      <c r="E145" s="117" t="s">
        <v>493</v>
      </c>
      <c r="F145" s="131"/>
      <c r="G145" s="131"/>
      <c r="H145" s="58" t="s">
        <v>438</v>
      </c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</row>
    <row r="146" spans="1:18" x14ac:dyDescent="0.25">
      <c r="A146" s="157"/>
      <c r="B146" s="122"/>
      <c r="C146" s="126"/>
      <c r="D146" s="128"/>
      <c r="E146" s="117"/>
      <c r="F146" s="131"/>
      <c r="G146" s="131"/>
      <c r="H146" s="59" t="s">
        <v>149</v>
      </c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</row>
    <row r="147" spans="1:18" x14ac:dyDescent="0.25">
      <c r="A147" s="161" t="s">
        <v>35</v>
      </c>
      <c r="B147" s="124" t="str">
        <f>VLOOKUP(A147,Rules!$B$8:$C$154,2,0)</f>
        <v>Jeana</v>
      </c>
      <c r="C147" s="125">
        <f>SUM(I148:XX148)</f>
        <v>0</v>
      </c>
      <c r="D147" s="127"/>
      <c r="E147" s="116" t="s">
        <v>492</v>
      </c>
      <c r="F147" s="130">
        <f>VLOOKUP(A147,Table2[],10,0)</f>
        <v>6</v>
      </c>
      <c r="G147" s="130"/>
      <c r="H147" s="56" t="s">
        <v>440</v>
      </c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</row>
    <row r="148" spans="1:18" x14ac:dyDescent="0.25">
      <c r="A148" s="157"/>
      <c r="B148" s="122"/>
      <c r="C148" s="126"/>
      <c r="D148" s="128"/>
      <c r="E148" s="117"/>
      <c r="F148" s="131"/>
      <c r="G148" s="131"/>
      <c r="H148" s="57" t="s">
        <v>439</v>
      </c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</row>
    <row r="149" spans="1:18" x14ac:dyDescent="0.25">
      <c r="A149" s="157"/>
      <c r="B149" s="122"/>
      <c r="C149" s="126"/>
      <c r="D149" s="128"/>
      <c r="E149" s="117" t="s">
        <v>493</v>
      </c>
      <c r="F149" s="131"/>
      <c r="G149" s="131"/>
      <c r="H149" s="58" t="s">
        <v>438</v>
      </c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</row>
    <row r="150" spans="1:18" x14ac:dyDescent="0.25">
      <c r="A150" s="157"/>
      <c r="B150" s="122"/>
      <c r="C150" s="126"/>
      <c r="D150" s="128"/>
      <c r="E150" s="117"/>
      <c r="F150" s="131"/>
      <c r="G150" s="131"/>
      <c r="H150" s="59" t="s">
        <v>149</v>
      </c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</row>
    <row r="151" spans="1:18" x14ac:dyDescent="0.25">
      <c r="A151" s="161" t="s">
        <v>36</v>
      </c>
      <c r="B151" s="124" t="str">
        <f>VLOOKUP(A151,Rules!$B$8:$C$154,2,0)</f>
        <v>Kim</v>
      </c>
      <c r="C151" s="125">
        <f>SUM(I152:XX152)</f>
        <v>0</v>
      </c>
      <c r="D151" s="127"/>
      <c r="E151" s="116" t="s">
        <v>492</v>
      </c>
      <c r="F151" s="130">
        <f>VLOOKUP(A151,Table2[],10,0)</f>
        <v>6</v>
      </c>
      <c r="G151" s="130"/>
      <c r="H151" s="56" t="s">
        <v>440</v>
      </c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</row>
    <row r="152" spans="1:18" x14ac:dyDescent="0.25">
      <c r="A152" s="157"/>
      <c r="B152" s="122"/>
      <c r="C152" s="126"/>
      <c r="D152" s="128"/>
      <c r="E152" s="117"/>
      <c r="F152" s="131"/>
      <c r="G152" s="131"/>
      <c r="H152" s="57" t="s">
        <v>439</v>
      </c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</row>
    <row r="153" spans="1:18" x14ac:dyDescent="0.25">
      <c r="A153" s="157"/>
      <c r="B153" s="122"/>
      <c r="C153" s="126"/>
      <c r="D153" s="128"/>
      <c r="E153" s="117" t="s">
        <v>493</v>
      </c>
      <c r="F153" s="131"/>
      <c r="G153" s="131"/>
      <c r="H153" s="58" t="s">
        <v>438</v>
      </c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</row>
    <row r="154" spans="1:18" x14ac:dyDescent="0.25">
      <c r="A154" s="157"/>
      <c r="B154" s="122"/>
      <c r="C154" s="126"/>
      <c r="D154" s="128"/>
      <c r="E154" s="117"/>
      <c r="F154" s="131"/>
      <c r="G154" s="131"/>
      <c r="H154" s="59" t="s">
        <v>149</v>
      </c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</row>
    <row r="155" spans="1:18" x14ac:dyDescent="0.25">
      <c r="A155" s="161" t="s">
        <v>37</v>
      </c>
      <c r="B155" s="124" t="str">
        <f>VLOOKUP(A155,Rules!$B$8:$C$154,2,0)</f>
        <v>Kim</v>
      </c>
      <c r="C155" s="125">
        <f>SUM(I156:XX156)</f>
        <v>0</v>
      </c>
      <c r="D155" s="127"/>
      <c r="E155" s="116" t="s">
        <v>492</v>
      </c>
      <c r="F155" s="130">
        <f>VLOOKUP(A155,Table2[],10,0)</f>
        <v>6</v>
      </c>
      <c r="G155" s="130"/>
      <c r="H155" s="56" t="s">
        <v>440</v>
      </c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</row>
    <row r="156" spans="1:18" x14ac:dyDescent="0.25">
      <c r="A156" s="157"/>
      <c r="B156" s="122"/>
      <c r="C156" s="126"/>
      <c r="D156" s="128"/>
      <c r="E156" s="117"/>
      <c r="F156" s="131"/>
      <c r="G156" s="131"/>
      <c r="H156" s="57" t="s">
        <v>439</v>
      </c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</row>
    <row r="157" spans="1:18" x14ac:dyDescent="0.25">
      <c r="A157" s="157"/>
      <c r="B157" s="122"/>
      <c r="C157" s="126"/>
      <c r="D157" s="128"/>
      <c r="E157" s="117" t="s">
        <v>493</v>
      </c>
      <c r="F157" s="131"/>
      <c r="G157" s="131"/>
      <c r="H157" s="58" t="s">
        <v>438</v>
      </c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</row>
    <row r="158" spans="1:18" x14ac:dyDescent="0.25">
      <c r="A158" s="157"/>
      <c r="B158" s="122"/>
      <c r="C158" s="126"/>
      <c r="D158" s="128"/>
      <c r="E158" s="117"/>
      <c r="F158" s="131"/>
      <c r="G158" s="131"/>
      <c r="H158" s="59" t="s">
        <v>149</v>
      </c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</row>
    <row r="159" spans="1:18" x14ac:dyDescent="0.25">
      <c r="A159" s="161" t="s">
        <v>38</v>
      </c>
      <c r="B159" s="124" t="str">
        <f>VLOOKUP(A159,Rules!$B$8:$C$154,2,0)</f>
        <v>Milly</v>
      </c>
      <c r="C159" s="125">
        <f>SUM(I160:XX160)</f>
        <v>0</v>
      </c>
      <c r="D159" s="127"/>
      <c r="E159" s="116" t="s">
        <v>492</v>
      </c>
      <c r="F159" s="130">
        <f>VLOOKUP(A159,Table2[],10,0)</f>
        <v>6</v>
      </c>
      <c r="G159" s="130"/>
      <c r="H159" s="56" t="s">
        <v>440</v>
      </c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</row>
    <row r="160" spans="1:18" x14ac:dyDescent="0.25">
      <c r="A160" s="157"/>
      <c r="B160" s="122"/>
      <c r="C160" s="126"/>
      <c r="D160" s="128"/>
      <c r="E160" s="117"/>
      <c r="F160" s="131"/>
      <c r="G160" s="131"/>
      <c r="H160" s="57" t="s">
        <v>439</v>
      </c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</row>
    <row r="161" spans="1:18" x14ac:dyDescent="0.25">
      <c r="A161" s="157"/>
      <c r="B161" s="122"/>
      <c r="C161" s="126"/>
      <c r="D161" s="128"/>
      <c r="E161" s="117" t="s">
        <v>493</v>
      </c>
      <c r="F161" s="131"/>
      <c r="G161" s="131"/>
      <c r="H161" s="58" t="s">
        <v>438</v>
      </c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</row>
    <row r="162" spans="1:18" x14ac:dyDescent="0.25">
      <c r="A162" s="157"/>
      <c r="B162" s="122"/>
      <c r="C162" s="126"/>
      <c r="D162" s="128"/>
      <c r="E162" s="117"/>
      <c r="F162" s="131"/>
      <c r="G162" s="131"/>
      <c r="H162" s="59" t="s">
        <v>149</v>
      </c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</row>
    <row r="163" spans="1:18" x14ac:dyDescent="0.25">
      <c r="A163" s="161" t="s">
        <v>39</v>
      </c>
      <c r="B163" s="124" t="str">
        <f>VLOOKUP(A163,Rules!$B$8:$C$154,2,0)</f>
        <v>Kim</v>
      </c>
      <c r="C163" s="125">
        <f>SUM(I164:XX164)</f>
        <v>0</v>
      </c>
      <c r="D163" s="127"/>
      <c r="E163" s="116" t="s">
        <v>492</v>
      </c>
      <c r="F163" s="130">
        <f>VLOOKUP(A163,Table2[],10,0)</f>
        <v>6</v>
      </c>
      <c r="G163" s="130"/>
      <c r="H163" s="56" t="s">
        <v>440</v>
      </c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</row>
    <row r="164" spans="1:18" x14ac:dyDescent="0.25">
      <c r="A164" s="157"/>
      <c r="B164" s="122"/>
      <c r="C164" s="126"/>
      <c r="D164" s="128"/>
      <c r="E164" s="117"/>
      <c r="F164" s="131"/>
      <c r="G164" s="131"/>
      <c r="H164" s="57" t="s">
        <v>439</v>
      </c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</row>
    <row r="165" spans="1:18" x14ac:dyDescent="0.25">
      <c r="A165" s="157"/>
      <c r="B165" s="122"/>
      <c r="C165" s="126"/>
      <c r="D165" s="128"/>
      <c r="E165" s="117" t="s">
        <v>493</v>
      </c>
      <c r="F165" s="131"/>
      <c r="G165" s="131"/>
      <c r="H165" s="58" t="s">
        <v>438</v>
      </c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</row>
    <row r="166" spans="1:18" x14ac:dyDescent="0.25">
      <c r="A166" s="157"/>
      <c r="B166" s="122"/>
      <c r="C166" s="126"/>
      <c r="D166" s="128"/>
      <c r="E166" s="117"/>
      <c r="F166" s="131"/>
      <c r="G166" s="131"/>
      <c r="H166" s="59" t="s">
        <v>149</v>
      </c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</row>
    <row r="167" spans="1:18" x14ac:dyDescent="0.25">
      <c r="A167" s="161" t="s">
        <v>40</v>
      </c>
      <c r="B167" s="124" t="str">
        <f>VLOOKUP(A167,Rules!$B$8:$C$154,2,0)</f>
        <v>Kim</v>
      </c>
      <c r="C167" s="125">
        <f>SUM(I168:XX168)</f>
        <v>0</v>
      </c>
      <c r="D167" s="127"/>
      <c r="E167" s="116" t="s">
        <v>492</v>
      </c>
      <c r="F167" s="130">
        <f>VLOOKUP(A167,Table2[],10,0)</f>
        <v>6</v>
      </c>
      <c r="G167" s="130"/>
      <c r="H167" s="56" t="s">
        <v>440</v>
      </c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</row>
    <row r="168" spans="1:18" x14ac:dyDescent="0.25">
      <c r="A168" s="157"/>
      <c r="B168" s="122"/>
      <c r="C168" s="126"/>
      <c r="D168" s="128"/>
      <c r="E168" s="117"/>
      <c r="F168" s="131"/>
      <c r="G168" s="131"/>
      <c r="H168" s="57" t="s">
        <v>439</v>
      </c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</row>
    <row r="169" spans="1:18" x14ac:dyDescent="0.25">
      <c r="A169" s="157"/>
      <c r="B169" s="122"/>
      <c r="C169" s="126"/>
      <c r="D169" s="128"/>
      <c r="E169" s="117" t="s">
        <v>493</v>
      </c>
      <c r="F169" s="131"/>
      <c r="G169" s="131"/>
      <c r="H169" s="58" t="s">
        <v>438</v>
      </c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</row>
    <row r="170" spans="1:18" x14ac:dyDescent="0.25">
      <c r="A170" s="157"/>
      <c r="B170" s="122"/>
      <c r="C170" s="126"/>
      <c r="D170" s="128"/>
      <c r="E170" s="117"/>
      <c r="F170" s="131"/>
      <c r="G170" s="131"/>
      <c r="H170" s="59" t="s">
        <v>149</v>
      </c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</row>
    <row r="171" spans="1:18" x14ac:dyDescent="0.25">
      <c r="A171" s="161" t="s">
        <v>41</v>
      </c>
      <c r="B171" s="124" t="str">
        <f>VLOOKUP(A171,Rules!$B$8:$C$154,2,0)</f>
        <v>Kim</v>
      </c>
      <c r="C171" s="125">
        <f>SUM(I172:XX172)</f>
        <v>0</v>
      </c>
      <c r="D171" s="127"/>
      <c r="E171" s="116" t="s">
        <v>492</v>
      </c>
      <c r="F171" s="130">
        <f>VLOOKUP(A171,Table2[],10,0)</f>
        <v>6</v>
      </c>
      <c r="G171" s="130"/>
      <c r="H171" s="56" t="s">
        <v>440</v>
      </c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</row>
    <row r="172" spans="1:18" x14ac:dyDescent="0.25">
      <c r="A172" s="157"/>
      <c r="B172" s="122"/>
      <c r="C172" s="126"/>
      <c r="D172" s="128"/>
      <c r="E172" s="117"/>
      <c r="F172" s="131"/>
      <c r="G172" s="131"/>
      <c r="H172" s="57" t="s">
        <v>439</v>
      </c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</row>
    <row r="173" spans="1:18" x14ac:dyDescent="0.25">
      <c r="A173" s="157"/>
      <c r="B173" s="122"/>
      <c r="C173" s="126"/>
      <c r="D173" s="128"/>
      <c r="E173" s="117" t="s">
        <v>493</v>
      </c>
      <c r="F173" s="131"/>
      <c r="G173" s="131"/>
      <c r="H173" s="58" t="s">
        <v>438</v>
      </c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</row>
    <row r="174" spans="1:18" x14ac:dyDescent="0.25">
      <c r="A174" s="157"/>
      <c r="B174" s="122"/>
      <c r="C174" s="126"/>
      <c r="D174" s="128"/>
      <c r="E174" s="117"/>
      <c r="F174" s="131"/>
      <c r="G174" s="131"/>
      <c r="H174" s="59" t="s">
        <v>149</v>
      </c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</row>
    <row r="175" spans="1:18" x14ac:dyDescent="0.25">
      <c r="A175" s="161" t="s">
        <v>42</v>
      </c>
      <c r="B175" s="124" t="str">
        <f>VLOOKUP(A175,Rules!$B$8:$C$154,2,0)</f>
        <v>Kim</v>
      </c>
      <c r="C175" s="125">
        <f>SUM(I176:XX176)</f>
        <v>0</v>
      </c>
      <c r="D175" s="127"/>
      <c r="E175" s="116" t="s">
        <v>492</v>
      </c>
      <c r="F175" s="130">
        <f>VLOOKUP(A175,Table2[],10,0)</f>
        <v>6</v>
      </c>
      <c r="G175" s="130"/>
      <c r="H175" s="56" t="s">
        <v>440</v>
      </c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</row>
    <row r="176" spans="1:18" x14ac:dyDescent="0.25">
      <c r="A176" s="157"/>
      <c r="B176" s="122"/>
      <c r="C176" s="126"/>
      <c r="D176" s="128"/>
      <c r="E176" s="117"/>
      <c r="F176" s="131"/>
      <c r="G176" s="131"/>
      <c r="H176" s="57" t="s">
        <v>439</v>
      </c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</row>
    <row r="177" spans="1:18" x14ac:dyDescent="0.25">
      <c r="A177" s="157"/>
      <c r="B177" s="122"/>
      <c r="C177" s="126"/>
      <c r="D177" s="128"/>
      <c r="E177" s="117" t="s">
        <v>493</v>
      </c>
      <c r="F177" s="131"/>
      <c r="G177" s="131"/>
      <c r="H177" s="58" t="s">
        <v>438</v>
      </c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</row>
    <row r="178" spans="1:18" x14ac:dyDescent="0.25">
      <c r="A178" s="157"/>
      <c r="B178" s="122"/>
      <c r="C178" s="126"/>
      <c r="D178" s="128"/>
      <c r="E178" s="117"/>
      <c r="F178" s="131"/>
      <c r="G178" s="131"/>
      <c r="H178" s="59" t="s">
        <v>149</v>
      </c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</row>
    <row r="179" spans="1:18" x14ac:dyDescent="0.25">
      <c r="A179" s="161" t="s">
        <v>43</v>
      </c>
      <c r="B179" s="124" t="str">
        <f>VLOOKUP(A179,Rules!$B$8:$C$154,2,0)</f>
        <v>Kim</v>
      </c>
      <c r="C179" s="125">
        <f>SUM(I180:XX180)</f>
        <v>0</v>
      </c>
      <c r="D179" s="127"/>
      <c r="E179" s="116" t="s">
        <v>492</v>
      </c>
      <c r="F179" s="130">
        <f>VLOOKUP(A179,Table2[],10,0)</f>
        <v>6</v>
      </c>
      <c r="G179" s="130"/>
      <c r="H179" s="56" t="s">
        <v>440</v>
      </c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</row>
    <row r="180" spans="1:18" x14ac:dyDescent="0.25">
      <c r="A180" s="157"/>
      <c r="B180" s="122"/>
      <c r="C180" s="126"/>
      <c r="D180" s="128"/>
      <c r="E180" s="117"/>
      <c r="F180" s="131"/>
      <c r="G180" s="131"/>
      <c r="H180" s="57" t="s">
        <v>439</v>
      </c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</row>
    <row r="181" spans="1:18" x14ac:dyDescent="0.25">
      <c r="A181" s="157"/>
      <c r="B181" s="122"/>
      <c r="C181" s="126"/>
      <c r="D181" s="128"/>
      <c r="E181" s="117" t="s">
        <v>493</v>
      </c>
      <c r="F181" s="131"/>
      <c r="G181" s="131"/>
      <c r="H181" s="58" t="s">
        <v>438</v>
      </c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</row>
    <row r="182" spans="1:18" x14ac:dyDescent="0.25">
      <c r="A182" s="157"/>
      <c r="B182" s="122"/>
      <c r="C182" s="126"/>
      <c r="D182" s="128"/>
      <c r="E182" s="117"/>
      <c r="F182" s="131"/>
      <c r="G182" s="131"/>
      <c r="H182" s="59" t="s">
        <v>149</v>
      </c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</row>
    <row r="183" spans="1:18" x14ac:dyDescent="0.25">
      <c r="A183" s="161" t="s">
        <v>44</v>
      </c>
      <c r="B183" s="124" t="str">
        <f>VLOOKUP(A183,Rules!$B$8:$C$154,2,0)</f>
        <v>Kim</v>
      </c>
      <c r="C183" s="125">
        <f>SUM(I184:XX184)</f>
        <v>0</v>
      </c>
      <c r="D183" s="127"/>
      <c r="E183" s="116" t="s">
        <v>492</v>
      </c>
      <c r="F183" s="130">
        <f>VLOOKUP(A183,Table2[],10,0)</f>
        <v>6</v>
      </c>
      <c r="G183" s="130"/>
      <c r="H183" s="56" t="s">
        <v>440</v>
      </c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</row>
    <row r="184" spans="1:18" x14ac:dyDescent="0.25">
      <c r="A184" s="157"/>
      <c r="B184" s="122"/>
      <c r="C184" s="126"/>
      <c r="D184" s="128"/>
      <c r="E184" s="117"/>
      <c r="F184" s="131"/>
      <c r="G184" s="131"/>
      <c r="H184" s="57" t="s">
        <v>439</v>
      </c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</row>
    <row r="185" spans="1:18" x14ac:dyDescent="0.25">
      <c r="A185" s="157"/>
      <c r="B185" s="122"/>
      <c r="C185" s="126"/>
      <c r="D185" s="128"/>
      <c r="E185" s="117" t="s">
        <v>493</v>
      </c>
      <c r="F185" s="131"/>
      <c r="G185" s="131"/>
      <c r="H185" s="58" t="s">
        <v>438</v>
      </c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</row>
    <row r="186" spans="1:18" x14ac:dyDescent="0.25">
      <c r="A186" s="157"/>
      <c r="B186" s="122"/>
      <c r="C186" s="126"/>
      <c r="D186" s="128"/>
      <c r="E186" s="117"/>
      <c r="F186" s="131"/>
      <c r="G186" s="131"/>
      <c r="H186" s="59" t="s">
        <v>149</v>
      </c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</row>
    <row r="187" spans="1:18" x14ac:dyDescent="0.25">
      <c r="A187" s="161" t="s">
        <v>45</v>
      </c>
      <c r="B187" s="124" t="str">
        <f>VLOOKUP(A187,Rules!$B$8:$C$154,2,0)</f>
        <v>Kim</v>
      </c>
      <c r="C187" s="125">
        <f>SUM(I188:XX188)</f>
        <v>0</v>
      </c>
      <c r="D187" s="127"/>
      <c r="E187" s="116" t="s">
        <v>492</v>
      </c>
      <c r="F187" s="130">
        <f>VLOOKUP(A187,Table2[],10,0)</f>
        <v>6</v>
      </c>
      <c r="G187" s="130"/>
      <c r="H187" s="56" t="s">
        <v>440</v>
      </c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</row>
    <row r="188" spans="1:18" x14ac:dyDescent="0.25">
      <c r="A188" s="157"/>
      <c r="B188" s="122"/>
      <c r="C188" s="126"/>
      <c r="D188" s="128"/>
      <c r="E188" s="117"/>
      <c r="F188" s="131"/>
      <c r="G188" s="131"/>
      <c r="H188" s="57" t="s">
        <v>439</v>
      </c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</row>
    <row r="189" spans="1:18" x14ac:dyDescent="0.25">
      <c r="A189" s="157"/>
      <c r="B189" s="122"/>
      <c r="C189" s="126"/>
      <c r="D189" s="128"/>
      <c r="E189" s="117" t="s">
        <v>493</v>
      </c>
      <c r="F189" s="131"/>
      <c r="G189" s="131"/>
      <c r="H189" s="58" t="s">
        <v>438</v>
      </c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</row>
    <row r="190" spans="1:18" x14ac:dyDescent="0.25">
      <c r="A190" s="157"/>
      <c r="B190" s="122"/>
      <c r="C190" s="126"/>
      <c r="D190" s="128"/>
      <c r="E190" s="117"/>
      <c r="F190" s="131"/>
      <c r="G190" s="131"/>
      <c r="H190" s="59" t="s">
        <v>149</v>
      </c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</row>
    <row r="191" spans="1:18" x14ac:dyDescent="0.25">
      <c r="A191" s="161" t="s">
        <v>46</v>
      </c>
      <c r="B191" s="124" t="str">
        <f>VLOOKUP(A191,Rules!$B$8:$C$154,2,0)</f>
        <v>Kim</v>
      </c>
      <c r="C191" s="125">
        <f>SUM(I192:XX192)</f>
        <v>0</v>
      </c>
      <c r="D191" s="127"/>
      <c r="E191" s="116" t="s">
        <v>492</v>
      </c>
      <c r="F191" s="130">
        <f>VLOOKUP(A191,Table2[],10,0)</f>
        <v>6</v>
      </c>
      <c r="G191" s="130"/>
      <c r="H191" s="56" t="s">
        <v>440</v>
      </c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</row>
    <row r="192" spans="1:18" x14ac:dyDescent="0.25">
      <c r="A192" s="157"/>
      <c r="B192" s="122"/>
      <c r="C192" s="126"/>
      <c r="D192" s="128"/>
      <c r="E192" s="117"/>
      <c r="F192" s="131"/>
      <c r="G192" s="131"/>
      <c r="H192" s="57" t="s">
        <v>439</v>
      </c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</row>
    <row r="193" spans="1:18" x14ac:dyDescent="0.25">
      <c r="A193" s="157"/>
      <c r="B193" s="122"/>
      <c r="C193" s="126"/>
      <c r="D193" s="128"/>
      <c r="E193" s="117" t="s">
        <v>493</v>
      </c>
      <c r="F193" s="131"/>
      <c r="G193" s="131"/>
      <c r="H193" s="58" t="s">
        <v>438</v>
      </c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</row>
    <row r="194" spans="1:18" x14ac:dyDescent="0.25">
      <c r="A194" s="157"/>
      <c r="B194" s="122"/>
      <c r="C194" s="126"/>
      <c r="D194" s="128"/>
      <c r="E194" s="117"/>
      <c r="F194" s="131"/>
      <c r="G194" s="131"/>
      <c r="H194" s="59" t="s">
        <v>149</v>
      </c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</row>
    <row r="195" spans="1:18" x14ac:dyDescent="0.25">
      <c r="A195" s="161" t="s">
        <v>47</v>
      </c>
      <c r="B195" s="124" t="str">
        <f>VLOOKUP(A195,Rules!$B$8:$C$154,2,0)</f>
        <v>Kim</v>
      </c>
      <c r="C195" s="125">
        <f>SUM(I196:XX196)</f>
        <v>0</v>
      </c>
      <c r="D195" s="127"/>
      <c r="E195" s="116" t="s">
        <v>492</v>
      </c>
      <c r="F195" s="130">
        <f>VLOOKUP(A195,Table2[],10,0)</f>
        <v>6</v>
      </c>
      <c r="G195" s="130"/>
      <c r="H195" s="56" t="s">
        <v>440</v>
      </c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</row>
    <row r="196" spans="1:18" x14ac:dyDescent="0.25">
      <c r="A196" s="157"/>
      <c r="B196" s="122"/>
      <c r="C196" s="126"/>
      <c r="D196" s="128"/>
      <c r="E196" s="117"/>
      <c r="F196" s="131"/>
      <c r="G196" s="131"/>
      <c r="H196" s="57" t="s">
        <v>439</v>
      </c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</row>
    <row r="197" spans="1:18" x14ac:dyDescent="0.25">
      <c r="A197" s="157"/>
      <c r="B197" s="122"/>
      <c r="C197" s="126"/>
      <c r="D197" s="128"/>
      <c r="E197" s="117" t="s">
        <v>493</v>
      </c>
      <c r="F197" s="131"/>
      <c r="G197" s="131"/>
      <c r="H197" s="58" t="s">
        <v>438</v>
      </c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</row>
    <row r="198" spans="1:18" x14ac:dyDescent="0.25">
      <c r="A198" s="157"/>
      <c r="B198" s="122"/>
      <c r="C198" s="126"/>
      <c r="D198" s="128"/>
      <c r="E198" s="117"/>
      <c r="F198" s="131"/>
      <c r="G198" s="131"/>
      <c r="H198" s="59" t="s">
        <v>149</v>
      </c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</row>
    <row r="199" spans="1:18" x14ac:dyDescent="0.25">
      <c r="A199" s="161" t="s">
        <v>48</v>
      </c>
      <c r="B199" s="124" t="str">
        <f>VLOOKUP(A199,Rules!$B$8:$C$154,2,0)</f>
        <v>Kim</v>
      </c>
      <c r="C199" s="125">
        <f>SUM(I200:XX200)</f>
        <v>0</v>
      </c>
      <c r="D199" s="127"/>
      <c r="E199" s="116" t="s">
        <v>492</v>
      </c>
      <c r="F199" s="130">
        <f>VLOOKUP(A199,Table2[],10,0)</f>
        <v>6</v>
      </c>
      <c r="G199" s="130"/>
      <c r="H199" s="56" t="s">
        <v>440</v>
      </c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</row>
    <row r="200" spans="1:18" x14ac:dyDescent="0.25">
      <c r="A200" s="157"/>
      <c r="B200" s="122"/>
      <c r="C200" s="126"/>
      <c r="D200" s="128"/>
      <c r="E200" s="117"/>
      <c r="F200" s="131"/>
      <c r="G200" s="131"/>
      <c r="H200" s="57" t="s">
        <v>439</v>
      </c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</row>
    <row r="201" spans="1:18" x14ac:dyDescent="0.25">
      <c r="A201" s="157"/>
      <c r="B201" s="122"/>
      <c r="C201" s="126"/>
      <c r="D201" s="128"/>
      <c r="E201" s="117" t="s">
        <v>493</v>
      </c>
      <c r="F201" s="131"/>
      <c r="G201" s="131"/>
      <c r="H201" s="58" t="s">
        <v>438</v>
      </c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</row>
    <row r="202" spans="1:18" x14ac:dyDescent="0.25">
      <c r="A202" s="157"/>
      <c r="B202" s="122"/>
      <c r="C202" s="126"/>
      <c r="D202" s="128"/>
      <c r="E202" s="117"/>
      <c r="F202" s="131"/>
      <c r="G202" s="131"/>
      <c r="H202" s="59" t="s">
        <v>149</v>
      </c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</row>
    <row r="203" spans="1:18" x14ac:dyDescent="0.25">
      <c r="A203" s="161" t="s">
        <v>49</v>
      </c>
      <c r="B203" s="124" t="str">
        <f>VLOOKUP(A203,Rules!$B$8:$C$154,2,0)</f>
        <v>Dan</v>
      </c>
      <c r="C203" s="125">
        <f>SUM(I204:XX204)</f>
        <v>0</v>
      </c>
      <c r="D203" s="127"/>
      <c r="E203" s="116" t="s">
        <v>492</v>
      </c>
      <c r="F203" s="130">
        <f>VLOOKUP(A203,Table2[],10,0)</f>
        <v>6</v>
      </c>
      <c r="G203" s="130"/>
      <c r="H203" s="56" t="s">
        <v>440</v>
      </c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</row>
    <row r="204" spans="1:18" x14ac:dyDescent="0.25">
      <c r="A204" s="157"/>
      <c r="B204" s="122"/>
      <c r="C204" s="126"/>
      <c r="D204" s="128"/>
      <c r="E204" s="117"/>
      <c r="F204" s="131"/>
      <c r="G204" s="131"/>
      <c r="H204" s="57" t="s">
        <v>439</v>
      </c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</row>
    <row r="205" spans="1:18" x14ac:dyDescent="0.25">
      <c r="A205" s="157"/>
      <c r="B205" s="122"/>
      <c r="C205" s="126"/>
      <c r="D205" s="128"/>
      <c r="E205" s="117" t="s">
        <v>493</v>
      </c>
      <c r="F205" s="131"/>
      <c r="G205" s="131"/>
      <c r="H205" s="58" t="s">
        <v>438</v>
      </c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</row>
    <row r="206" spans="1:18" x14ac:dyDescent="0.25">
      <c r="A206" s="157"/>
      <c r="B206" s="122"/>
      <c r="C206" s="126"/>
      <c r="D206" s="128"/>
      <c r="E206" s="117"/>
      <c r="F206" s="131"/>
      <c r="G206" s="131"/>
      <c r="H206" s="59" t="s">
        <v>149</v>
      </c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</row>
    <row r="207" spans="1:18" x14ac:dyDescent="0.25">
      <c r="A207" s="161" t="s">
        <v>50</v>
      </c>
      <c r="B207" s="124" t="str">
        <f>VLOOKUP(A207,Rules!$B$8:$C$154,2,0)</f>
        <v>Kim</v>
      </c>
      <c r="C207" s="125">
        <f>SUM(I208:XX208)</f>
        <v>0</v>
      </c>
      <c r="D207" s="127"/>
      <c r="E207" s="116" t="s">
        <v>492</v>
      </c>
      <c r="F207" s="130">
        <f>VLOOKUP(A207,Table2[],10,0)</f>
        <v>6</v>
      </c>
      <c r="G207" s="130"/>
      <c r="H207" s="56" t="s">
        <v>440</v>
      </c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</row>
    <row r="208" spans="1:18" x14ac:dyDescent="0.25">
      <c r="A208" s="157"/>
      <c r="B208" s="122"/>
      <c r="C208" s="126"/>
      <c r="D208" s="128"/>
      <c r="E208" s="117"/>
      <c r="F208" s="131"/>
      <c r="G208" s="131"/>
      <c r="H208" s="57" t="s">
        <v>439</v>
      </c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</row>
    <row r="209" spans="1:18" x14ac:dyDescent="0.25">
      <c r="A209" s="157"/>
      <c r="B209" s="122"/>
      <c r="C209" s="126"/>
      <c r="D209" s="128"/>
      <c r="E209" s="117" t="s">
        <v>493</v>
      </c>
      <c r="F209" s="131"/>
      <c r="G209" s="131"/>
      <c r="H209" s="58" t="s">
        <v>438</v>
      </c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</row>
    <row r="210" spans="1:18" x14ac:dyDescent="0.25">
      <c r="A210" s="157"/>
      <c r="B210" s="122"/>
      <c r="C210" s="126"/>
      <c r="D210" s="128"/>
      <c r="E210" s="117"/>
      <c r="F210" s="131"/>
      <c r="G210" s="131"/>
      <c r="H210" s="59" t="s">
        <v>149</v>
      </c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</row>
    <row r="211" spans="1:18" x14ac:dyDescent="0.25">
      <c r="A211" s="161" t="s">
        <v>51</v>
      </c>
      <c r="B211" s="124" t="str">
        <f>VLOOKUP(A211,Rules!$B$8:$C$154,2,0)</f>
        <v>Kim</v>
      </c>
      <c r="C211" s="125">
        <f>SUM(I212:XX212)</f>
        <v>0</v>
      </c>
      <c r="D211" s="127"/>
      <c r="E211" s="116" t="s">
        <v>492</v>
      </c>
      <c r="F211" s="130">
        <f>VLOOKUP(A211,Table2[],10,0)</f>
        <v>6</v>
      </c>
      <c r="G211" s="130"/>
      <c r="H211" s="56" t="s">
        <v>440</v>
      </c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</row>
    <row r="212" spans="1:18" x14ac:dyDescent="0.25">
      <c r="A212" s="157"/>
      <c r="B212" s="122"/>
      <c r="C212" s="126"/>
      <c r="D212" s="128"/>
      <c r="E212" s="117"/>
      <c r="F212" s="131"/>
      <c r="G212" s="131"/>
      <c r="H212" s="57" t="s">
        <v>439</v>
      </c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</row>
    <row r="213" spans="1:18" x14ac:dyDescent="0.25">
      <c r="A213" s="157"/>
      <c r="B213" s="122"/>
      <c r="C213" s="126"/>
      <c r="D213" s="128"/>
      <c r="E213" s="117" t="s">
        <v>493</v>
      </c>
      <c r="F213" s="131"/>
      <c r="G213" s="131"/>
      <c r="H213" s="58" t="s">
        <v>438</v>
      </c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</row>
    <row r="214" spans="1:18" x14ac:dyDescent="0.25">
      <c r="A214" s="157"/>
      <c r="B214" s="122"/>
      <c r="C214" s="126"/>
      <c r="D214" s="128"/>
      <c r="E214" s="117"/>
      <c r="F214" s="131"/>
      <c r="G214" s="131"/>
      <c r="H214" s="59" t="s">
        <v>149</v>
      </c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</row>
    <row r="215" spans="1:18" x14ac:dyDescent="0.25">
      <c r="A215" s="161" t="s">
        <v>52</v>
      </c>
      <c r="B215" s="124" t="str">
        <f>VLOOKUP(A215,Rules!$B$8:$C$154,2,0)</f>
        <v>Kim</v>
      </c>
      <c r="C215" s="125">
        <f>SUM(I216:XX216)</f>
        <v>0</v>
      </c>
      <c r="D215" s="127"/>
      <c r="E215" s="116" t="s">
        <v>492</v>
      </c>
      <c r="F215" s="130">
        <f>VLOOKUP(A215,Table2[],10,0)</f>
        <v>6</v>
      </c>
      <c r="G215" s="130"/>
      <c r="H215" s="56" t="s">
        <v>440</v>
      </c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</row>
    <row r="216" spans="1:18" x14ac:dyDescent="0.25">
      <c r="A216" s="157"/>
      <c r="B216" s="122"/>
      <c r="C216" s="126"/>
      <c r="D216" s="128"/>
      <c r="E216" s="117"/>
      <c r="F216" s="131"/>
      <c r="G216" s="131"/>
      <c r="H216" s="57" t="s">
        <v>439</v>
      </c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</row>
    <row r="217" spans="1:18" x14ac:dyDescent="0.25">
      <c r="A217" s="157"/>
      <c r="B217" s="122"/>
      <c r="C217" s="126"/>
      <c r="D217" s="128"/>
      <c r="E217" s="117" t="s">
        <v>493</v>
      </c>
      <c r="F217" s="131"/>
      <c r="G217" s="131"/>
      <c r="H217" s="58" t="s">
        <v>438</v>
      </c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</row>
    <row r="218" spans="1:18" x14ac:dyDescent="0.25">
      <c r="A218" s="157"/>
      <c r="B218" s="122"/>
      <c r="C218" s="126"/>
      <c r="D218" s="128"/>
      <c r="E218" s="117"/>
      <c r="F218" s="131"/>
      <c r="G218" s="131"/>
      <c r="H218" s="59" t="s">
        <v>149</v>
      </c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</row>
    <row r="219" spans="1:18" x14ac:dyDescent="0.25">
      <c r="A219" s="161" t="s">
        <v>53</v>
      </c>
      <c r="B219" s="124" t="str">
        <f>VLOOKUP(A219,Rules!$B$8:$C$154,2,0)</f>
        <v>Kim</v>
      </c>
      <c r="C219" s="125">
        <f>SUM(I220:XX220)</f>
        <v>0</v>
      </c>
      <c r="D219" s="127"/>
      <c r="E219" s="116" t="s">
        <v>492</v>
      </c>
      <c r="F219" s="130">
        <f>VLOOKUP(A219,Table2[],10,0)</f>
        <v>6</v>
      </c>
      <c r="G219" s="130"/>
      <c r="H219" s="56" t="s">
        <v>440</v>
      </c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</row>
    <row r="220" spans="1:18" x14ac:dyDescent="0.25">
      <c r="A220" s="157"/>
      <c r="B220" s="122"/>
      <c r="C220" s="126"/>
      <c r="D220" s="128"/>
      <c r="E220" s="117"/>
      <c r="F220" s="131"/>
      <c r="G220" s="131"/>
      <c r="H220" s="57" t="s">
        <v>439</v>
      </c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</row>
    <row r="221" spans="1:18" x14ac:dyDescent="0.25">
      <c r="A221" s="157"/>
      <c r="B221" s="122"/>
      <c r="C221" s="126"/>
      <c r="D221" s="128"/>
      <c r="E221" s="117" t="s">
        <v>493</v>
      </c>
      <c r="F221" s="131"/>
      <c r="G221" s="131"/>
      <c r="H221" s="58" t="s">
        <v>438</v>
      </c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</row>
    <row r="222" spans="1:18" x14ac:dyDescent="0.25">
      <c r="A222" s="157"/>
      <c r="B222" s="122"/>
      <c r="C222" s="126"/>
      <c r="D222" s="128"/>
      <c r="E222" s="117"/>
      <c r="F222" s="131"/>
      <c r="G222" s="131"/>
      <c r="H222" s="59" t="s">
        <v>149</v>
      </c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</row>
    <row r="223" spans="1:18" x14ac:dyDescent="0.25">
      <c r="A223" s="161" t="s">
        <v>54</v>
      </c>
      <c r="B223" s="124" t="str">
        <f>VLOOKUP(A223,Rules!$B$8:$C$154,2,0)</f>
        <v>Milly</v>
      </c>
      <c r="C223" s="125">
        <f>SUM(I224:XX224)</f>
        <v>0</v>
      </c>
      <c r="D223" s="127"/>
      <c r="E223" s="116" t="s">
        <v>492</v>
      </c>
      <c r="F223" s="130">
        <f>VLOOKUP(A223,Table2[],10,0)</f>
        <v>8</v>
      </c>
      <c r="G223" s="130"/>
      <c r="H223" s="56" t="s">
        <v>440</v>
      </c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</row>
    <row r="224" spans="1:18" x14ac:dyDescent="0.25">
      <c r="A224" s="157"/>
      <c r="B224" s="122"/>
      <c r="C224" s="126"/>
      <c r="D224" s="128"/>
      <c r="E224" s="117"/>
      <c r="F224" s="131"/>
      <c r="G224" s="131"/>
      <c r="H224" s="57" t="s">
        <v>439</v>
      </c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</row>
    <row r="225" spans="1:18" x14ac:dyDescent="0.25">
      <c r="A225" s="157"/>
      <c r="B225" s="122"/>
      <c r="C225" s="126"/>
      <c r="D225" s="128"/>
      <c r="E225" s="117" t="s">
        <v>493</v>
      </c>
      <c r="F225" s="131"/>
      <c r="G225" s="131"/>
      <c r="H225" s="58" t="s">
        <v>438</v>
      </c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</row>
    <row r="226" spans="1:18" x14ac:dyDescent="0.25">
      <c r="A226" s="157"/>
      <c r="B226" s="122"/>
      <c r="C226" s="126"/>
      <c r="D226" s="128"/>
      <c r="E226" s="117"/>
      <c r="F226" s="131"/>
      <c r="G226" s="131"/>
      <c r="H226" s="59" t="s">
        <v>149</v>
      </c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</row>
    <row r="227" spans="1:18" x14ac:dyDescent="0.25">
      <c r="A227" s="161" t="s">
        <v>55</v>
      </c>
      <c r="B227" s="124" t="str">
        <f>VLOOKUP(A227,Rules!$B$8:$C$154,2,0)</f>
        <v>Milly</v>
      </c>
      <c r="C227" s="125">
        <f>SUM(I228:XX228)</f>
        <v>0</v>
      </c>
      <c r="D227" s="127"/>
      <c r="E227" s="116" t="s">
        <v>492</v>
      </c>
      <c r="F227" s="130">
        <f>VLOOKUP(A227,Table2[],10,0)</f>
        <v>8</v>
      </c>
      <c r="G227" s="130"/>
      <c r="H227" s="56" t="s">
        <v>440</v>
      </c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</row>
    <row r="228" spans="1:18" x14ac:dyDescent="0.25">
      <c r="A228" s="157"/>
      <c r="B228" s="122"/>
      <c r="C228" s="126"/>
      <c r="D228" s="128"/>
      <c r="E228" s="117"/>
      <c r="F228" s="131"/>
      <c r="G228" s="131"/>
      <c r="H228" s="57" t="s">
        <v>439</v>
      </c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</row>
    <row r="229" spans="1:18" x14ac:dyDescent="0.25">
      <c r="A229" s="157"/>
      <c r="B229" s="122"/>
      <c r="C229" s="126"/>
      <c r="D229" s="128"/>
      <c r="E229" s="117" t="s">
        <v>493</v>
      </c>
      <c r="F229" s="131"/>
      <c r="G229" s="131"/>
      <c r="H229" s="58" t="s">
        <v>438</v>
      </c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</row>
    <row r="230" spans="1:18" x14ac:dyDescent="0.25">
      <c r="A230" s="157"/>
      <c r="B230" s="122"/>
      <c r="C230" s="126"/>
      <c r="D230" s="128"/>
      <c r="E230" s="117"/>
      <c r="F230" s="131"/>
      <c r="G230" s="131"/>
      <c r="H230" s="59" t="s">
        <v>149</v>
      </c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</row>
    <row r="231" spans="1:18" x14ac:dyDescent="0.25">
      <c r="A231" s="161" t="s">
        <v>56</v>
      </c>
      <c r="B231" s="124" t="str">
        <f>VLOOKUP(A231,Rules!$B$8:$C$154,2,0)</f>
        <v>Felix</v>
      </c>
      <c r="C231" s="125">
        <f>SUM(I232:XX232)</f>
        <v>0</v>
      </c>
      <c r="D231" s="127"/>
      <c r="E231" s="116" t="s">
        <v>492</v>
      </c>
      <c r="F231" s="130">
        <f>VLOOKUP(A231,Table2[],10,0)</f>
        <v>8</v>
      </c>
      <c r="G231" s="130"/>
      <c r="H231" s="56" t="s">
        <v>440</v>
      </c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</row>
    <row r="232" spans="1:18" x14ac:dyDescent="0.25">
      <c r="A232" s="157"/>
      <c r="B232" s="122"/>
      <c r="C232" s="126"/>
      <c r="D232" s="128"/>
      <c r="E232" s="117"/>
      <c r="F232" s="131"/>
      <c r="G232" s="131"/>
      <c r="H232" s="57" t="s">
        <v>439</v>
      </c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</row>
    <row r="233" spans="1:18" x14ac:dyDescent="0.25">
      <c r="A233" s="157"/>
      <c r="B233" s="122"/>
      <c r="C233" s="126"/>
      <c r="D233" s="128"/>
      <c r="E233" s="117" t="s">
        <v>493</v>
      </c>
      <c r="F233" s="131"/>
      <c r="G233" s="131"/>
      <c r="H233" s="58" t="s">
        <v>438</v>
      </c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</row>
    <row r="234" spans="1:18" x14ac:dyDescent="0.25">
      <c r="A234" s="157"/>
      <c r="B234" s="122"/>
      <c r="C234" s="126"/>
      <c r="D234" s="128"/>
      <c r="E234" s="117"/>
      <c r="F234" s="131"/>
      <c r="G234" s="131"/>
      <c r="H234" s="59" t="s">
        <v>149</v>
      </c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</row>
    <row r="235" spans="1:18" x14ac:dyDescent="0.25">
      <c r="A235" s="161" t="s">
        <v>57</v>
      </c>
      <c r="B235" s="124" t="str">
        <f>VLOOKUP(A235,Rules!$B$8:$C$154,2,0)</f>
        <v>Felix</v>
      </c>
      <c r="C235" s="125">
        <f>SUM(I236:XX236)</f>
        <v>0</v>
      </c>
      <c r="D235" s="127"/>
      <c r="E235" s="116" t="s">
        <v>492</v>
      </c>
      <c r="F235" s="130">
        <f>VLOOKUP(A235,Table2[],10,0)</f>
        <v>8</v>
      </c>
      <c r="G235" s="130"/>
      <c r="H235" s="56" t="s">
        <v>440</v>
      </c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</row>
    <row r="236" spans="1:18" x14ac:dyDescent="0.25">
      <c r="A236" s="157"/>
      <c r="B236" s="122"/>
      <c r="C236" s="126"/>
      <c r="D236" s="128"/>
      <c r="E236" s="117"/>
      <c r="F236" s="131"/>
      <c r="G236" s="131"/>
      <c r="H236" s="57" t="s">
        <v>439</v>
      </c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</row>
    <row r="237" spans="1:18" x14ac:dyDescent="0.25">
      <c r="A237" s="157"/>
      <c r="B237" s="122"/>
      <c r="C237" s="126"/>
      <c r="D237" s="128"/>
      <c r="E237" s="117" t="s">
        <v>493</v>
      </c>
      <c r="F237" s="131"/>
      <c r="G237" s="131"/>
      <c r="H237" s="58" t="s">
        <v>438</v>
      </c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</row>
    <row r="238" spans="1:18" x14ac:dyDescent="0.25">
      <c r="A238" s="157"/>
      <c r="B238" s="122"/>
      <c r="C238" s="126"/>
      <c r="D238" s="128"/>
      <c r="E238" s="117"/>
      <c r="F238" s="131"/>
      <c r="G238" s="131"/>
      <c r="H238" s="59" t="s">
        <v>149</v>
      </c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</row>
    <row r="239" spans="1:18" x14ac:dyDescent="0.25">
      <c r="A239" s="161" t="s">
        <v>58</v>
      </c>
      <c r="B239" s="124" t="str">
        <f>VLOOKUP(A239,Rules!$B$8:$C$154,2,0)</f>
        <v>Sam</v>
      </c>
      <c r="C239" s="125">
        <f>SUM(I240:XX240)</f>
        <v>0</v>
      </c>
      <c r="D239" s="127"/>
      <c r="E239" s="116" t="s">
        <v>492</v>
      </c>
      <c r="F239" s="130">
        <f>VLOOKUP(A239,Table2[],10,0)</f>
        <v>8</v>
      </c>
      <c r="G239" s="130"/>
      <c r="H239" s="56" t="s">
        <v>440</v>
      </c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</row>
    <row r="240" spans="1:18" x14ac:dyDescent="0.25">
      <c r="A240" s="157"/>
      <c r="B240" s="122"/>
      <c r="C240" s="126"/>
      <c r="D240" s="128"/>
      <c r="E240" s="117"/>
      <c r="F240" s="131"/>
      <c r="G240" s="131"/>
      <c r="H240" s="57" t="s">
        <v>439</v>
      </c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</row>
    <row r="241" spans="1:18" x14ac:dyDescent="0.25">
      <c r="A241" s="157"/>
      <c r="B241" s="122"/>
      <c r="C241" s="126"/>
      <c r="D241" s="128"/>
      <c r="E241" s="117" t="s">
        <v>493</v>
      </c>
      <c r="F241" s="131"/>
      <c r="G241" s="131"/>
      <c r="H241" s="58" t="s">
        <v>438</v>
      </c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</row>
    <row r="242" spans="1:18" x14ac:dyDescent="0.25">
      <c r="A242" s="157"/>
      <c r="B242" s="122"/>
      <c r="C242" s="126"/>
      <c r="D242" s="128"/>
      <c r="E242" s="117"/>
      <c r="F242" s="131"/>
      <c r="G242" s="131"/>
      <c r="H242" s="59" t="s">
        <v>149</v>
      </c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</row>
    <row r="243" spans="1:18" x14ac:dyDescent="0.25">
      <c r="A243" s="161" t="s">
        <v>59</v>
      </c>
      <c r="B243" s="124" t="str">
        <f>VLOOKUP(A243,Rules!$B$8:$C$154,2,0)</f>
        <v>Sam</v>
      </c>
      <c r="C243" s="125">
        <f>SUM(I244:XX244)</f>
        <v>0</v>
      </c>
      <c r="D243" s="127"/>
      <c r="E243" s="116" t="s">
        <v>492</v>
      </c>
      <c r="F243" s="130">
        <f>VLOOKUP(A243,Table2[],10,0)</f>
        <v>8</v>
      </c>
      <c r="G243" s="130"/>
      <c r="H243" s="56" t="s">
        <v>440</v>
      </c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</row>
    <row r="244" spans="1:18" x14ac:dyDescent="0.25">
      <c r="A244" s="157"/>
      <c r="B244" s="122"/>
      <c r="C244" s="126"/>
      <c r="D244" s="128"/>
      <c r="E244" s="117"/>
      <c r="F244" s="131"/>
      <c r="G244" s="131"/>
      <c r="H244" s="57" t="s">
        <v>439</v>
      </c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</row>
    <row r="245" spans="1:18" x14ac:dyDescent="0.25">
      <c r="A245" s="157"/>
      <c r="B245" s="122"/>
      <c r="C245" s="126"/>
      <c r="D245" s="128"/>
      <c r="E245" s="117" t="s">
        <v>493</v>
      </c>
      <c r="F245" s="131"/>
      <c r="G245" s="131"/>
      <c r="H245" s="58" t="s">
        <v>438</v>
      </c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</row>
    <row r="246" spans="1:18" x14ac:dyDescent="0.25">
      <c r="A246" s="157"/>
      <c r="B246" s="122"/>
      <c r="C246" s="126"/>
      <c r="D246" s="128"/>
      <c r="E246" s="117"/>
      <c r="F246" s="131"/>
      <c r="G246" s="131"/>
      <c r="H246" s="59" t="s">
        <v>149</v>
      </c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</row>
    <row r="247" spans="1:18" x14ac:dyDescent="0.25">
      <c r="A247" s="161" t="s">
        <v>60</v>
      </c>
      <c r="B247" s="124" t="str">
        <f>VLOOKUP(A247,Rules!$B$8:$C$154,2,0)</f>
        <v>Milly</v>
      </c>
      <c r="C247" s="125">
        <f>SUM(I248:XX248)</f>
        <v>0</v>
      </c>
      <c r="D247" s="127"/>
      <c r="E247" s="116" t="s">
        <v>492</v>
      </c>
      <c r="F247" s="130">
        <f>VLOOKUP(A247,Table2[],10,0)</f>
        <v>8</v>
      </c>
      <c r="G247" s="130"/>
      <c r="H247" s="56" t="s">
        <v>440</v>
      </c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</row>
    <row r="248" spans="1:18" x14ac:dyDescent="0.25">
      <c r="A248" s="157"/>
      <c r="B248" s="122"/>
      <c r="C248" s="126"/>
      <c r="D248" s="128"/>
      <c r="E248" s="117"/>
      <c r="F248" s="131"/>
      <c r="G248" s="131"/>
      <c r="H248" s="57" t="s">
        <v>439</v>
      </c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</row>
    <row r="249" spans="1:18" x14ac:dyDescent="0.25">
      <c r="A249" s="157"/>
      <c r="B249" s="122"/>
      <c r="C249" s="126"/>
      <c r="D249" s="128"/>
      <c r="E249" s="117" t="s">
        <v>493</v>
      </c>
      <c r="F249" s="131"/>
      <c r="G249" s="131"/>
      <c r="H249" s="58" t="s">
        <v>438</v>
      </c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</row>
    <row r="250" spans="1:18" x14ac:dyDescent="0.25">
      <c r="A250" s="157"/>
      <c r="B250" s="122"/>
      <c r="C250" s="126"/>
      <c r="D250" s="128"/>
      <c r="E250" s="117"/>
      <c r="F250" s="131"/>
      <c r="G250" s="131"/>
      <c r="H250" s="59" t="s">
        <v>149</v>
      </c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</row>
    <row r="251" spans="1:18" x14ac:dyDescent="0.25">
      <c r="A251" s="161" t="s">
        <v>61</v>
      </c>
      <c r="B251" s="124" t="str">
        <f>VLOOKUP(A251,Rules!$B$8:$C$154,2,0)</f>
        <v>Luis</v>
      </c>
      <c r="C251" s="125">
        <f>SUM(I252:XX252)</f>
        <v>0</v>
      </c>
      <c r="D251" s="127"/>
      <c r="E251" s="116" t="s">
        <v>492</v>
      </c>
      <c r="F251" s="130">
        <f>VLOOKUP(A251,Table2[],10,0)</f>
        <v>8</v>
      </c>
      <c r="G251" s="130"/>
      <c r="H251" s="56" t="s">
        <v>440</v>
      </c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</row>
    <row r="252" spans="1:18" x14ac:dyDescent="0.25">
      <c r="A252" s="157"/>
      <c r="B252" s="122"/>
      <c r="C252" s="126"/>
      <c r="D252" s="128"/>
      <c r="E252" s="117"/>
      <c r="F252" s="131"/>
      <c r="G252" s="131"/>
      <c r="H252" s="57" t="s">
        <v>439</v>
      </c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</row>
    <row r="253" spans="1:18" x14ac:dyDescent="0.25">
      <c r="A253" s="157"/>
      <c r="B253" s="122"/>
      <c r="C253" s="126"/>
      <c r="D253" s="128"/>
      <c r="E253" s="117" t="s">
        <v>493</v>
      </c>
      <c r="F253" s="131"/>
      <c r="G253" s="131"/>
      <c r="H253" s="58" t="s">
        <v>438</v>
      </c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</row>
    <row r="254" spans="1:18" x14ac:dyDescent="0.25">
      <c r="A254" s="157"/>
      <c r="B254" s="122"/>
      <c r="C254" s="126"/>
      <c r="D254" s="128"/>
      <c r="E254" s="117"/>
      <c r="F254" s="131"/>
      <c r="G254" s="131"/>
      <c r="H254" s="59" t="s">
        <v>149</v>
      </c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</row>
    <row r="255" spans="1:18" x14ac:dyDescent="0.25">
      <c r="A255" s="161" t="s">
        <v>62</v>
      </c>
      <c r="B255" s="124" t="str">
        <f>VLOOKUP(A255,Rules!$B$8:$C$154,2,0)</f>
        <v>Luis</v>
      </c>
      <c r="C255" s="125">
        <f>SUM(I256:XX256)</f>
        <v>0</v>
      </c>
      <c r="D255" s="127"/>
      <c r="E255" s="116" t="s">
        <v>492</v>
      </c>
      <c r="F255" s="130">
        <f>VLOOKUP(A255,Table2[],10,0)</f>
        <v>6</v>
      </c>
      <c r="G255" s="130"/>
      <c r="H255" s="56" t="s">
        <v>440</v>
      </c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</row>
    <row r="256" spans="1:18" x14ac:dyDescent="0.25">
      <c r="A256" s="157"/>
      <c r="B256" s="122"/>
      <c r="C256" s="126"/>
      <c r="D256" s="128"/>
      <c r="E256" s="117"/>
      <c r="F256" s="131"/>
      <c r="G256" s="131"/>
      <c r="H256" s="57" t="s">
        <v>439</v>
      </c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</row>
    <row r="257" spans="1:18" x14ac:dyDescent="0.25">
      <c r="A257" s="157"/>
      <c r="B257" s="122"/>
      <c r="C257" s="126"/>
      <c r="D257" s="128"/>
      <c r="E257" s="117" t="s">
        <v>493</v>
      </c>
      <c r="F257" s="131"/>
      <c r="G257" s="131"/>
      <c r="H257" s="58" t="s">
        <v>438</v>
      </c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</row>
    <row r="258" spans="1:18" x14ac:dyDescent="0.25">
      <c r="A258" s="157"/>
      <c r="B258" s="122"/>
      <c r="C258" s="126"/>
      <c r="D258" s="128"/>
      <c r="E258" s="117"/>
      <c r="F258" s="131"/>
      <c r="G258" s="131"/>
      <c r="H258" s="59" t="s">
        <v>149</v>
      </c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</row>
    <row r="259" spans="1:18" x14ac:dyDescent="0.25">
      <c r="A259" s="161" t="s">
        <v>63</v>
      </c>
      <c r="B259" s="124" t="str">
        <f>VLOOKUP(A259,Rules!$B$8:$C$154,2,0)</f>
        <v>Luis</v>
      </c>
      <c r="C259" s="125">
        <f>SUM(I260:XX260)</f>
        <v>0</v>
      </c>
      <c r="D259" s="127"/>
      <c r="E259" s="116" t="s">
        <v>492</v>
      </c>
      <c r="F259" s="130">
        <f>VLOOKUP(A259,Table2[],10,0)</f>
        <v>6</v>
      </c>
      <c r="G259" s="130"/>
      <c r="H259" s="56" t="s">
        <v>440</v>
      </c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</row>
    <row r="260" spans="1:18" x14ac:dyDescent="0.25">
      <c r="A260" s="157"/>
      <c r="B260" s="122"/>
      <c r="C260" s="126"/>
      <c r="D260" s="128"/>
      <c r="E260" s="117"/>
      <c r="F260" s="131"/>
      <c r="G260" s="131"/>
      <c r="H260" s="57" t="s">
        <v>439</v>
      </c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</row>
    <row r="261" spans="1:18" x14ac:dyDescent="0.25">
      <c r="A261" s="157"/>
      <c r="B261" s="122"/>
      <c r="C261" s="126"/>
      <c r="D261" s="128"/>
      <c r="E261" s="117" t="s">
        <v>493</v>
      </c>
      <c r="F261" s="131"/>
      <c r="G261" s="131"/>
      <c r="H261" s="58" t="s">
        <v>438</v>
      </c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</row>
    <row r="262" spans="1:18" x14ac:dyDescent="0.25">
      <c r="A262" s="157"/>
      <c r="B262" s="122"/>
      <c r="C262" s="126"/>
      <c r="D262" s="128"/>
      <c r="E262" s="117"/>
      <c r="F262" s="131"/>
      <c r="G262" s="131"/>
      <c r="H262" s="59" t="s">
        <v>149</v>
      </c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</row>
    <row r="263" spans="1:18" x14ac:dyDescent="0.25">
      <c r="A263" s="163" t="s">
        <v>64</v>
      </c>
      <c r="B263" s="124" t="str">
        <f>VLOOKUP(A263,Rules!$B$8:$C$154,2,0)</f>
        <v>Milly</v>
      </c>
      <c r="C263" s="125">
        <f>SUM(I264:XX264)</f>
        <v>0</v>
      </c>
      <c r="D263" s="127"/>
      <c r="E263" s="116" t="s">
        <v>492</v>
      </c>
      <c r="F263" s="130">
        <f>VLOOKUP(A263,Table2[],10,0)</f>
        <v>8</v>
      </c>
      <c r="G263" s="130"/>
      <c r="H263" s="56" t="s">
        <v>440</v>
      </c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</row>
    <row r="264" spans="1:18" x14ac:dyDescent="0.25">
      <c r="A264" s="164"/>
      <c r="B264" s="122"/>
      <c r="C264" s="126"/>
      <c r="D264" s="128"/>
      <c r="E264" s="117"/>
      <c r="F264" s="131"/>
      <c r="G264" s="131"/>
      <c r="H264" s="57" t="s">
        <v>439</v>
      </c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</row>
    <row r="265" spans="1:18" x14ac:dyDescent="0.25">
      <c r="A265" s="164"/>
      <c r="B265" s="122"/>
      <c r="C265" s="126"/>
      <c r="D265" s="128"/>
      <c r="E265" s="117" t="s">
        <v>493</v>
      </c>
      <c r="F265" s="131"/>
      <c r="G265" s="131"/>
      <c r="H265" s="58" t="s">
        <v>438</v>
      </c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</row>
    <row r="266" spans="1:18" x14ac:dyDescent="0.25">
      <c r="A266" s="164"/>
      <c r="B266" s="122"/>
      <c r="C266" s="126"/>
      <c r="D266" s="128"/>
      <c r="E266" s="117"/>
      <c r="F266" s="131"/>
      <c r="G266" s="131"/>
      <c r="H266" s="59" t="s">
        <v>149</v>
      </c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</row>
    <row r="267" spans="1:18" x14ac:dyDescent="0.25">
      <c r="A267" s="163" t="s">
        <v>65</v>
      </c>
      <c r="B267" s="124" t="str">
        <f>VLOOKUP(A267,Rules!$B$8:$C$154,2,0)</f>
        <v>Milly</v>
      </c>
      <c r="C267" s="125">
        <f>SUM(I268:XX268)</f>
        <v>0</v>
      </c>
      <c r="D267" s="127"/>
      <c r="E267" s="116" t="s">
        <v>492</v>
      </c>
      <c r="F267" s="130">
        <f>VLOOKUP(A267,Table2[],10,0)</f>
        <v>8</v>
      </c>
      <c r="G267" s="130"/>
      <c r="H267" s="56" t="s">
        <v>440</v>
      </c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</row>
    <row r="268" spans="1:18" x14ac:dyDescent="0.25">
      <c r="A268" s="164"/>
      <c r="B268" s="122"/>
      <c r="C268" s="126"/>
      <c r="D268" s="128"/>
      <c r="E268" s="117"/>
      <c r="F268" s="131"/>
      <c r="G268" s="131"/>
      <c r="H268" s="57" t="s">
        <v>439</v>
      </c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</row>
    <row r="269" spans="1:18" x14ac:dyDescent="0.25">
      <c r="A269" s="164"/>
      <c r="B269" s="122"/>
      <c r="C269" s="126"/>
      <c r="D269" s="128"/>
      <c r="E269" s="117" t="s">
        <v>493</v>
      </c>
      <c r="F269" s="131"/>
      <c r="G269" s="131"/>
      <c r="H269" s="58" t="s">
        <v>438</v>
      </c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</row>
    <row r="270" spans="1:18" x14ac:dyDescent="0.25">
      <c r="A270" s="164"/>
      <c r="B270" s="122"/>
      <c r="C270" s="126"/>
      <c r="D270" s="128"/>
      <c r="E270" s="117"/>
      <c r="F270" s="131"/>
      <c r="G270" s="131"/>
      <c r="H270" s="59" t="s">
        <v>149</v>
      </c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</row>
    <row r="271" spans="1:18" x14ac:dyDescent="0.25">
      <c r="A271" s="163" t="s">
        <v>66</v>
      </c>
      <c r="B271" s="124" t="str">
        <f>VLOOKUP(A271,Rules!$B$8:$C$154,2,0)</f>
        <v>Kim</v>
      </c>
      <c r="C271" s="125">
        <f>SUM(I272:XX272)</f>
        <v>0</v>
      </c>
      <c r="D271" s="127"/>
      <c r="E271" s="116" t="s">
        <v>492</v>
      </c>
      <c r="F271" s="130">
        <f>VLOOKUP(A271,Table2[],10,0)</f>
        <v>8</v>
      </c>
      <c r="G271" s="130"/>
      <c r="H271" s="56" t="s">
        <v>440</v>
      </c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</row>
    <row r="272" spans="1:18" x14ac:dyDescent="0.25">
      <c r="A272" s="164"/>
      <c r="B272" s="122"/>
      <c r="C272" s="126"/>
      <c r="D272" s="128"/>
      <c r="E272" s="117"/>
      <c r="F272" s="131"/>
      <c r="G272" s="131"/>
      <c r="H272" s="57" t="s">
        <v>439</v>
      </c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</row>
    <row r="273" spans="1:18" x14ac:dyDescent="0.25">
      <c r="A273" s="164"/>
      <c r="B273" s="122"/>
      <c r="C273" s="126"/>
      <c r="D273" s="128"/>
      <c r="E273" s="117" t="s">
        <v>493</v>
      </c>
      <c r="F273" s="131"/>
      <c r="G273" s="131"/>
      <c r="H273" s="58" t="s">
        <v>438</v>
      </c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</row>
    <row r="274" spans="1:18" x14ac:dyDescent="0.25">
      <c r="A274" s="164"/>
      <c r="B274" s="122"/>
      <c r="C274" s="126"/>
      <c r="D274" s="128"/>
      <c r="E274" s="117"/>
      <c r="F274" s="131"/>
      <c r="G274" s="131"/>
      <c r="H274" s="59" t="s">
        <v>149</v>
      </c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</row>
    <row r="275" spans="1:18" x14ac:dyDescent="0.25">
      <c r="A275" s="163" t="s">
        <v>67</v>
      </c>
      <c r="B275" s="124" t="str">
        <f>VLOOKUP(A275,Rules!$B$8:$C$154,2,0)</f>
        <v>Milly</v>
      </c>
      <c r="C275" s="125">
        <f>SUM(I276:XX276)</f>
        <v>0</v>
      </c>
      <c r="D275" s="127"/>
      <c r="E275" s="116" t="s">
        <v>492</v>
      </c>
      <c r="F275" s="130">
        <f>VLOOKUP(A275,Table2[],10,0)</f>
        <v>2</v>
      </c>
      <c r="G275" s="130"/>
      <c r="H275" s="56" t="s">
        <v>440</v>
      </c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</row>
    <row r="276" spans="1:18" x14ac:dyDescent="0.25">
      <c r="A276" s="164"/>
      <c r="B276" s="122"/>
      <c r="C276" s="126"/>
      <c r="D276" s="128"/>
      <c r="E276" s="117"/>
      <c r="F276" s="131"/>
      <c r="G276" s="131"/>
      <c r="H276" s="57" t="s">
        <v>439</v>
      </c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</row>
    <row r="277" spans="1:18" x14ac:dyDescent="0.25">
      <c r="A277" s="164"/>
      <c r="B277" s="122"/>
      <c r="C277" s="126"/>
      <c r="D277" s="128"/>
      <c r="E277" s="117" t="s">
        <v>493</v>
      </c>
      <c r="F277" s="131"/>
      <c r="G277" s="131"/>
      <c r="H277" s="58" t="s">
        <v>438</v>
      </c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</row>
    <row r="278" spans="1:18" x14ac:dyDescent="0.25">
      <c r="A278" s="164"/>
      <c r="B278" s="122"/>
      <c r="C278" s="126"/>
      <c r="D278" s="128"/>
      <c r="E278" s="117"/>
      <c r="F278" s="131"/>
      <c r="G278" s="131"/>
      <c r="H278" s="59" t="s">
        <v>149</v>
      </c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</row>
    <row r="279" spans="1:18" x14ac:dyDescent="0.25">
      <c r="A279" s="163" t="s">
        <v>68</v>
      </c>
      <c r="B279" s="124" t="str">
        <f>VLOOKUP(A279,Rules!$B$8:$C$154,2,0)</f>
        <v>N/A</v>
      </c>
      <c r="C279" s="125">
        <f>SUM(I280:XX280)</f>
        <v>0</v>
      </c>
      <c r="D279" s="127"/>
      <c r="E279" s="116" t="s">
        <v>492</v>
      </c>
      <c r="F279" s="130">
        <f>VLOOKUP(A279,Table2[],10,0)</f>
        <v>3</v>
      </c>
      <c r="G279" s="130"/>
      <c r="H279" s="56" t="s">
        <v>440</v>
      </c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</row>
    <row r="280" spans="1:18" x14ac:dyDescent="0.25">
      <c r="A280" s="164"/>
      <c r="B280" s="122"/>
      <c r="C280" s="126"/>
      <c r="D280" s="128"/>
      <c r="E280" s="117"/>
      <c r="F280" s="131"/>
      <c r="G280" s="131"/>
      <c r="H280" s="57" t="s">
        <v>439</v>
      </c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</row>
    <row r="281" spans="1:18" x14ac:dyDescent="0.25">
      <c r="A281" s="164"/>
      <c r="B281" s="122"/>
      <c r="C281" s="126"/>
      <c r="D281" s="128"/>
      <c r="E281" s="117" t="s">
        <v>493</v>
      </c>
      <c r="F281" s="131"/>
      <c r="G281" s="131"/>
      <c r="H281" s="58" t="s">
        <v>438</v>
      </c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</row>
    <row r="282" spans="1:18" x14ac:dyDescent="0.25">
      <c r="A282" s="164"/>
      <c r="B282" s="122"/>
      <c r="C282" s="126"/>
      <c r="D282" s="128"/>
      <c r="E282" s="117"/>
      <c r="F282" s="131"/>
      <c r="G282" s="131"/>
      <c r="H282" s="59" t="s">
        <v>149</v>
      </c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</row>
    <row r="283" spans="1:18" x14ac:dyDescent="0.25">
      <c r="A283" s="161" t="s">
        <v>69</v>
      </c>
      <c r="B283" s="124" t="str">
        <f>VLOOKUP(A283,Rules!$B$8:$C$154,2,0)</f>
        <v>N/A</v>
      </c>
      <c r="C283" s="125">
        <f>SUM(I284:XX284)</f>
        <v>0</v>
      </c>
      <c r="D283" s="127"/>
      <c r="E283" s="116" t="s">
        <v>492</v>
      </c>
      <c r="F283" s="130">
        <f>VLOOKUP(A283,Table2[],10,0)</f>
        <v>3</v>
      </c>
      <c r="G283" s="130"/>
      <c r="H283" s="56" t="s">
        <v>440</v>
      </c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</row>
    <row r="284" spans="1:18" x14ac:dyDescent="0.25">
      <c r="A284" s="157"/>
      <c r="B284" s="122"/>
      <c r="C284" s="126"/>
      <c r="D284" s="128"/>
      <c r="E284" s="117"/>
      <c r="F284" s="131"/>
      <c r="G284" s="131"/>
      <c r="H284" s="57" t="s">
        <v>439</v>
      </c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</row>
    <row r="285" spans="1:18" x14ac:dyDescent="0.25">
      <c r="A285" s="157"/>
      <c r="B285" s="122"/>
      <c r="C285" s="126"/>
      <c r="D285" s="128"/>
      <c r="E285" s="117" t="s">
        <v>493</v>
      </c>
      <c r="F285" s="131"/>
      <c r="G285" s="131"/>
      <c r="H285" s="58" t="s">
        <v>438</v>
      </c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</row>
    <row r="286" spans="1:18" x14ac:dyDescent="0.25">
      <c r="A286" s="157"/>
      <c r="B286" s="122"/>
      <c r="C286" s="126"/>
      <c r="D286" s="128"/>
      <c r="E286" s="117"/>
      <c r="F286" s="131"/>
      <c r="G286" s="131"/>
      <c r="H286" s="59" t="s">
        <v>149</v>
      </c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</row>
    <row r="287" spans="1:18" x14ac:dyDescent="0.25">
      <c r="A287" s="163" t="s">
        <v>70</v>
      </c>
      <c r="B287" s="124" t="str">
        <f>VLOOKUP(A287,Rules!$B$8:$C$154,2,0)</f>
        <v>N/A</v>
      </c>
      <c r="C287" s="125">
        <f>SUM(I288:XX288)</f>
        <v>0</v>
      </c>
      <c r="D287" s="127"/>
      <c r="E287" s="116" t="s">
        <v>492</v>
      </c>
      <c r="F287" s="130">
        <f>VLOOKUP(A287,Table2[],10,0)</f>
        <v>3</v>
      </c>
      <c r="G287" s="130"/>
      <c r="H287" s="56" t="s">
        <v>440</v>
      </c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</row>
    <row r="288" spans="1:18" x14ac:dyDescent="0.25">
      <c r="A288" s="164"/>
      <c r="B288" s="122"/>
      <c r="C288" s="126"/>
      <c r="D288" s="128"/>
      <c r="E288" s="117"/>
      <c r="F288" s="131"/>
      <c r="G288" s="131"/>
      <c r="H288" s="57" t="s">
        <v>439</v>
      </c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</row>
    <row r="289" spans="1:18" x14ac:dyDescent="0.25">
      <c r="A289" s="164"/>
      <c r="B289" s="122"/>
      <c r="C289" s="126"/>
      <c r="D289" s="128"/>
      <c r="E289" s="117" t="s">
        <v>493</v>
      </c>
      <c r="F289" s="131"/>
      <c r="G289" s="131"/>
      <c r="H289" s="58" t="s">
        <v>438</v>
      </c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</row>
    <row r="290" spans="1:18" x14ac:dyDescent="0.25">
      <c r="A290" s="164"/>
      <c r="B290" s="122"/>
      <c r="C290" s="126"/>
      <c r="D290" s="128"/>
      <c r="E290" s="117"/>
      <c r="F290" s="131"/>
      <c r="G290" s="131"/>
      <c r="H290" s="59" t="s">
        <v>149</v>
      </c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</row>
    <row r="291" spans="1:18" x14ac:dyDescent="0.25">
      <c r="A291" s="161" t="s">
        <v>74</v>
      </c>
      <c r="B291" s="124" t="str">
        <f>VLOOKUP(A291,Rules!$B$8:$C$154,2,0)</f>
        <v>Sam</v>
      </c>
      <c r="C291" s="125">
        <f>SUM(I292:XX292)</f>
        <v>0</v>
      </c>
      <c r="D291" s="127"/>
      <c r="E291" s="116" t="s">
        <v>492</v>
      </c>
      <c r="F291" s="130">
        <f>VLOOKUP(A291,Table2[],10,0)</f>
        <v>9</v>
      </c>
      <c r="G291" s="130"/>
      <c r="H291" s="56" t="s">
        <v>440</v>
      </c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</row>
    <row r="292" spans="1:18" x14ac:dyDescent="0.25">
      <c r="A292" s="157"/>
      <c r="B292" s="122"/>
      <c r="C292" s="126"/>
      <c r="D292" s="128"/>
      <c r="E292" s="117"/>
      <c r="F292" s="131"/>
      <c r="G292" s="165"/>
      <c r="H292" s="57" t="s">
        <v>439</v>
      </c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</row>
    <row r="293" spans="1:18" x14ac:dyDescent="0.25">
      <c r="A293" s="157"/>
      <c r="B293" s="122"/>
      <c r="C293" s="126"/>
      <c r="D293" s="128"/>
      <c r="E293" s="117" t="s">
        <v>493</v>
      </c>
      <c r="F293" s="131"/>
      <c r="G293" s="131"/>
      <c r="H293" s="58" t="s">
        <v>438</v>
      </c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</row>
    <row r="294" spans="1:18" x14ac:dyDescent="0.25">
      <c r="A294" s="157"/>
      <c r="B294" s="122"/>
      <c r="C294" s="126"/>
      <c r="D294" s="128"/>
      <c r="E294" s="117"/>
      <c r="F294" s="131"/>
      <c r="G294" s="131"/>
      <c r="H294" s="59" t="s">
        <v>149</v>
      </c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</row>
    <row r="295" spans="1:18" x14ac:dyDescent="0.25">
      <c r="A295" s="161" t="s">
        <v>75</v>
      </c>
      <c r="B295" s="124" t="str">
        <f>VLOOKUP(A295,Rules!$B$8:$C$154,2,0)</f>
        <v>Sam</v>
      </c>
      <c r="C295" s="125">
        <f>SUM(I296:XX296)</f>
        <v>0</v>
      </c>
      <c r="D295" s="127"/>
      <c r="E295" s="116" t="s">
        <v>492</v>
      </c>
      <c r="F295" s="130">
        <f>VLOOKUP(A295,Table2[],10,0)</f>
        <v>9</v>
      </c>
      <c r="G295" s="130"/>
      <c r="H295" s="56" t="s">
        <v>440</v>
      </c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</row>
    <row r="296" spans="1:18" x14ac:dyDescent="0.25">
      <c r="A296" s="157"/>
      <c r="B296" s="122"/>
      <c r="C296" s="126"/>
      <c r="D296" s="128"/>
      <c r="E296" s="117"/>
      <c r="F296" s="131"/>
      <c r="G296" s="131"/>
      <c r="H296" s="57" t="s">
        <v>439</v>
      </c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</row>
    <row r="297" spans="1:18" x14ac:dyDescent="0.25">
      <c r="A297" s="157"/>
      <c r="B297" s="122"/>
      <c r="C297" s="126"/>
      <c r="D297" s="128"/>
      <c r="E297" s="117" t="s">
        <v>493</v>
      </c>
      <c r="F297" s="131"/>
      <c r="G297" s="131"/>
      <c r="H297" s="58" t="s">
        <v>438</v>
      </c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</row>
    <row r="298" spans="1:18" x14ac:dyDescent="0.25">
      <c r="A298" s="157"/>
      <c r="B298" s="122"/>
      <c r="C298" s="126"/>
      <c r="D298" s="128"/>
      <c r="E298" s="117"/>
      <c r="F298" s="131"/>
      <c r="G298" s="131"/>
      <c r="H298" s="59" t="s">
        <v>149</v>
      </c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</row>
    <row r="299" spans="1:18" x14ac:dyDescent="0.25">
      <c r="A299" s="161" t="s">
        <v>76</v>
      </c>
      <c r="B299" s="124" t="str">
        <f>VLOOKUP(A299,Rules!$B$8:$C$154,2,0)</f>
        <v>Tia</v>
      </c>
      <c r="C299" s="125">
        <f>SUM(I300:XX300)</f>
        <v>0</v>
      </c>
      <c r="D299" s="127"/>
      <c r="E299" s="116" t="s">
        <v>492</v>
      </c>
      <c r="F299" s="130">
        <f>VLOOKUP(A299,Table2[],10,0)</f>
        <v>6</v>
      </c>
      <c r="G299" s="130"/>
      <c r="H299" s="56" t="s">
        <v>440</v>
      </c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</row>
    <row r="300" spans="1:18" x14ac:dyDescent="0.25">
      <c r="A300" s="157"/>
      <c r="B300" s="122"/>
      <c r="C300" s="126"/>
      <c r="D300" s="128"/>
      <c r="E300" s="117"/>
      <c r="F300" s="131"/>
      <c r="G300" s="131"/>
      <c r="H300" s="57" t="s">
        <v>439</v>
      </c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</row>
    <row r="301" spans="1:18" x14ac:dyDescent="0.25">
      <c r="A301" s="157"/>
      <c r="B301" s="122"/>
      <c r="C301" s="126"/>
      <c r="D301" s="128"/>
      <c r="E301" s="117" t="s">
        <v>493</v>
      </c>
      <c r="F301" s="131"/>
      <c r="G301" s="131"/>
      <c r="H301" s="58" t="s">
        <v>438</v>
      </c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</row>
    <row r="302" spans="1:18" x14ac:dyDescent="0.25">
      <c r="A302" s="157"/>
      <c r="B302" s="122"/>
      <c r="C302" s="126"/>
      <c r="D302" s="128"/>
      <c r="E302" s="117"/>
      <c r="F302" s="131"/>
      <c r="G302" s="131"/>
      <c r="H302" s="59" t="s">
        <v>149</v>
      </c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</row>
    <row r="303" spans="1:18" x14ac:dyDescent="0.25">
      <c r="A303" s="161" t="s">
        <v>77</v>
      </c>
      <c r="B303" s="124" t="str">
        <f>VLOOKUP(A303,Rules!$B$8:$C$154,2,0)</f>
        <v>Tia</v>
      </c>
      <c r="C303" s="125">
        <f>SUM(I304:XX304)</f>
        <v>0</v>
      </c>
      <c r="D303" s="127"/>
      <c r="E303" s="116" t="s">
        <v>492</v>
      </c>
      <c r="F303" s="130">
        <f>VLOOKUP(A303,Table2[],10,0)</f>
        <v>6</v>
      </c>
      <c r="G303" s="130"/>
      <c r="H303" s="56" t="s">
        <v>440</v>
      </c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</row>
    <row r="304" spans="1:18" x14ac:dyDescent="0.25">
      <c r="A304" s="157"/>
      <c r="B304" s="122"/>
      <c r="C304" s="126"/>
      <c r="D304" s="128"/>
      <c r="E304" s="117"/>
      <c r="F304" s="131"/>
      <c r="G304" s="165"/>
      <c r="H304" s="57" t="s">
        <v>439</v>
      </c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</row>
    <row r="305" spans="1:18" x14ac:dyDescent="0.25">
      <c r="A305" s="157"/>
      <c r="B305" s="122"/>
      <c r="C305" s="126"/>
      <c r="D305" s="128"/>
      <c r="E305" s="117" t="s">
        <v>493</v>
      </c>
      <c r="F305" s="131"/>
      <c r="G305" s="131"/>
      <c r="H305" s="58" t="s">
        <v>438</v>
      </c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</row>
    <row r="306" spans="1:18" x14ac:dyDescent="0.25">
      <c r="A306" s="157"/>
      <c r="B306" s="122"/>
      <c r="C306" s="126"/>
      <c r="D306" s="128"/>
      <c r="E306" s="117"/>
      <c r="F306" s="131"/>
      <c r="G306" s="131"/>
      <c r="H306" s="59" t="s">
        <v>149</v>
      </c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</row>
    <row r="307" spans="1:18" x14ac:dyDescent="0.25">
      <c r="A307" s="161" t="s">
        <v>78</v>
      </c>
      <c r="B307" s="124" t="str">
        <f>VLOOKUP(A307,Rules!$B$8:$C$154,2,0)</f>
        <v>Tia</v>
      </c>
      <c r="C307" s="125">
        <f>SUM(I308:XX308)</f>
        <v>0</v>
      </c>
      <c r="D307" s="127"/>
      <c r="E307" s="116" t="s">
        <v>492</v>
      </c>
      <c r="F307" s="130">
        <f>VLOOKUP(A307,Table2[],10,0)</f>
        <v>6</v>
      </c>
      <c r="G307" s="130"/>
      <c r="H307" s="56" t="s">
        <v>440</v>
      </c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</row>
    <row r="308" spans="1:18" x14ac:dyDescent="0.25">
      <c r="A308" s="157"/>
      <c r="B308" s="122"/>
      <c r="C308" s="126"/>
      <c r="D308" s="128"/>
      <c r="E308" s="117"/>
      <c r="F308" s="131"/>
      <c r="G308" s="131"/>
      <c r="H308" s="57" t="s">
        <v>439</v>
      </c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</row>
    <row r="309" spans="1:18" x14ac:dyDescent="0.25">
      <c r="A309" s="157"/>
      <c r="B309" s="122"/>
      <c r="C309" s="126"/>
      <c r="D309" s="128"/>
      <c r="E309" s="117" t="s">
        <v>493</v>
      </c>
      <c r="F309" s="131"/>
      <c r="G309" s="131"/>
      <c r="H309" s="58" t="s">
        <v>438</v>
      </c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</row>
    <row r="310" spans="1:18" x14ac:dyDescent="0.25">
      <c r="A310" s="157"/>
      <c r="B310" s="122"/>
      <c r="C310" s="126"/>
      <c r="D310" s="128"/>
      <c r="E310" s="117"/>
      <c r="F310" s="131"/>
      <c r="G310" s="131"/>
      <c r="H310" s="59" t="s">
        <v>149</v>
      </c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</row>
    <row r="311" spans="1:18" x14ac:dyDescent="0.25">
      <c r="A311" s="161" t="s">
        <v>79</v>
      </c>
      <c r="B311" s="124" t="str">
        <f>VLOOKUP(A311,Rules!$B$8:$C$154,2,0)</f>
        <v>Tia</v>
      </c>
      <c r="C311" s="125">
        <f>SUM(I312:XX312)</f>
        <v>0</v>
      </c>
      <c r="D311" s="127"/>
      <c r="E311" s="116" t="s">
        <v>492</v>
      </c>
      <c r="F311" s="130">
        <f>VLOOKUP(A311,Table2[],10,0)</f>
        <v>6</v>
      </c>
      <c r="G311" s="130"/>
      <c r="H311" s="56" t="s">
        <v>440</v>
      </c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</row>
    <row r="312" spans="1:18" x14ac:dyDescent="0.25">
      <c r="A312" s="157"/>
      <c r="B312" s="122"/>
      <c r="C312" s="126"/>
      <c r="D312" s="128"/>
      <c r="E312" s="117"/>
      <c r="F312" s="131"/>
      <c r="G312" s="131"/>
      <c r="H312" s="57" t="s">
        <v>439</v>
      </c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</row>
    <row r="313" spans="1:18" x14ac:dyDescent="0.25">
      <c r="A313" s="157"/>
      <c r="B313" s="122"/>
      <c r="C313" s="126"/>
      <c r="D313" s="128"/>
      <c r="E313" s="117" t="s">
        <v>493</v>
      </c>
      <c r="F313" s="131"/>
      <c r="G313" s="131"/>
      <c r="H313" s="58" t="s">
        <v>438</v>
      </c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</row>
    <row r="314" spans="1:18" x14ac:dyDescent="0.25">
      <c r="A314" s="157"/>
      <c r="B314" s="122"/>
      <c r="C314" s="126"/>
      <c r="D314" s="128"/>
      <c r="E314" s="117"/>
      <c r="F314" s="131"/>
      <c r="G314" s="131"/>
      <c r="H314" s="59" t="s">
        <v>149</v>
      </c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</row>
    <row r="315" spans="1:18" x14ac:dyDescent="0.25">
      <c r="A315" s="161" t="s">
        <v>80</v>
      </c>
      <c r="B315" s="124" t="str">
        <f>VLOOKUP(A315,Rules!$B$8:$C$154,2,0)</f>
        <v>Tia</v>
      </c>
      <c r="C315" s="125">
        <f>SUM(I316:XX316)</f>
        <v>0</v>
      </c>
      <c r="D315" s="127"/>
      <c r="E315" s="116" t="s">
        <v>492</v>
      </c>
      <c r="F315" s="130">
        <f>VLOOKUP(A315,Table2[],10,0)</f>
        <v>6</v>
      </c>
      <c r="G315" s="130"/>
      <c r="H315" s="56" t="s">
        <v>440</v>
      </c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</row>
    <row r="316" spans="1:18" x14ac:dyDescent="0.25">
      <c r="A316" s="157"/>
      <c r="B316" s="122"/>
      <c r="C316" s="126"/>
      <c r="D316" s="128"/>
      <c r="E316" s="117"/>
      <c r="F316" s="131"/>
      <c r="G316" s="131"/>
      <c r="H316" s="57" t="s">
        <v>439</v>
      </c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</row>
    <row r="317" spans="1:18" x14ac:dyDescent="0.25">
      <c r="A317" s="157"/>
      <c r="B317" s="122"/>
      <c r="C317" s="126"/>
      <c r="D317" s="128"/>
      <c r="E317" s="117" t="s">
        <v>493</v>
      </c>
      <c r="F317" s="131"/>
      <c r="G317" s="131"/>
      <c r="H317" s="58" t="s">
        <v>438</v>
      </c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</row>
    <row r="318" spans="1:18" x14ac:dyDescent="0.25">
      <c r="A318" s="157"/>
      <c r="B318" s="122"/>
      <c r="C318" s="126"/>
      <c r="D318" s="128"/>
      <c r="E318" s="117"/>
      <c r="F318" s="131"/>
      <c r="G318" s="131"/>
      <c r="H318" s="59" t="s">
        <v>149</v>
      </c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</row>
    <row r="319" spans="1:18" x14ac:dyDescent="0.25">
      <c r="A319" s="161" t="s">
        <v>81</v>
      </c>
      <c r="B319" s="124" t="str">
        <f>VLOOKUP(A319,Rules!$B$8:$C$154,2,0)</f>
        <v>Vendor</v>
      </c>
      <c r="C319" s="125">
        <f>SUM(I320:XX320)</f>
        <v>0</v>
      </c>
      <c r="D319" s="127"/>
      <c r="E319" s="116" t="s">
        <v>492</v>
      </c>
      <c r="F319" s="130">
        <f>VLOOKUP(A319,Table2[],10,0)</f>
        <v>8</v>
      </c>
      <c r="G319" s="130"/>
      <c r="H319" s="56" t="s">
        <v>440</v>
      </c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</row>
    <row r="320" spans="1:18" x14ac:dyDescent="0.25">
      <c r="A320" s="157"/>
      <c r="B320" s="122"/>
      <c r="C320" s="126"/>
      <c r="D320" s="128"/>
      <c r="E320" s="117"/>
      <c r="F320" s="131"/>
      <c r="G320" s="131"/>
      <c r="H320" s="57" t="s">
        <v>439</v>
      </c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</row>
    <row r="321" spans="1:18" x14ac:dyDescent="0.25">
      <c r="A321" s="157"/>
      <c r="B321" s="122"/>
      <c r="C321" s="126"/>
      <c r="D321" s="128"/>
      <c r="E321" s="117" t="s">
        <v>493</v>
      </c>
      <c r="F321" s="131"/>
      <c r="G321" s="131"/>
      <c r="H321" s="58" t="s">
        <v>438</v>
      </c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</row>
    <row r="322" spans="1:18" x14ac:dyDescent="0.25">
      <c r="A322" s="157"/>
      <c r="B322" s="122"/>
      <c r="C322" s="126"/>
      <c r="D322" s="128"/>
      <c r="E322" s="117"/>
      <c r="F322" s="131"/>
      <c r="G322" s="131"/>
      <c r="H322" s="59" t="s">
        <v>149</v>
      </c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</row>
    <row r="323" spans="1:18" x14ac:dyDescent="0.25">
      <c r="A323" s="161" t="s">
        <v>82</v>
      </c>
      <c r="B323" s="124" t="str">
        <f>VLOOKUP(A323,Rules!$B$8:$C$154,2,0)</f>
        <v>Vendor</v>
      </c>
      <c r="C323" s="125">
        <f>SUM(I324:XX324)</f>
        <v>0</v>
      </c>
      <c r="D323" s="127"/>
      <c r="E323" s="116" t="s">
        <v>492</v>
      </c>
      <c r="F323" s="130">
        <f>VLOOKUP(A323,Table2[],10,0)</f>
        <v>8</v>
      </c>
      <c r="G323" s="130"/>
      <c r="H323" s="56" t="s">
        <v>440</v>
      </c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</row>
    <row r="324" spans="1:18" x14ac:dyDescent="0.25">
      <c r="A324" s="157"/>
      <c r="B324" s="122"/>
      <c r="C324" s="126"/>
      <c r="D324" s="128"/>
      <c r="E324" s="117"/>
      <c r="F324" s="131"/>
      <c r="G324" s="131"/>
      <c r="H324" s="57" t="s">
        <v>439</v>
      </c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</row>
    <row r="325" spans="1:18" x14ac:dyDescent="0.25">
      <c r="A325" s="157"/>
      <c r="B325" s="122"/>
      <c r="C325" s="126"/>
      <c r="D325" s="128"/>
      <c r="E325" s="117" t="s">
        <v>493</v>
      </c>
      <c r="F325" s="131"/>
      <c r="G325" s="131"/>
      <c r="H325" s="58" t="s">
        <v>438</v>
      </c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</row>
    <row r="326" spans="1:18" x14ac:dyDescent="0.25">
      <c r="A326" s="157"/>
      <c r="B326" s="122"/>
      <c r="C326" s="126"/>
      <c r="D326" s="128"/>
      <c r="E326" s="117"/>
      <c r="F326" s="131"/>
      <c r="G326" s="131"/>
      <c r="H326" s="59" t="s">
        <v>149</v>
      </c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</row>
    <row r="327" spans="1:18" x14ac:dyDescent="0.25">
      <c r="A327" s="161" t="s">
        <v>83</v>
      </c>
      <c r="B327" s="124" t="str">
        <f>VLOOKUP(A327,Rules!$B$8:$C$154,2,0)</f>
        <v>Tia</v>
      </c>
      <c r="C327" s="125">
        <f>SUM(I328:XX328)</f>
        <v>0</v>
      </c>
      <c r="D327" s="127"/>
      <c r="E327" s="116" t="s">
        <v>492</v>
      </c>
      <c r="F327" s="130">
        <f>VLOOKUP(A327,Table2[],10,0)</f>
        <v>2</v>
      </c>
      <c r="G327" s="130"/>
      <c r="H327" s="56" t="s">
        <v>440</v>
      </c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</row>
    <row r="328" spans="1:18" x14ac:dyDescent="0.25">
      <c r="A328" s="157"/>
      <c r="B328" s="122"/>
      <c r="C328" s="126"/>
      <c r="D328" s="128"/>
      <c r="E328" s="117"/>
      <c r="F328" s="131"/>
      <c r="G328" s="131"/>
      <c r="H328" s="57" t="s">
        <v>439</v>
      </c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</row>
    <row r="329" spans="1:18" x14ac:dyDescent="0.25">
      <c r="A329" s="157"/>
      <c r="B329" s="122"/>
      <c r="C329" s="126"/>
      <c r="D329" s="128"/>
      <c r="E329" s="117" t="s">
        <v>493</v>
      </c>
      <c r="F329" s="131"/>
      <c r="G329" s="131"/>
      <c r="H329" s="58" t="s">
        <v>438</v>
      </c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</row>
    <row r="330" spans="1:18" x14ac:dyDescent="0.25">
      <c r="A330" s="157"/>
      <c r="B330" s="122"/>
      <c r="C330" s="126"/>
      <c r="D330" s="128"/>
      <c r="E330" s="117"/>
      <c r="F330" s="131"/>
      <c r="G330" s="131"/>
      <c r="H330" s="59" t="s">
        <v>149</v>
      </c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</row>
    <row r="331" spans="1:18" x14ac:dyDescent="0.25">
      <c r="A331" s="161" t="s">
        <v>84</v>
      </c>
      <c r="B331" s="124" t="str">
        <f>VLOOKUP(A331,Rules!$B$8:$C$154,2,0)</f>
        <v>Tia</v>
      </c>
      <c r="C331" s="125">
        <f>SUM(I332:XX332)</f>
        <v>0</v>
      </c>
      <c r="D331" s="127"/>
      <c r="E331" s="116" t="s">
        <v>492</v>
      </c>
      <c r="F331" s="130">
        <f>VLOOKUP(A331,Table2[],10,0)</f>
        <v>2</v>
      </c>
      <c r="G331" s="130"/>
      <c r="H331" s="56" t="s">
        <v>440</v>
      </c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</row>
    <row r="332" spans="1:18" x14ac:dyDescent="0.25">
      <c r="A332" s="157"/>
      <c r="B332" s="122"/>
      <c r="C332" s="126"/>
      <c r="D332" s="128"/>
      <c r="E332" s="117"/>
      <c r="F332" s="131"/>
      <c r="G332" s="131"/>
      <c r="H332" s="57" t="s">
        <v>439</v>
      </c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</row>
    <row r="333" spans="1:18" x14ac:dyDescent="0.25">
      <c r="A333" s="157"/>
      <c r="B333" s="122"/>
      <c r="C333" s="126"/>
      <c r="D333" s="128"/>
      <c r="E333" s="117" t="s">
        <v>493</v>
      </c>
      <c r="F333" s="131"/>
      <c r="G333" s="131"/>
      <c r="H333" s="58" t="s">
        <v>438</v>
      </c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</row>
    <row r="334" spans="1:18" x14ac:dyDescent="0.25">
      <c r="A334" s="157"/>
      <c r="B334" s="122"/>
      <c r="C334" s="126"/>
      <c r="D334" s="128"/>
      <c r="E334" s="117"/>
      <c r="F334" s="131"/>
      <c r="G334" s="131"/>
      <c r="H334" s="59" t="s">
        <v>149</v>
      </c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</row>
    <row r="335" spans="1:18" x14ac:dyDescent="0.25">
      <c r="A335" s="161" t="s">
        <v>85</v>
      </c>
      <c r="B335" s="124" t="str">
        <f>VLOOKUP(A335,Rules!$B$8:$C$154,2,0)</f>
        <v>Tia</v>
      </c>
      <c r="C335" s="125">
        <f>SUM(I336:XX336)</f>
        <v>0</v>
      </c>
      <c r="D335" s="127"/>
      <c r="E335" s="116" t="s">
        <v>492</v>
      </c>
      <c r="F335" s="130">
        <f>VLOOKUP(A335,Table2[],10,0)</f>
        <v>2</v>
      </c>
      <c r="G335" s="130"/>
      <c r="H335" s="56" t="s">
        <v>440</v>
      </c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</row>
    <row r="336" spans="1:18" x14ac:dyDescent="0.25">
      <c r="A336" s="157"/>
      <c r="B336" s="122"/>
      <c r="C336" s="126"/>
      <c r="D336" s="128"/>
      <c r="E336" s="117"/>
      <c r="F336" s="131"/>
      <c r="G336" s="131"/>
      <c r="H336" s="57" t="s">
        <v>439</v>
      </c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</row>
    <row r="337" spans="1:18" x14ac:dyDescent="0.25">
      <c r="A337" s="157"/>
      <c r="B337" s="122"/>
      <c r="C337" s="126"/>
      <c r="D337" s="128"/>
      <c r="E337" s="117" t="s">
        <v>493</v>
      </c>
      <c r="F337" s="131"/>
      <c r="G337" s="131"/>
      <c r="H337" s="58" t="s">
        <v>438</v>
      </c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</row>
    <row r="338" spans="1:18" x14ac:dyDescent="0.25">
      <c r="A338" s="157"/>
      <c r="B338" s="122"/>
      <c r="C338" s="126"/>
      <c r="D338" s="128"/>
      <c r="E338" s="117"/>
      <c r="F338" s="131"/>
      <c r="G338" s="131"/>
      <c r="H338" s="59" t="s">
        <v>149</v>
      </c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</row>
    <row r="339" spans="1:18" x14ac:dyDescent="0.25">
      <c r="A339" s="161" t="s">
        <v>86</v>
      </c>
      <c r="B339" s="124" t="str">
        <f>VLOOKUP(A339,Rules!$B$8:$C$154,2,0)</f>
        <v>Tia</v>
      </c>
      <c r="C339" s="125">
        <f>SUM(I340:XX340)</f>
        <v>0</v>
      </c>
      <c r="D339" s="127"/>
      <c r="E339" s="116" t="s">
        <v>492</v>
      </c>
      <c r="F339" s="130">
        <f>VLOOKUP(A339,Table2[],10,0)</f>
        <v>2</v>
      </c>
      <c r="G339" s="130"/>
      <c r="H339" s="56" t="s">
        <v>440</v>
      </c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</row>
    <row r="340" spans="1:18" x14ac:dyDescent="0.25">
      <c r="A340" s="157"/>
      <c r="B340" s="122"/>
      <c r="C340" s="126"/>
      <c r="D340" s="128"/>
      <c r="E340" s="117"/>
      <c r="F340" s="131"/>
      <c r="G340" s="131"/>
      <c r="H340" s="57" t="s">
        <v>439</v>
      </c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</row>
    <row r="341" spans="1:18" x14ac:dyDescent="0.25">
      <c r="A341" s="157"/>
      <c r="B341" s="122"/>
      <c r="C341" s="126"/>
      <c r="D341" s="128"/>
      <c r="E341" s="117" t="s">
        <v>493</v>
      </c>
      <c r="F341" s="131"/>
      <c r="G341" s="131"/>
      <c r="H341" s="58" t="s">
        <v>438</v>
      </c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</row>
    <row r="342" spans="1:18" x14ac:dyDescent="0.25">
      <c r="A342" s="157"/>
      <c r="B342" s="122"/>
      <c r="C342" s="126"/>
      <c r="D342" s="128"/>
      <c r="E342" s="117"/>
      <c r="F342" s="131"/>
      <c r="G342" s="131"/>
      <c r="H342" s="59" t="s">
        <v>149</v>
      </c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</row>
    <row r="343" spans="1:18" x14ac:dyDescent="0.25">
      <c r="A343" s="161" t="s">
        <v>87</v>
      </c>
      <c r="B343" s="124" t="str">
        <f>VLOOKUP(A343,Rules!$B$8:$C$154,2,0)</f>
        <v>Tia</v>
      </c>
      <c r="C343" s="125">
        <f>SUM(I344:XX344)</f>
        <v>0</v>
      </c>
      <c r="D343" s="127"/>
      <c r="E343" s="116" t="s">
        <v>492</v>
      </c>
      <c r="F343" s="130">
        <f>VLOOKUP(A343,Table2[],10,0)</f>
        <v>2</v>
      </c>
      <c r="G343" s="130"/>
      <c r="H343" s="56" t="s">
        <v>440</v>
      </c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</row>
    <row r="344" spans="1:18" x14ac:dyDescent="0.25">
      <c r="A344" s="157"/>
      <c r="B344" s="122"/>
      <c r="C344" s="126"/>
      <c r="D344" s="128"/>
      <c r="E344" s="117"/>
      <c r="F344" s="131"/>
      <c r="G344" s="131"/>
      <c r="H344" s="57" t="s">
        <v>439</v>
      </c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</row>
    <row r="345" spans="1:18" x14ac:dyDescent="0.25">
      <c r="A345" s="157"/>
      <c r="B345" s="122"/>
      <c r="C345" s="126"/>
      <c r="D345" s="128"/>
      <c r="E345" s="117" t="s">
        <v>493</v>
      </c>
      <c r="F345" s="131"/>
      <c r="G345" s="131"/>
      <c r="H345" s="58" t="s">
        <v>438</v>
      </c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</row>
    <row r="346" spans="1:18" x14ac:dyDescent="0.25">
      <c r="A346" s="157"/>
      <c r="B346" s="122"/>
      <c r="C346" s="126"/>
      <c r="D346" s="128"/>
      <c r="E346" s="117"/>
      <c r="F346" s="131"/>
      <c r="G346" s="131"/>
      <c r="H346" s="59" t="s">
        <v>149</v>
      </c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</row>
    <row r="347" spans="1:18" x14ac:dyDescent="0.25">
      <c r="A347" s="161" t="s">
        <v>88</v>
      </c>
      <c r="B347" s="124" t="str">
        <f>VLOOKUP(A347,Rules!$B$8:$C$154,2,0)</f>
        <v>Tia</v>
      </c>
      <c r="C347" s="125">
        <f>SUM(I348:XX348)</f>
        <v>0</v>
      </c>
      <c r="D347" s="127"/>
      <c r="E347" s="116" t="s">
        <v>492</v>
      </c>
      <c r="F347" s="130">
        <f>VLOOKUP(A347,Table2[],10,0)</f>
        <v>2</v>
      </c>
      <c r="G347" s="130"/>
      <c r="H347" s="56" t="s">
        <v>440</v>
      </c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</row>
    <row r="348" spans="1:18" x14ac:dyDescent="0.25">
      <c r="A348" s="157"/>
      <c r="B348" s="122"/>
      <c r="C348" s="126"/>
      <c r="D348" s="128"/>
      <c r="E348" s="117"/>
      <c r="F348" s="131"/>
      <c r="G348" s="131"/>
      <c r="H348" s="57" t="s">
        <v>439</v>
      </c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</row>
    <row r="349" spans="1:18" x14ac:dyDescent="0.25">
      <c r="A349" s="157"/>
      <c r="B349" s="122"/>
      <c r="C349" s="126"/>
      <c r="D349" s="128"/>
      <c r="E349" s="117" t="s">
        <v>493</v>
      </c>
      <c r="F349" s="131"/>
      <c r="G349" s="131"/>
      <c r="H349" s="58" t="s">
        <v>438</v>
      </c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</row>
    <row r="350" spans="1:18" x14ac:dyDescent="0.25">
      <c r="A350" s="157"/>
      <c r="B350" s="122"/>
      <c r="C350" s="126"/>
      <c r="D350" s="128"/>
      <c r="E350" s="117"/>
      <c r="F350" s="131"/>
      <c r="G350" s="131"/>
      <c r="H350" s="59" t="s">
        <v>149</v>
      </c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</row>
    <row r="351" spans="1:18" x14ac:dyDescent="0.25">
      <c r="A351" s="161" t="s">
        <v>89</v>
      </c>
      <c r="B351" s="124" t="str">
        <f>VLOOKUP(A351,Rules!$B$8:$C$154,2,0)</f>
        <v>Tia</v>
      </c>
      <c r="C351" s="125">
        <f>SUM(I352:XX352)</f>
        <v>0</v>
      </c>
      <c r="D351" s="127"/>
      <c r="E351" s="116" t="s">
        <v>492</v>
      </c>
      <c r="F351" s="130">
        <f>VLOOKUP(A351,Table2[],10,0)</f>
        <v>2</v>
      </c>
      <c r="G351" s="130"/>
      <c r="H351" s="56" t="s">
        <v>440</v>
      </c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</row>
    <row r="352" spans="1:18" x14ac:dyDescent="0.25">
      <c r="A352" s="157"/>
      <c r="B352" s="122"/>
      <c r="C352" s="126"/>
      <c r="D352" s="128"/>
      <c r="E352" s="117"/>
      <c r="F352" s="131"/>
      <c r="G352" s="131"/>
      <c r="H352" s="57" t="s">
        <v>439</v>
      </c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</row>
    <row r="353" spans="1:18" x14ac:dyDescent="0.25">
      <c r="A353" s="157"/>
      <c r="B353" s="122"/>
      <c r="C353" s="126"/>
      <c r="D353" s="128"/>
      <c r="E353" s="117" t="s">
        <v>493</v>
      </c>
      <c r="F353" s="131"/>
      <c r="G353" s="131"/>
      <c r="H353" s="58" t="s">
        <v>438</v>
      </c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</row>
    <row r="354" spans="1:18" x14ac:dyDescent="0.25">
      <c r="A354" s="157"/>
      <c r="B354" s="122"/>
      <c r="C354" s="126"/>
      <c r="D354" s="128"/>
      <c r="E354" s="117"/>
      <c r="F354" s="131"/>
      <c r="G354" s="131"/>
      <c r="H354" s="59" t="s">
        <v>149</v>
      </c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</row>
    <row r="355" spans="1:18" x14ac:dyDescent="0.25">
      <c r="A355" s="161" t="s">
        <v>90</v>
      </c>
      <c r="B355" s="124" t="str">
        <f>VLOOKUP(A355,Rules!$B$8:$C$154,2,0)</f>
        <v>Tia</v>
      </c>
      <c r="C355" s="125">
        <f>SUM(I356:XX356)</f>
        <v>0</v>
      </c>
      <c r="D355" s="127"/>
      <c r="E355" s="116" t="s">
        <v>492</v>
      </c>
      <c r="F355" s="130">
        <f>VLOOKUP(A355,Table2[],10,0)</f>
        <v>2</v>
      </c>
      <c r="G355" s="130"/>
      <c r="H355" s="56" t="s">
        <v>440</v>
      </c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</row>
    <row r="356" spans="1:18" x14ac:dyDescent="0.25">
      <c r="A356" s="157"/>
      <c r="B356" s="122"/>
      <c r="C356" s="126"/>
      <c r="D356" s="128"/>
      <c r="E356" s="117"/>
      <c r="F356" s="131"/>
      <c r="G356" s="131"/>
      <c r="H356" s="57" t="s">
        <v>439</v>
      </c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</row>
    <row r="357" spans="1:18" x14ac:dyDescent="0.25">
      <c r="A357" s="157"/>
      <c r="B357" s="122"/>
      <c r="C357" s="126"/>
      <c r="D357" s="128"/>
      <c r="E357" s="117" t="s">
        <v>493</v>
      </c>
      <c r="F357" s="131"/>
      <c r="G357" s="131"/>
      <c r="H357" s="58" t="s">
        <v>438</v>
      </c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</row>
    <row r="358" spans="1:18" x14ac:dyDescent="0.25">
      <c r="A358" s="157"/>
      <c r="B358" s="122"/>
      <c r="C358" s="126"/>
      <c r="D358" s="128"/>
      <c r="E358" s="117"/>
      <c r="F358" s="131"/>
      <c r="G358" s="131"/>
      <c r="H358" s="59" t="s">
        <v>149</v>
      </c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</row>
    <row r="359" spans="1:18" x14ac:dyDescent="0.25">
      <c r="A359" s="161" t="s">
        <v>91</v>
      </c>
      <c r="B359" s="124" t="str">
        <f>VLOOKUP(A359,Rules!$B$8:$C$154,2,0)</f>
        <v>Tia</v>
      </c>
      <c r="C359" s="125">
        <f>SUM(I360:XX360)</f>
        <v>0</v>
      </c>
      <c r="D359" s="127"/>
      <c r="E359" s="116" t="s">
        <v>492</v>
      </c>
      <c r="F359" s="130">
        <f>VLOOKUP(A359,Table2[],10,0)</f>
        <v>2</v>
      </c>
      <c r="G359" s="130"/>
      <c r="H359" s="56" t="s">
        <v>440</v>
      </c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</row>
    <row r="360" spans="1:18" x14ac:dyDescent="0.25">
      <c r="A360" s="157"/>
      <c r="B360" s="122"/>
      <c r="C360" s="126"/>
      <c r="D360" s="128"/>
      <c r="E360" s="117"/>
      <c r="F360" s="131"/>
      <c r="G360" s="131"/>
      <c r="H360" s="57" t="s">
        <v>439</v>
      </c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</row>
    <row r="361" spans="1:18" x14ac:dyDescent="0.25">
      <c r="A361" s="157"/>
      <c r="B361" s="122"/>
      <c r="C361" s="126"/>
      <c r="D361" s="128"/>
      <c r="E361" s="117" t="s">
        <v>493</v>
      </c>
      <c r="F361" s="131"/>
      <c r="G361" s="131"/>
      <c r="H361" s="58" t="s">
        <v>438</v>
      </c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</row>
    <row r="362" spans="1:18" x14ac:dyDescent="0.25">
      <c r="A362" s="157"/>
      <c r="B362" s="122"/>
      <c r="C362" s="126"/>
      <c r="D362" s="128"/>
      <c r="E362" s="117"/>
      <c r="F362" s="131"/>
      <c r="G362" s="131"/>
      <c r="H362" s="59" t="s">
        <v>149</v>
      </c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</row>
    <row r="363" spans="1:18" x14ac:dyDescent="0.25">
      <c r="A363" s="161" t="s">
        <v>92</v>
      </c>
      <c r="B363" s="124" t="str">
        <f>VLOOKUP(A363,Rules!$B$8:$C$154,2,0)</f>
        <v>Tia</v>
      </c>
      <c r="C363" s="125">
        <f>SUM(I364:XX364)</f>
        <v>0</v>
      </c>
      <c r="D363" s="127"/>
      <c r="E363" s="116" t="s">
        <v>492</v>
      </c>
      <c r="F363" s="130">
        <f>VLOOKUP(A363,Table2[],10,0)</f>
        <v>2</v>
      </c>
      <c r="G363" s="130"/>
      <c r="H363" s="56" t="s">
        <v>440</v>
      </c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</row>
    <row r="364" spans="1:18" x14ac:dyDescent="0.25">
      <c r="A364" s="157"/>
      <c r="B364" s="122"/>
      <c r="C364" s="126"/>
      <c r="D364" s="128"/>
      <c r="E364" s="117"/>
      <c r="F364" s="131"/>
      <c r="G364" s="131"/>
      <c r="H364" s="57" t="s">
        <v>439</v>
      </c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</row>
    <row r="365" spans="1:18" x14ac:dyDescent="0.25">
      <c r="A365" s="157"/>
      <c r="B365" s="122"/>
      <c r="C365" s="126"/>
      <c r="D365" s="128"/>
      <c r="E365" s="117" t="s">
        <v>493</v>
      </c>
      <c r="F365" s="131"/>
      <c r="G365" s="131"/>
      <c r="H365" s="58" t="s">
        <v>438</v>
      </c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</row>
    <row r="366" spans="1:18" x14ac:dyDescent="0.25">
      <c r="A366" s="157"/>
      <c r="B366" s="122"/>
      <c r="C366" s="126"/>
      <c r="D366" s="128"/>
      <c r="E366" s="117"/>
      <c r="F366" s="131"/>
      <c r="G366" s="131"/>
      <c r="H366" s="59" t="s">
        <v>149</v>
      </c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</row>
    <row r="367" spans="1:18" x14ac:dyDescent="0.25">
      <c r="A367" s="161" t="s">
        <v>93</v>
      </c>
      <c r="B367" s="124" t="str">
        <f>VLOOKUP(A367,Rules!$B$8:$C$154,2,0)</f>
        <v>Tia</v>
      </c>
      <c r="C367" s="125">
        <f>SUM(I368:XX368)</f>
        <v>0</v>
      </c>
      <c r="D367" s="127"/>
      <c r="E367" s="116" t="s">
        <v>492</v>
      </c>
      <c r="F367" s="130">
        <f>VLOOKUP(A367,Table2[],10,0)</f>
        <v>2</v>
      </c>
      <c r="G367" s="130"/>
      <c r="H367" s="56" t="s">
        <v>440</v>
      </c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</row>
    <row r="368" spans="1:18" x14ac:dyDescent="0.25">
      <c r="A368" s="157"/>
      <c r="B368" s="122"/>
      <c r="C368" s="126"/>
      <c r="D368" s="128"/>
      <c r="E368" s="117"/>
      <c r="F368" s="131"/>
      <c r="G368" s="131"/>
      <c r="H368" s="57" t="s">
        <v>439</v>
      </c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</row>
    <row r="369" spans="1:18" x14ac:dyDescent="0.25">
      <c r="A369" s="157"/>
      <c r="B369" s="122"/>
      <c r="C369" s="126"/>
      <c r="D369" s="128"/>
      <c r="E369" s="117" t="s">
        <v>493</v>
      </c>
      <c r="F369" s="131"/>
      <c r="G369" s="131"/>
      <c r="H369" s="58" t="s">
        <v>438</v>
      </c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</row>
    <row r="370" spans="1:18" x14ac:dyDescent="0.25">
      <c r="A370" s="157"/>
      <c r="B370" s="122"/>
      <c r="C370" s="126"/>
      <c r="D370" s="128"/>
      <c r="E370" s="117"/>
      <c r="F370" s="131"/>
      <c r="G370" s="131"/>
      <c r="H370" s="59" t="s">
        <v>149</v>
      </c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</row>
    <row r="371" spans="1:18" x14ac:dyDescent="0.25">
      <c r="A371" s="161" t="s">
        <v>94</v>
      </c>
      <c r="B371" s="124" t="str">
        <f>VLOOKUP(A371,Rules!$B$8:$C$154,2,0)</f>
        <v>Tia</v>
      </c>
      <c r="C371" s="125">
        <f>SUM(I372:XX372)</f>
        <v>0</v>
      </c>
      <c r="D371" s="127"/>
      <c r="E371" s="116" t="s">
        <v>492</v>
      </c>
      <c r="F371" s="130">
        <f>VLOOKUP(A371,Table2[],10,0)</f>
        <v>2</v>
      </c>
      <c r="G371" s="130"/>
      <c r="H371" s="56" t="s">
        <v>440</v>
      </c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</row>
    <row r="372" spans="1:18" x14ac:dyDescent="0.25">
      <c r="A372" s="157"/>
      <c r="B372" s="122"/>
      <c r="C372" s="126"/>
      <c r="D372" s="128"/>
      <c r="E372" s="117"/>
      <c r="F372" s="131"/>
      <c r="G372" s="131"/>
      <c r="H372" s="57" t="s">
        <v>439</v>
      </c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</row>
    <row r="373" spans="1:18" x14ac:dyDescent="0.25">
      <c r="A373" s="157"/>
      <c r="B373" s="122"/>
      <c r="C373" s="126"/>
      <c r="D373" s="128"/>
      <c r="E373" s="117" t="s">
        <v>493</v>
      </c>
      <c r="F373" s="131"/>
      <c r="G373" s="131"/>
      <c r="H373" s="58" t="s">
        <v>438</v>
      </c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</row>
    <row r="374" spans="1:18" x14ac:dyDescent="0.25">
      <c r="A374" s="157"/>
      <c r="B374" s="122"/>
      <c r="C374" s="126"/>
      <c r="D374" s="128"/>
      <c r="E374" s="117"/>
      <c r="F374" s="131"/>
      <c r="G374" s="131"/>
      <c r="H374" s="59" t="s">
        <v>149</v>
      </c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</row>
    <row r="375" spans="1:18" x14ac:dyDescent="0.25">
      <c r="A375" s="161" t="s">
        <v>95</v>
      </c>
      <c r="B375" s="124" t="str">
        <f>VLOOKUP(A375,Rules!$B$8:$C$154,2,0)</f>
        <v>Tia</v>
      </c>
      <c r="C375" s="125">
        <f>SUM(I376:XX376)</f>
        <v>0</v>
      </c>
      <c r="D375" s="127"/>
      <c r="E375" s="116" t="s">
        <v>492</v>
      </c>
      <c r="F375" s="130">
        <f>VLOOKUP(A375,Table2[],10,0)</f>
        <v>2</v>
      </c>
      <c r="G375" s="130"/>
      <c r="H375" s="56" t="s">
        <v>440</v>
      </c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</row>
    <row r="376" spans="1:18" x14ac:dyDescent="0.25">
      <c r="A376" s="157"/>
      <c r="B376" s="122"/>
      <c r="C376" s="126"/>
      <c r="D376" s="128"/>
      <c r="E376" s="117"/>
      <c r="F376" s="131"/>
      <c r="G376" s="131"/>
      <c r="H376" s="57" t="s">
        <v>439</v>
      </c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</row>
    <row r="377" spans="1:18" x14ac:dyDescent="0.25">
      <c r="A377" s="157"/>
      <c r="B377" s="122"/>
      <c r="C377" s="126"/>
      <c r="D377" s="128"/>
      <c r="E377" s="117" t="s">
        <v>493</v>
      </c>
      <c r="F377" s="131"/>
      <c r="G377" s="131"/>
      <c r="H377" s="58" t="s">
        <v>438</v>
      </c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</row>
    <row r="378" spans="1:18" x14ac:dyDescent="0.25">
      <c r="A378" s="157"/>
      <c r="B378" s="122"/>
      <c r="C378" s="126"/>
      <c r="D378" s="128"/>
      <c r="E378" s="117"/>
      <c r="F378" s="131"/>
      <c r="G378" s="131"/>
      <c r="H378" s="59" t="s">
        <v>149</v>
      </c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</row>
    <row r="379" spans="1:18" x14ac:dyDescent="0.25">
      <c r="A379" s="161" t="s">
        <v>96</v>
      </c>
      <c r="B379" s="124" t="str">
        <f>VLOOKUP(A379,Rules!$B$8:$C$154,2,0)</f>
        <v>Tia</v>
      </c>
      <c r="C379" s="125">
        <f>SUM(I380:XX380)</f>
        <v>0</v>
      </c>
      <c r="D379" s="127"/>
      <c r="E379" s="116" t="s">
        <v>492</v>
      </c>
      <c r="F379" s="130">
        <f>VLOOKUP(A379,Table2[],10,0)</f>
        <v>2</v>
      </c>
      <c r="G379" s="130"/>
      <c r="H379" s="56" t="s">
        <v>440</v>
      </c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</row>
    <row r="380" spans="1:18" x14ac:dyDescent="0.25">
      <c r="A380" s="157"/>
      <c r="B380" s="122"/>
      <c r="C380" s="126"/>
      <c r="D380" s="128"/>
      <c r="E380" s="117"/>
      <c r="F380" s="131"/>
      <c r="G380" s="131"/>
      <c r="H380" s="57" t="s">
        <v>439</v>
      </c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</row>
    <row r="381" spans="1:18" x14ac:dyDescent="0.25">
      <c r="A381" s="157"/>
      <c r="B381" s="122"/>
      <c r="C381" s="126"/>
      <c r="D381" s="128"/>
      <c r="E381" s="117" t="s">
        <v>493</v>
      </c>
      <c r="F381" s="131"/>
      <c r="G381" s="131"/>
      <c r="H381" s="58" t="s">
        <v>438</v>
      </c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</row>
    <row r="382" spans="1:18" x14ac:dyDescent="0.25">
      <c r="A382" s="157"/>
      <c r="B382" s="122"/>
      <c r="C382" s="126"/>
      <c r="D382" s="128"/>
      <c r="E382" s="117"/>
      <c r="F382" s="131"/>
      <c r="G382" s="131"/>
      <c r="H382" s="59" t="s">
        <v>149</v>
      </c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</row>
    <row r="383" spans="1:18" x14ac:dyDescent="0.25">
      <c r="A383" s="161" t="s">
        <v>97</v>
      </c>
      <c r="B383" s="124" t="str">
        <f>VLOOKUP(A383,Rules!$B$8:$C$154,2,0)</f>
        <v>Tia</v>
      </c>
      <c r="C383" s="125">
        <f>SUM(I384:XX384)</f>
        <v>0</v>
      </c>
      <c r="D383" s="127"/>
      <c r="E383" s="116" t="s">
        <v>492</v>
      </c>
      <c r="F383" s="130">
        <f>VLOOKUP(A383,Table2[],10,0)</f>
        <v>2</v>
      </c>
      <c r="G383" s="130"/>
      <c r="H383" s="56" t="s">
        <v>440</v>
      </c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</row>
    <row r="384" spans="1:18" x14ac:dyDescent="0.25">
      <c r="A384" s="157"/>
      <c r="B384" s="122"/>
      <c r="C384" s="126"/>
      <c r="D384" s="128"/>
      <c r="E384" s="117"/>
      <c r="F384" s="131"/>
      <c r="G384" s="131"/>
      <c r="H384" s="57" t="s">
        <v>439</v>
      </c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</row>
    <row r="385" spans="1:364" x14ac:dyDescent="0.25">
      <c r="A385" s="157"/>
      <c r="B385" s="122"/>
      <c r="C385" s="126"/>
      <c r="D385" s="128"/>
      <c r="E385" s="117" t="s">
        <v>493</v>
      </c>
      <c r="F385" s="131"/>
      <c r="G385" s="131"/>
      <c r="H385" s="58" t="s">
        <v>438</v>
      </c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</row>
    <row r="386" spans="1:364" x14ac:dyDescent="0.25">
      <c r="A386" s="157"/>
      <c r="B386" s="122"/>
      <c r="C386" s="126"/>
      <c r="D386" s="128"/>
      <c r="E386" s="117"/>
      <c r="F386" s="131"/>
      <c r="G386" s="131"/>
      <c r="H386" s="59" t="s">
        <v>149</v>
      </c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</row>
    <row r="387" spans="1:364" x14ac:dyDescent="0.25">
      <c r="A387" s="161" t="s">
        <v>98</v>
      </c>
      <c r="B387" s="124" t="str">
        <f>VLOOKUP(A387,Rules!$B$8:$C$154,2,0)</f>
        <v>Tia</v>
      </c>
      <c r="C387" s="125">
        <f>SUM(I388:XX388)</f>
        <v>0</v>
      </c>
      <c r="D387" s="127"/>
      <c r="E387" s="116" t="s">
        <v>492</v>
      </c>
      <c r="F387" s="130">
        <f>VLOOKUP(A387,Table2[],10,0)</f>
        <v>2</v>
      </c>
      <c r="G387" s="130"/>
      <c r="H387" s="56" t="s">
        <v>440</v>
      </c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</row>
    <row r="388" spans="1:364" x14ac:dyDescent="0.25">
      <c r="A388" s="157"/>
      <c r="B388" s="122"/>
      <c r="C388" s="126"/>
      <c r="D388" s="128"/>
      <c r="E388" s="117"/>
      <c r="F388" s="131"/>
      <c r="G388" s="131"/>
      <c r="H388" s="57" t="s">
        <v>439</v>
      </c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</row>
    <row r="389" spans="1:364" x14ac:dyDescent="0.25">
      <c r="A389" s="157"/>
      <c r="B389" s="122"/>
      <c r="C389" s="126"/>
      <c r="D389" s="128"/>
      <c r="E389" s="117" t="s">
        <v>493</v>
      </c>
      <c r="F389" s="131"/>
      <c r="G389" s="131"/>
      <c r="H389" s="58" t="s">
        <v>438</v>
      </c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</row>
    <row r="390" spans="1:364" x14ac:dyDescent="0.25">
      <c r="A390" s="157"/>
      <c r="B390" s="122"/>
      <c r="C390" s="126"/>
      <c r="D390" s="128"/>
      <c r="E390" s="117"/>
      <c r="F390" s="131"/>
      <c r="G390" s="131"/>
      <c r="H390" s="59" t="s">
        <v>149</v>
      </c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</row>
    <row r="391" spans="1:364" x14ac:dyDescent="0.25">
      <c r="A391" s="121" t="s">
        <v>128</v>
      </c>
      <c r="B391" s="124" t="str">
        <f>VLOOKUP(A391,Rules!$B$8:$C$154,2,0)</f>
        <v>N/A</v>
      </c>
      <c r="C391" s="125">
        <f>SUM(I392:XX392)</f>
        <v>0</v>
      </c>
      <c r="D391" s="127"/>
      <c r="E391" s="116" t="s">
        <v>492</v>
      </c>
      <c r="F391" s="130">
        <f>VLOOKUP(A391,Table2[],10,0)</f>
        <v>3</v>
      </c>
      <c r="G391" s="130"/>
      <c r="H391" s="56" t="s">
        <v>440</v>
      </c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</row>
    <row r="392" spans="1:364" x14ac:dyDescent="0.25">
      <c r="A392" s="122"/>
      <c r="B392" s="122"/>
      <c r="C392" s="126"/>
      <c r="D392" s="128"/>
      <c r="E392" s="117"/>
      <c r="F392" s="131"/>
      <c r="G392" s="131"/>
      <c r="H392" s="57" t="s">
        <v>439</v>
      </c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</row>
    <row r="393" spans="1:364" x14ac:dyDescent="0.25">
      <c r="A393" s="122"/>
      <c r="B393" s="122"/>
      <c r="C393" s="126"/>
      <c r="D393" s="128"/>
      <c r="E393" s="117" t="s">
        <v>493</v>
      </c>
      <c r="F393" s="131"/>
      <c r="G393" s="131"/>
      <c r="H393" s="58" t="s">
        <v>438</v>
      </c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</row>
    <row r="394" spans="1:364" x14ac:dyDescent="0.25">
      <c r="A394" s="122"/>
      <c r="B394" s="122"/>
      <c r="C394" s="126"/>
      <c r="D394" s="128"/>
      <c r="E394" s="117"/>
      <c r="F394" s="131"/>
      <c r="G394" s="131"/>
      <c r="H394" s="59" t="s">
        <v>149</v>
      </c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</row>
    <row r="395" spans="1:364" s="27" customFormat="1" x14ac:dyDescent="0.25">
      <c r="A395" s="121" t="s">
        <v>129</v>
      </c>
      <c r="B395" s="124" t="str">
        <f>VLOOKUP(A395,Rules!$B$8:$C$154,2,0)</f>
        <v>N/A</v>
      </c>
      <c r="C395" s="125">
        <f>SUM(I396:XX396)</f>
        <v>0</v>
      </c>
      <c r="D395" s="127"/>
      <c r="E395" s="116" t="s">
        <v>492</v>
      </c>
      <c r="F395" s="130">
        <f>VLOOKUP(A395,Table2[],10,0)</f>
        <v>3</v>
      </c>
      <c r="G395" s="130"/>
      <c r="H395" s="108" t="s">
        <v>440</v>
      </c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9"/>
      <c r="T395" s="119"/>
      <c r="U395" s="119"/>
      <c r="V395" s="119"/>
      <c r="W395" s="119"/>
      <c r="X395" s="119"/>
      <c r="Y395" s="119"/>
      <c r="Z395" s="119"/>
      <c r="AA395" s="119"/>
      <c r="AB395" s="119"/>
      <c r="AC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S395" s="119"/>
      <c r="AT395" s="119"/>
      <c r="AU395" s="119"/>
      <c r="AV395" s="119"/>
      <c r="AW395" s="119"/>
      <c r="AX395" s="119"/>
      <c r="AY395" s="119"/>
      <c r="AZ395" s="119"/>
      <c r="BA395" s="119"/>
      <c r="BB395" s="119"/>
      <c r="BC395" s="119"/>
      <c r="BD395" s="119"/>
      <c r="BE395" s="119"/>
      <c r="BF395" s="119"/>
      <c r="BG395" s="119"/>
      <c r="BH395" s="119"/>
      <c r="BI395" s="119"/>
      <c r="BJ395" s="119"/>
      <c r="BK395" s="119"/>
      <c r="BL395" s="26"/>
      <c r="BM395" s="119"/>
      <c r="BN395" s="26"/>
      <c r="BO395" s="119"/>
      <c r="BP395" s="119"/>
      <c r="BQ395" s="119"/>
      <c r="BR395" s="119"/>
      <c r="BS395" s="119"/>
      <c r="BT395" s="119"/>
      <c r="BU395" s="119"/>
      <c r="BV395" s="119"/>
      <c r="BW395" s="119"/>
      <c r="BX395" s="119"/>
      <c r="BY395" s="119"/>
      <c r="BZ395" s="119"/>
      <c r="CA395" s="119"/>
      <c r="CB395" s="119"/>
      <c r="CC395" s="119"/>
      <c r="CD395" s="119"/>
      <c r="CE395" s="119"/>
      <c r="CF395" s="119"/>
      <c r="CG395" s="119"/>
      <c r="CH395" s="119"/>
      <c r="CI395" s="119"/>
      <c r="CJ395" s="119"/>
      <c r="CK395" s="119"/>
      <c r="CL395" s="119"/>
      <c r="CM395" s="119"/>
      <c r="CN395" s="119"/>
      <c r="CO395" s="119"/>
      <c r="CP395" s="119"/>
      <c r="CQ395" s="119"/>
      <c r="CR395" s="119"/>
      <c r="CS395" s="119"/>
      <c r="CT395" s="119"/>
      <c r="CU395" s="119"/>
      <c r="CV395" s="119"/>
      <c r="CW395" s="119"/>
      <c r="CX395" s="119"/>
      <c r="CY395" s="119"/>
      <c r="CZ395" s="119"/>
      <c r="DA395" s="119"/>
      <c r="DB395" s="119"/>
      <c r="DC395" s="119"/>
      <c r="DD395" s="119"/>
      <c r="DE395" s="119"/>
      <c r="DF395" s="119"/>
      <c r="DG395" s="119"/>
      <c r="DH395" s="119"/>
      <c r="DI395" s="119"/>
      <c r="DJ395" s="119"/>
      <c r="DK395" s="119"/>
      <c r="DL395" s="119"/>
      <c r="DM395" s="119"/>
      <c r="DN395" s="119"/>
      <c r="DO395" s="119"/>
      <c r="DP395" s="119"/>
      <c r="DQ395" s="119"/>
      <c r="DR395" s="119"/>
      <c r="DS395" s="119"/>
      <c r="DT395" s="119"/>
      <c r="DU395" s="119"/>
      <c r="DV395" s="119"/>
      <c r="DW395" s="119"/>
      <c r="DX395" s="119"/>
      <c r="DY395" s="119"/>
      <c r="DZ395" s="119"/>
      <c r="EA395" s="119"/>
      <c r="EB395" s="119"/>
      <c r="EC395" s="119"/>
      <c r="ED395" s="119"/>
      <c r="EE395" s="119"/>
      <c r="EF395" s="119"/>
      <c r="EG395" s="119"/>
      <c r="EH395" s="119"/>
      <c r="EI395" s="119"/>
      <c r="EJ395" s="119"/>
      <c r="EK395" s="119"/>
      <c r="EL395" s="119"/>
      <c r="EM395" s="119"/>
      <c r="EN395" s="119"/>
      <c r="EO395" s="119"/>
      <c r="EP395" s="119"/>
      <c r="EQ395" s="119"/>
      <c r="ER395" s="119"/>
      <c r="ES395" s="119"/>
      <c r="ET395" s="119"/>
      <c r="EU395" s="119"/>
      <c r="EV395" s="119"/>
      <c r="EW395" s="119"/>
      <c r="EX395" s="119"/>
      <c r="EY395" s="119"/>
      <c r="EZ395" s="119"/>
      <c r="FA395" s="119"/>
      <c r="FB395" s="119"/>
      <c r="FC395" s="119"/>
      <c r="FD395" s="119"/>
      <c r="FE395" s="119"/>
      <c r="FF395" s="119"/>
      <c r="FG395" s="119"/>
      <c r="FH395" s="119"/>
      <c r="FI395" s="119"/>
      <c r="FJ395" s="119"/>
      <c r="FK395" s="119"/>
      <c r="FL395" s="119"/>
      <c r="FM395" s="119"/>
      <c r="FN395" s="119"/>
      <c r="FO395" s="119"/>
      <c r="FP395" s="119"/>
      <c r="FQ395" s="119"/>
      <c r="FR395" s="119"/>
      <c r="FS395" s="119"/>
      <c r="FT395" s="119"/>
      <c r="FU395" s="119"/>
      <c r="FV395" s="119"/>
      <c r="FW395" s="119"/>
      <c r="FX395" s="119"/>
      <c r="FY395" s="119"/>
      <c r="FZ395" s="119"/>
      <c r="GA395" s="119"/>
      <c r="GB395" s="119"/>
      <c r="GC395" s="119"/>
      <c r="GD395" s="119"/>
      <c r="GE395" s="119"/>
      <c r="GF395" s="119"/>
      <c r="GG395" s="119"/>
      <c r="GH395" s="119"/>
      <c r="GI395" s="119"/>
      <c r="GJ395" s="119"/>
      <c r="GK395" s="119"/>
      <c r="GL395" s="119"/>
      <c r="GM395" s="119"/>
      <c r="GN395" s="119"/>
      <c r="GO395" s="119"/>
      <c r="GP395" s="119"/>
      <c r="GQ395" s="119"/>
      <c r="GR395" s="119"/>
      <c r="GS395" s="119"/>
      <c r="GT395" s="119"/>
      <c r="GU395" s="119"/>
      <c r="GV395" s="119"/>
      <c r="GW395" s="119"/>
      <c r="GX395" s="119"/>
      <c r="GY395" s="119"/>
      <c r="GZ395" s="119"/>
      <c r="HA395" s="119"/>
      <c r="HB395" s="119"/>
      <c r="HC395" s="119"/>
      <c r="HD395" s="119"/>
      <c r="HE395" s="119"/>
      <c r="HF395" s="119"/>
      <c r="HG395" s="119"/>
      <c r="HH395" s="119"/>
      <c r="HI395" s="119"/>
      <c r="HJ395" s="119"/>
      <c r="HK395" s="119"/>
      <c r="HL395" s="119"/>
      <c r="HM395" s="119"/>
      <c r="HN395" s="119"/>
      <c r="HO395" s="119"/>
      <c r="HP395" s="119"/>
      <c r="HQ395" s="119"/>
      <c r="HR395" s="119"/>
      <c r="HS395" s="119"/>
      <c r="HT395" s="119"/>
      <c r="HU395" s="119"/>
      <c r="HV395" s="119"/>
      <c r="HW395" s="119"/>
      <c r="HX395" s="119"/>
      <c r="HY395" s="119"/>
      <c r="HZ395" s="119"/>
      <c r="IA395" s="119"/>
      <c r="IB395" s="119"/>
      <c r="IC395" s="119"/>
      <c r="ID395" s="119"/>
      <c r="IE395" s="119"/>
      <c r="IF395" s="119"/>
      <c r="IG395" s="119"/>
      <c r="IH395" s="119"/>
      <c r="II395" s="119"/>
      <c r="IJ395" s="119"/>
      <c r="IK395" s="119"/>
      <c r="IL395" s="119"/>
      <c r="IM395" s="119"/>
      <c r="IN395" s="119"/>
      <c r="IO395" s="119"/>
      <c r="IP395" s="119"/>
      <c r="IQ395" s="119"/>
      <c r="IR395" s="119"/>
      <c r="IS395" s="119"/>
      <c r="IT395" s="119"/>
      <c r="IU395" s="119"/>
      <c r="IV395" s="119"/>
      <c r="IW395" s="119"/>
      <c r="IX395" s="119"/>
      <c r="IY395" s="119"/>
      <c r="IZ395" s="119"/>
      <c r="JA395" s="119"/>
      <c r="JB395" s="119"/>
      <c r="JC395" s="119"/>
      <c r="JD395" s="119"/>
      <c r="JE395" s="119"/>
      <c r="JF395" s="119"/>
      <c r="JG395" s="119"/>
      <c r="JH395" s="119"/>
      <c r="JI395" s="119"/>
      <c r="JJ395" s="119"/>
      <c r="JK395" s="119"/>
      <c r="JL395" s="119"/>
      <c r="JM395" s="119"/>
      <c r="JN395" s="119"/>
      <c r="JO395" s="119"/>
      <c r="JP395" s="119"/>
      <c r="JQ395" s="119"/>
      <c r="JR395" s="119"/>
      <c r="JS395" s="119"/>
      <c r="JT395" s="119"/>
      <c r="JU395" s="119"/>
      <c r="JV395" s="119"/>
      <c r="JW395" s="119"/>
      <c r="JX395" s="119"/>
      <c r="JY395" s="119"/>
      <c r="JZ395" s="119"/>
      <c r="KA395" s="119"/>
      <c r="KB395" s="119"/>
      <c r="KC395" s="119"/>
      <c r="KD395" s="119"/>
      <c r="KE395" s="119"/>
      <c r="KF395" s="119"/>
      <c r="KG395" s="119"/>
      <c r="KH395" s="119"/>
      <c r="KI395" s="119"/>
      <c r="KJ395" s="119"/>
      <c r="KK395" s="119"/>
      <c r="KL395" s="119"/>
      <c r="KM395" s="119"/>
      <c r="KN395" s="119"/>
      <c r="KO395" s="119"/>
      <c r="KP395" s="119"/>
      <c r="KQ395" s="119"/>
      <c r="KR395" s="119"/>
      <c r="KS395" s="119"/>
      <c r="KT395" s="119"/>
      <c r="KU395" s="119"/>
      <c r="KV395" s="119"/>
      <c r="KW395" s="119"/>
      <c r="KX395" s="119"/>
      <c r="KY395" s="119"/>
      <c r="KZ395" s="119"/>
      <c r="LA395" s="119"/>
      <c r="LB395" s="119"/>
      <c r="LC395" s="119"/>
      <c r="LD395" s="119"/>
      <c r="LE395" s="119"/>
      <c r="LF395" s="119"/>
      <c r="LG395" s="119"/>
      <c r="LH395" s="119"/>
      <c r="LI395" s="119"/>
      <c r="LJ395" s="119"/>
      <c r="LK395" s="119"/>
      <c r="LL395" s="119"/>
      <c r="LM395" s="119"/>
      <c r="LN395" s="119"/>
      <c r="LO395" s="119"/>
      <c r="LP395" s="119"/>
      <c r="LQ395" s="119"/>
      <c r="LR395" s="119"/>
      <c r="LS395" s="119"/>
      <c r="LT395" s="119"/>
      <c r="LU395" s="119"/>
      <c r="LV395" s="119"/>
      <c r="LW395" s="119"/>
      <c r="LX395" s="119"/>
      <c r="LY395" s="119"/>
      <c r="LZ395" s="119"/>
      <c r="MA395" s="119"/>
      <c r="MB395" s="119"/>
      <c r="MC395" s="119"/>
      <c r="MD395" s="119"/>
      <c r="ME395" s="119"/>
      <c r="MF395" s="119"/>
      <c r="MG395" s="119"/>
      <c r="MH395" s="119"/>
      <c r="MI395" s="119"/>
      <c r="MJ395" s="119"/>
      <c r="MK395" s="119"/>
      <c r="ML395" s="119"/>
      <c r="MM395" s="119"/>
      <c r="MN395" s="119"/>
      <c r="MO395" s="119"/>
      <c r="MP395" s="119"/>
      <c r="MQ395" s="119"/>
      <c r="MR395" s="119"/>
      <c r="MS395" s="119"/>
      <c r="MT395" s="119"/>
      <c r="MU395" s="119"/>
      <c r="MV395" s="119"/>
      <c r="MW395" s="119"/>
      <c r="MX395" s="119"/>
      <c r="MY395" s="119"/>
      <c r="MZ395" s="119"/>
    </row>
    <row r="396" spans="1:364" s="27" customFormat="1" x14ac:dyDescent="0.25">
      <c r="A396" s="122"/>
      <c r="B396" s="122"/>
      <c r="C396" s="126"/>
      <c r="D396" s="128"/>
      <c r="E396" s="117"/>
      <c r="F396" s="131"/>
      <c r="G396" s="131"/>
      <c r="H396" s="105" t="s">
        <v>439</v>
      </c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9"/>
      <c r="T396" s="119"/>
      <c r="U396" s="119"/>
      <c r="V396" s="119"/>
      <c r="W396" s="119"/>
      <c r="X396" s="119"/>
      <c r="Y396" s="119"/>
      <c r="Z396" s="119"/>
      <c r="AA396" s="119"/>
      <c r="AB396" s="119"/>
      <c r="AC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9"/>
      <c r="AT396" s="119"/>
      <c r="AU396" s="119"/>
      <c r="AV396" s="119"/>
      <c r="AW396" s="119"/>
      <c r="AX396" s="119"/>
      <c r="AY396" s="119"/>
      <c r="AZ396" s="119"/>
      <c r="BA396" s="119"/>
      <c r="BB396" s="119"/>
      <c r="BC396" s="119"/>
      <c r="BD396" s="119"/>
      <c r="BE396" s="119"/>
      <c r="BF396" s="119"/>
      <c r="BG396" s="119"/>
      <c r="BH396" s="119"/>
      <c r="BI396" s="119"/>
      <c r="BJ396" s="119"/>
      <c r="BK396" s="119"/>
      <c r="BL396" s="26"/>
      <c r="BM396" s="119"/>
      <c r="BN396" s="26"/>
      <c r="BO396" s="119"/>
      <c r="BP396" s="119"/>
      <c r="BQ396" s="119"/>
      <c r="BR396" s="119"/>
      <c r="BS396" s="119"/>
      <c r="BT396" s="119"/>
      <c r="BU396" s="119"/>
      <c r="BV396" s="119"/>
      <c r="BW396" s="119"/>
      <c r="BX396" s="119"/>
      <c r="BY396" s="119"/>
      <c r="BZ396" s="119"/>
      <c r="CA396" s="119"/>
      <c r="CB396" s="119"/>
      <c r="CC396" s="119"/>
      <c r="CD396" s="119"/>
      <c r="CE396" s="119"/>
      <c r="CF396" s="119"/>
      <c r="CG396" s="119"/>
      <c r="CH396" s="119"/>
      <c r="CI396" s="119"/>
      <c r="CJ396" s="119"/>
      <c r="CK396" s="119"/>
      <c r="CL396" s="119"/>
      <c r="CM396" s="119"/>
      <c r="CN396" s="119"/>
      <c r="CO396" s="119"/>
      <c r="CP396" s="119"/>
      <c r="CQ396" s="119"/>
      <c r="CR396" s="119"/>
      <c r="CS396" s="119"/>
      <c r="CT396" s="119"/>
      <c r="CU396" s="119"/>
      <c r="CV396" s="119"/>
      <c r="CW396" s="119"/>
      <c r="CX396" s="119"/>
      <c r="CY396" s="119"/>
      <c r="CZ396" s="119"/>
      <c r="DA396" s="119"/>
      <c r="DB396" s="119"/>
      <c r="DC396" s="119"/>
      <c r="DD396" s="119"/>
      <c r="DE396" s="119"/>
      <c r="DF396" s="119"/>
      <c r="DG396" s="119"/>
      <c r="DH396" s="119"/>
      <c r="DI396" s="119"/>
      <c r="DJ396" s="119"/>
      <c r="DK396" s="119"/>
      <c r="DL396" s="119"/>
      <c r="DM396" s="119"/>
      <c r="DN396" s="119"/>
      <c r="DO396" s="119"/>
      <c r="DP396" s="119"/>
      <c r="DQ396" s="119"/>
      <c r="DR396" s="119"/>
      <c r="DS396" s="119"/>
      <c r="DT396" s="119"/>
      <c r="DU396" s="119"/>
      <c r="DV396" s="119"/>
      <c r="DW396" s="119"/>
      <c r="DX396" s="119"/>
      <c r="DY396" s="119"/>
      <c r="DZ396" s="119"/>
      <c r="EA396" s="119"/>
      <c r="EB396" s="119"/>
      <c r="EC396" s="119"/>
      <c r="ED396" s="119"/>
      <c r="EE396" s="119"/>
      <c r="EF396" s="119"/>
      <c r="EG396" s="119"/>
      <c r="EH396" s="119"/>
      <c r="EI396" s="119"/>
      <c r="EJ396" s="119"/>
      <c r="EK396" s="119"/>
      <c r="EL396" s="119"/>
      <c r="EM396" s="119"/>
      <c r="EN396" s="119"/>
      <c r="EO396" s="119"/>
      <c r="EP396" s="119"/>
      <c r="EQ396" s="119"/>
      <c r="ER396" s="119"/>
      <c r="ES396" s="119"/>
      <c r="ET396" s="119"/>
      <c r="EU396" s="119"/>
      <c r="EV396" s="119"/>
      <c r="EW396" s="119"/>
      <c r="EX396" s="119"/>
      <c r="EY396" s="119"/>
      <c r="EZ396" s="119"/>
      <c r="FA396" s="119"/>
      <c r="FB396" s="119"/>
      <c r="FC396" s="119"/>
      <c r="FD396" s="119"/>
      <c r="FE396" s="119"/>
      <c r="FF396" s="119"/>
      <c r="FG396" s="119"/>
      <c r="FH396" s="119"/>
      <c r="FI396" s="119"/>
      <c r="FJ396" s="119"/>
      <c r="FK396" s="119"/>
      <c r="FL396" s="119"/>
      <c r="FM396" s="119"/>
      <c r="FN396" s="119"/>
      <c r="FO396" s="119"/>
      <c r="FP396" s="119"/>
      <c r="FQ396" s="119"/>
      <c r="FR396" s="119"/>
      <c r="FS396" s="119"/>
      <c r="FT396" s="119"/>
      <c r="FU396" s="119"/>
      <c r="FV396" s="119"/>
      <c r="FW396" s="119"/>
      <c r="FX396" s="119"/>
      <c r="FY396" s="119"/>
      <c r="FZ396" s="119"/>
      <c r="GA396" s="119"/>
      <c r="GB396" s="119"/>
      <c r="GC396" s="119"/>
      <c r="GD396" s="119"/>
      <c r="GE396" s="119"/>
      <c r="GF396" s="119"/>
      <c r="GG396" s="119"/>
      <c r="GH396" s="119"/>
      <c r="GI396" s="119"/>
      <c r="GJ396" s="119"/>
      <c r="GK396" s="119"/>
      <c r="GL396" s="119"/>
      <c r="GM396" s="119"/>
      <c r="GN396" s="119"/>
      <c r="GO396" s="119"/>
      <c r="GP396" s="119"/>
      <c r="GQ396" s="119"/>
      <c r="GR396" s="119"/>
      <c r="GS396" s="119"/>
      <c r="GT396" s="119"/>
      <c r="GU396" s="119"/>
      <c r="GV396" s="119"/>
      <c r="GW396" s="119"/>
      <c r="GX396" s="119"/>
      <c r="GY396" s="119"/>
      <c r="GZ396" s="119"/>
      <c r="HA396" s="119"/>
      <c r="HB396" s="119"/>
      <c r="HC396" s="119"/>
      <c r="HD396" s="119"/>
      <c r="HE396" s="119"/>
      <c r="HF396" s="119"/>
      <c r="HG396" s="119"/>
      <c r="HH396" s="119"/>
      <c r="HI396" s="119"/>
      <c r="HJ396" s="119"/>
      <c r="HK396" s="119"/>
      <c r="HL396" s="119"/>
      <c r="HM396" s="119"/>
      <c r="HN396" s="119"/>
      <c r="HO396" s="119"/>
      <c r="HP396" s="119"/>
      <c r="HQ396" s="119"/>
      <c r="HR396" s="119"/>
      <c r="HS396" s="119"/>
      <c r="HT396" s="119"/>
      <c r="HU396" s="119"/>
      <c r="HV396" s="119"/>
      <c r="HW396" s="119"/>
      <c r="HX396" s="119"/>
      <c r="HY396" s="119"/>
      <c r="HZ396" s="119"/>
      <c r="IA396" s="119"/>
      <c r="IB396" s="119"/>
      <c r="IC396" s="119"/>
      <c r="ID396" s="119"/>
      <c r="IE396" s="119"/>
      <c r="IF396" s="119"/>
      <c r="IG396" s="119"/>
      <c r="IH396" s="119"/>
      <c r="II396" s="119"/>
      <c r="IJ396" s="119"/>
      <c r="IK396" s="119"/>
      <c r="IL396" s="119"/>
      <c r="IM396" s="119"/>
      <c r="IN396" s="119"/>
      <c r="IO396" s="119"/>
      <c r="IP396" s="119"/>
      <c r="IQ396" s="119"/>
      <c r="IR396" s="119"/>
      <c r="IS396" s="119"/>
      <c r="IT396" s="119"/>
      <c r="IU396" s="119"/>
      <c r="IV396" s="119"/>
      <c r="IW396" s="119"/>
      <c r="IX396" s="119"/>
      <c r="IY396" s="119"/>
      <c r="IZ396" s="119"/>
      <c r="JA396" s="119"/>
      <c r="JB396" s="119"/>
      <c r="JC396" s="119"/>
      <c r="JD396" s="119"/>
      <c r="JE396" s="119"/>
      <c r="JF396" s="119"/>
      <c r="JG396" s="119"/>
      <c r="JH396" s="119"/>
      <c r="JI396" s="119"/>
      <c r="JJ396" s="119"/>
      <c r="JK396" s="119"/>
      <c r="JL396" s="119"/>
      <c r="JM396" s="119"/>
      <c r="JN396" s="119"/>
      <c r="JO396" s="119"/>
      <c r="JP396" s="119"/>
      <c r="JQ396" s="119"/>
      <c r="JR396" s="119"/>
      <c r="JS396" s="119"/>
      <c r="JT396" s="119"/>
      <c r="JU396" s="119"/>
      <c r="JV396" s="119"/>
      <c r="JW396" s="119"/>
      <c r="JX396" s="119"/>
      <c r="JY396" s="119"/>
      <c r="JZ396" s="119"/>
      <c r="KA396" s="119"/>
      <c r="KB396" s="119"/>
      <c r="KC396" s="119"/>
      <c r="KD396" s="119"/>
      <c r="KE396" s="119"/>
      <c r="KF396" s="119"/>
      <c r="KG396" s="119"/>
      <c r="KH396" s="119"/>
      <c r="KI396" s="119"/>
      <c r="KJ396" s="119"/>
      <c r="KK396" s="119"/>
      <c r="KL396" s="119"/>
      <c r="KM396" s="119"/>
      <c r="KN396" s="119"/>
      <c r="KO396" s="119"/>
      <c r="KP396" s="119"/>
      <c r="KQ396" s="119"/>
      <c r="KR396" s="119"/>
      <c r="KS396" s="119"/>
      <c r="KT396" s="119"/>
      <c r="KU396" s="119"/>
      <c r="KV396" s="119"/>
      <c r="KW396" s="119"/>
      <c r="KX396" s="119"/>
      <c r="KY396" s="119"/>
      <c r="KZ396" s="119"/>
      <c r="LA396" s="119"/>
      <c r="LB396" s="119"/>
      <c r="LC396" s="119"/>
      <c r="LD396" s="119"/>
      <c r="LE396" s="119"/>
      <c r="LF396" s="119"/>
      <c r="LG396" s="119"/>
      <c r="LH396" s="119"/>
      <c r="LI396" s="119"/>
      <c r="LJ396" s="119"/>
      <c r="LK396" s="119"/>
      <c r="LL396" s="119"/>
      <c r="LM396" s="119"/>
      <c r="LN396" s="119"/>
      <c r="LO396" s="119"/>
      <c r="LP396" s="119"/>
      <c r="LQ396" s="119"/>
      <c r="LR396" s="119"/>
      <c r="LS396" s="119"/>
      <c r="LT396" s="119"/>
      <c r="LU396" s="119"/>
      <c r="LV396" s="119"/>
      <c r="LW396" s="119"/>
      <c r="LX396" s="119"/>
      <c r="LY396" s="119"/>
      <c r="LZ396" s="119"/>
      <c r="MA396" s="119"/>
      <c r="MB396" s="119"/>
      <c r="MC396" s="119"/>
      <c r="MD396" s="119"/>
      <c r="ME396" s="119"/>
      <c r="MF396" s="119"/>
      <c r="MG396" s="119"/>
      <c r="MH396" s="119"/>
      <c r="MI396" s="119"/>
      <c r="MJ396" s="119"/>
      <c r="MK396" s="119"/>
      <c r="ML396" s="119"/>
      <c r="MM396" s="119"/>
      <c r="MN396" s="119"/>
      <c r="MO396" s="119"/>
      <c r="MP396" s="119"/>
      <c r="MQ396" s="119"/>
      <c r="MR396" s="119"/>
      <c r="MS396" s="119"/>
      <c r="MT396" s="119"/>
      <c r="MU396" s="119"/>
      <c r="MV396" s="119"/>
      <c r="MW396" s="119"/>
      <c r="MX396" s="119"/>
      <c r="MY396" s="119"/>
      <c r="MZ396" s="119"/>
    </row>
    <row r="397" spans="1:364" s="27" customFormat="1" x14ac:dyDescent="0.25">
      <c r="A397" s="122"/>
      <c r="B397" s="122"/>
      <c r="C397" s="126"/>
      <c r="D397" s="128"/>
      <c r="E397" s="117" t="s">
        <v>493</v>
      </c>
      <c r="F397" s="131"/>
      <c r="G397" s="131"/>
      <c r="H397" s="106" t="s">
        <v>438</v>
      </c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19"/>
      <c r="T397" s="119"/>
      <c r="U397" s="119"/>
      <c r="V397" s="119"/>
      <c r="W397" s="119"/>
      <c r="X397" s="119"/>
      <c r="Y397" s="119"/>
      <c r="Z397" s="119"/>
      <c r="AA397" s="119"/>
      <c r="AB397" s="119"/>
      <c r="AC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9"/>
      <c r="AT397" s="119"/>
      <c r="AU397" s="119"/>
      <c r="AV397" s="119"/>
      <c r="AW397" s="119"/>
      <c r="AX397" s="119"/>
      <c r="AY397" s="119"/>
      <c r="AZ397" s="119"/>
      <c r="BA397" s="119"/>
      <c r="BB397" s="119"/>
      <c r="BC397" s="119"/>
      <c r="BD397" s="119"/>
      <c r="BE397" s="119"/>
      <c r="BF397" s="119"/>
      <c r="BG397" s="119"/>
      <c r="BH397" s="119"/>
      <c r="BI397" s="119"/>
      <c r="BJ397" s="119"/>
      <c r="BK397" s="119"/>
      <c r="BL397" s="26"/>
      <c r="BM397" s="119"/>
      <c r="BN397" s="119"/>
      <c r="BO397" s="119"/>
      <c r="BP397" s="119"/>
      <c r="BQ397" s="119"/>
      <c r="BR397" s="119"/>
      <c r="BS397" s="119"/>
      <c r="BT397" s="119"/>
      <c r="BU397" s="119"/>
      <c r="BV397" s="119"/>
      <c r="BW397" s="119"/>
      <c r="BX397" s="119"/>
      <c r="BY397" s="119"/>
      <c r="BZ397" s="119"/>
      <c r="CA397" s="119"/>
      <c r="CB397" s="119"/>
      <c r="CC397" s="119"/>
      <c r="CD397" s="119"/>
      <c r="CE397" s="119"/>
      <c r="CF397" s="119"/>
      <c r="CG397" s="119"/>
      <c r="CH397" s="119"/>
      <c r="CI397" s="119"/>
      <c r="CJ397" s="119"/>
      <c r="CK397" s="119"/>
      <c r="CL397" s="119"/>
      <c r="CM397" s="119"/>
      <c r="CN397" s="119"/>
      <c r="CO397" s="119"/>
      <c r="CP397" s="119"/>
      <c r="CQ397" s="119"/>
      <c r="CR397" s="119"/>
      <c r="CS397" s="119"/>
      <c r="CT397" s="119"/>
      <c r="CU397" s="119"/>
      <c r="CV397" s="119"/>
      <c r="CW397" s="119"/>
      <c r="CX397" s="119"/>
      <c r="CY397" s="119"/>
      <c r="CZ397" s="119"/>
      <c r="DA397" s="119"/>
      <c r="DB397" s="119"/>
      <c r="DC397" s="119"/>
      <c r="DD397" s="119"/>
      <c r="DE397" s="119"/>
      <c r="DF397" s="119"/>
      <c r="DG397" s="119"/>
      <c r="DH397" s="119"/>
      <c r="DI397" s="119"/>
      <c r="DJ397" s="119"/>
      <c r="DK397" s="119"/>
      <c r="DL397" s="119"/>
      <c r="DM397" s="119"/>
      <c r="DN397" s="119"/>
      <c r="DO397" s="119"/>
      <c r="DP397" s="119"/>
      <c r="DQ397" s="119"/>
      <c r="DR397" s="119"/>
      <c r="DS397" s="119"/>
      <c r="DT397" s="119"/>
      <c r="DU397" s="119"/>
      <c r="DV397" s="119"/>
      <c r="DW397" s="119"/>
      <c r="DX397" s="119"/>
      <c r="DY397" s="119"/>
      <c r="DZ397" s="119"/>
      <c r="EA397" s="119"/>
      <c r="EB397" s="119"/>
      <c r="EC397" s="119"/>
      <c r="ED397" s="119"/>
      <c r="EE397" s="119"/>
      <c r="EF397" s="119"/>
      <c r="EG397" s="119"/>
      <c r="EH397" s="119"/>
      <c r="EI397" s="119"/>
      <c r="EJ397" s="119"/>
      <c r="EK397" s="119"/>
      <c r="EL397" s="119"/>
      <c r="EM397" s="119"/>
      <c r="EN397" s="119"/>
      <c r="EO397" s="119"/>
      <c r="EP397" s="119"/>
      <c r="EQ397" s="119"/>
      <c r="ER397" s="119"/>
      <c r="ES397" s="119"/>
      <c r="ET397" s="119"/>
      <c r="EU397" s="119"/>
      <c r="EV397" s="119"/>
      <c r="EW397" s="119"/>
      <c r="EX397" s="119"/>
      <c r="EY397" s="119"/>
      <c r="EZ397" s="119"/>
      <c r="FA397" s="119"/>
      <c r="FB397" s="119"/>
      <c r="FC397" s="119"/>
      <c r="FD397" s="119"/>
      <c r="FE397" s="119"/>
      <c r="FF397" s="119"/>
      <c r="FG397" s="119"/>
      <c r="FH397" s="119"/>
      <c r="FI397" s="119"/>
      <c r="FJ397" s="119"/>
      <c r="FK397" s="119"/>
      <c r="FL397" s="119"/>
      <c r="FM397" s="119"/>
      <c r="FN397" s="119"/>
      <c r="FO397" s="119"/>
      <c r="FP397" s="119"/>
      <c r="FQ397" s="119"/>
      <c r="FR397" s="119"/>
      <c r="FS397" s="119"/>
      <c r="FT397" s="119"/>
      <c r="FU397" s="119"/>
      <c r="FV397" s="119"/>
      <c r="FW397" s="119"/>
      <c r="FX397" s="119"/>
      <c r="FY397" s="119"/>
      <c r="FZ397" s="119"/>
      <c r="GA397" s="119"/>
      <c r="GB397" s="119"/>
      <c r="GC397" s="119"/>
      <c r="GD397" s="119"/>
      <c r="GE397" s="119"/>
      <c r="GF397" s="119"/>
      <c r="GG397" s="119"/>
      <c r="GH397" s="119"/>
      <c r="GI397" s="119"/>
      <c r="GJ397" s="119"/>
      <c r="GK397" s="119"/>
      <c r="GL397" s="119"/>
      <c r="GM397" s="119"/>
      <c r="GN397" s="119"/>
      <c r="GO397" s="119"/>
      <c r="GP397" s="119"/>
      <c r="GQ397" s="119"/>
      <c r="GR397" s="119"/>
      <c r="GS397" s="119"/>
      <c r="GT397" s="119"/>
      <c r="GU397" s="119"/>
      <c r="GV397" s="119"/>
      <c r="GW397" s="119"/>
      <c r="GX397" s="119"/>
      <c r="GY397" s="119"/>
      <c r="GZ397" s="119"/>
      <c r="HA397" s="119"/>
      <c r="HB397" s="119"/>
      <c r="HC397" s="119"/>
      <c r="HD397" s="119"/>
      <c r="HE397" s="119"/>
      <c r="HF397" s="119"/>
      <c r="HG397" s="119"/>
      <c r="HH397" s="119"/>
      <c r="HI397" s="119"/>
      <c r="HJ397" s="119"/>
      <c r="HK397" s="119"/>
      <c r="HL397" s="119"/>
      <c r="HM397" s="119"/>
      <c r="HN397" s="119"/>
      <c r="HO397" s="119"/>
      <c r="HP397" s="119"/>
      <c r="HQ397" s="119"/>
      <c r="HR397" s="119"/>
      <c r="HS397" s="119"/>
      <c r="HT397" s="119"/>
      <c r="HU397" s="119"/>
      <c r="HV397" s="119"/>
      <c r="HW397" s="119"/>
      <c r="HX397" s="119"/>
      <c r="HY397" s="119"/>
      <c r="HZ397" s="119"/>
      <c r="IA397" s="119"/>
      <c r="IB397" s="119"/>
      <c r="IC397" s="119"/>
      <c r="ID397" s="119"/>
      <c r="IE397" s="119"/>
      <c r="IF397" s="119"/>
      <c r="IG397" s="119"/>
      <c r="IH397" s="119"/>
      <c r="II397" s="119"/>
      <c r="IJ397" s="119"/>
      <c r="IK397" s="119"/>
      <c r="IL397" s="119"/>
      <c r="IM397" s="119"/>
      <c r="IN397" s="119"/>
      <c r="IO397" s="119"/>
      <c r="IP397" s="119"/>
      <c r="IQ397" s="119"/>
      <c r="IR397" s="119"/>
      <c r="IS397" s="119"/>
      <c r="IT397" s="119"/>
      <c r="IU397" s="119"/>
      <c r="IV397" s="119"/>
      <c r="IW397" s="119"/>
      <c r="IX397" s="119"/>
      <c r="IY397" s="119"/>
      <c r="IZ397" s="119"/>
      <c r="JA397" s="119"/>
      <c r="JB397" s="119"/>
      <c r="JC397" s="119"/>
      <c r="JD397" s="119"/>
      <c r="JE397" s="119"/>
      <c r="JF397" s="119"/>
      <c r="JG397" s="119"/>
      <c r="JH397" s="119"/>
      <c r="JI397" s="119"/>
      <c r="JJ397" s="119"/>
      <c r="JK397" s="119"/>
      <c r="JL397" s="119"/>
      <c r="JM397" s="119"/>
      <c r="JN397" s="119"/>
      <c r="JO397" s="119"/>
      <c r="JP397" s="119"/>
      <c r="JQ397" s="119"/>
      <c r="JR397" s="119"/>
      <c r="JS397" s="119"/>
      <c r="JT397" s="119"/>
      <c r="JU397" s="119"/>
      <c r="JV397" s="119"/>
      <c r="JW397" s="119"/>
      <c r="JX397" s="119"/>
      <c r="JY397" s="119"/>
      <c r="JZ397" s="119"/>
      <c r="KA397" s="119"/>
      <c r="KB397" s="119"/>
      <c r="KC397" s="119"/>
      <c r="KD397" s="119"/>
      <c r="KE397" s="119"/>
      <c r="KF397" s="119"/>
      <c r="KG397" s="119"/>
      <c r="KH397" s="119"/>
      <c r="KI397" s="119"/>
      <c r="KJ397" s="119"/>
      <c r="KK397" s="119"/>
      <c r="KL397" s="119"/>
      <c r="KM397" s="119"/>
      <c r="KN397" s="119"/>
      <c r="KO397" s="119"/>
      <c r="KP397" s="119"/>
      <c r="KQ397" s="119"/>
      <c r="KR397" s="119"/>
      <c r="KS397" s="119"/>
      <c r="KT397" s="119"/>
      <c r="KU397" s="119"/>
      <c r="KV397" s="119"/>
      <c r="KW397" s="119"/>
      <c r="KX397" s="119"/>
      <c r="KY397" s="119"/>
      <c r="KZ397" s="119"/>
      <c r="LA397" s="119"/>
      <c r="LB397" s="119"/>
      <c r="LC397" s="119"/>
      <c r="LD397" s="119"/>
      <c r="LE397" s="119"/>
      <c r="LF397" s="119"/>
      <c r="LG397" s="119"/>
      <c r="LH397" s="119"/>
      <c r="LI397" s="119"/>
      <c r="LJ397" s="119"/>
      <c r="LK397" s="119"/>
      <c r="LL397" s="119"/>
      <c r="LM397" s="119"/>
      <c r="LN397" s="119"/>
      <c r="LO397" s="119"/>
      <c r="LP397" s="119"/>
      <c r="LQ397" s="119"/>
      <c r="LR397" s="119"/>
      <c r="LS397" s="119"/>
      <c r="LT397" s="119"/>
      <c r="LU397" s="119"/>
      <c r="LV397" s="119"/>
      <c r="LW397" s="119"/>
      <c r="LX397" s="119"/>
      <c r="LY397" s="119"/>
      <c r="LZ397" s="119"/>
      <c r="MA397" s="119"/>
      <c r="MB397" s="119"/>
      <c r="MC397" s="119"/>
      <c r="MD397" s="119"/>
      <c r="ME397" s="119"/>
      <c r="MF397" s="119"/>
      <c r="MG397" s="119"/>
      <c r="MH397" s="119"/>
      <c r="MI397" s="119"/>
      <c r="MJ397" s="119"/>
      <c r="MK397" s="119"/>
      <c r="ML397" s="119"/>
      <c r="MM397" s="119"/>
      <c r="MN397" s="119"/>
      <c r="MO397" s="119"/>
      <c r="MP397" s="119"/>
      <c r="MQ397" s="119"/>
      <c r="MR397" s="119"/>
      <c r="MS397" s="119"/>
      <c r="MT397" s="119"/>
      <c r="MU397" s="119"/>
      <c r="MV397" s="119"/>
      <c r="MW397" s="119"/>
      <c r="MX397" s="119"/>
      <c r="MY397" s="119"/>
      <c r="MZ397" s="119"/>
    </row>
    <row r="398" spans="1:364" s="27" customFormat="1" x14ac:dyDescent="0.25">
      <c r="A398" s="123"/>
      <c r="B398" s="123"/>
      <c r="C398" s="162"/>
      <c r="D398" s="129"/>
      <c r="E398" s="118"/>
      <c r="F398" s="132"/>
      <c r="G398" s="132"/>
      <c r="H398" s="107" t="s">
        <v>149</v>
      </c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19"/>
      <c r="T398" s="119"/>
      <c r="U398" s="119"/>
      <c r="V398" s="119"/>
      <c r="W398" s="119"/>
      <c r="X398" s="119"/>
      <c r="Y398" s="119"/>
      <c r="Z398" s="119"/>
      <c r="AA398" s="119"/>
      <c r="AB398" s="119"/>
      <c r="AC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9"/>
      <c r="AT398" s="119"/>
      <c r="AU398" s="119"/>
      <c r="AV398" s="119"/>
      <c r="AW398" s="119"/>
      <c r="AX398" s="119"/>
      <c r="AY398" s="119"/>
      <c r="AZ398" s="119"/>
      <c r="BA398" s="119"/>
      <c r="BB398" s="119"/>
      <c r="BC398" s="119"/>
      <c r="BD398" s="119"/>
      <c r="BE398" s="119"/>
      <c r="BF398" s="119"/>
      <c r="BG398" s="119"/>
      <c r="BH398" s="119"/>
      <c r="BI398" s="119"/>
      <c r="BJ398" s="119"/>
      <c r="BK398" s="119"/>
      <c r="BL398" s="26"/>
      <c r="BM398" s="119"/>
      <c r="BN398" s="119"/>
      <c r="BO398" s="119"/>
      <c r="BP398" s="119"/>
      <c r="BQ398" s="119"/>
      <c r="BR398" s="119"/>
      <c r="BS398" s="119"/>
      <c r="BT398" s="119"/>
      <c r="BU398" s="119"/>
      <c r="BV398" s="119"/>
      <c r="BW398" s="119"/>
      <c r="BX398" s="119"/>
      <c r="BY398" s="119"/>
      <c r="BZ398" s="119"/>
      <c r="CA398" s="119"/>
      <c r="CB398" s="119"/>
      <c r="CC398" s="119"/>
      <c r="CD398" s="119"/>
      <c r="CE398" s="119"/>
      <c r="CF398" s="119"/>
      <c r="CG398" s="119"/>
      <c r="CH398" s="119"/>
      <c r="CI398" s="119"/>
      <c r="CJ398" s="119"/>
      <c r="CK398" s="119"/>
      <c r="CL398" s="119"/>
      <c r="CM398" s="119"/>
      <c r="CN398" s="119"/>
      <c r="CO398" s="119"/>
      <c r="CP398" s="119"/>
      <c r="CQ398" s="119"/>
      <c r="CR398" s="119"/>
      <c r="CS398" s="119"/>
      <c r="CT398" s="119"/>
      <c r="CU398" s="119"/>
      <c r="CV398" s="119"/>
      <c r="CW398" s="119"/>
      <c r="CX398" s="119"/>
      <c r="CY398" s="119"/>
      <c r="CZ398" s="119"/>
      <c r="DA398" s="119"/>
      <c r="DB398" s="119"/>
      <c r="DC398" s="119"/>
      <c r="DD398" s="119"/>
      <c r="DE398" s="119"/>
      <c r="DF398" s="119"/>
      <c r="DG398" s="119"/>
      <c r="DH398" s="119"/>
      <c r="DI398" s="119"/>
      <c r="DJ398" s="119"/>
      <c r="DK398" s="119"/>
      <c r="DL398" s="119"/>
      <c r="DM398" s="119"/>
      <c r="DN398" s="119"/>
      <c r="DO398" s="119"/>
      <c r="DP398" s="119"/>
      <c r="DQ398" s="119"/>
      <c r="DR398" s="119"/>
      <c r="DS398" s="119"/>
      <c r="DT398" s="119"/>
      <c r="DU398" s="119"/>
      <c r="DV398" s="119"/>
      <c r="DW398" s="119"/>
      <c r="DX398" s="119"/>
      <c r="DY398" s="119"/>
      <c r="DZ398" s="119"/>
      <c r="EA398" s="119"/>
      <c r="EB398" s="119"/>
      <c r="EC398" s="119"/>
      <c r="ED398" s="119"/>
      <c r="EE398" s="119"/>
      <c r="EF398" s="119"/>
      <c r="EG398" s="119"/>
      <c r="EH398" s="119"/>
      <c r="EI398" s="119"/>
      <c r="EJ398" s="119"/>
      <c r="EK398" s="119"/>
      <c r="EL398" s="119"/>
      <c r="EM398" s="119"/>
      <c r="EN398" s="119"/>
      <c r="EO398" s="119"/>
      <c r="EP398" s="119"/>
      <c r="EQ398" s="119"/>
      <c r="ER398" s="119"/>
      <c r="ES398" s="119"/>
      <c r="ET398" s="119"/>
      <c r="EU398" s="119"/>
      <c r="EV398" s="119"/>
      <c r="EW398" s="119"/>
      <c r="EX398" s="119"/>
      <c r="EY398" s="119"/>
      <c r="EZ398" s="119"/>
      <c r="FA398" s="119"/>
      <c r="FB398" s="119"/>
      <c r="FC398" s="119"/>
      <c r="FD398" s="119"/>
      <c r="FE398" s="119"/>
      <c r="FF398" s="119"/>
      <c r="FG398" s="119"/>
      <c r="FH398" s="119"/>
      <c r="FI398" s="119"/>
      <c r="FJ398" s="119"/>
      <c r="FK398" s="119"/>
      <c r="FL398" s="119"/>
      <c r="FM398" s="119"/>
      <c r="FN398" s="119"/>
      <c r="FO398" s="119"/>
      <c r="FP398" s="119"/>
      <c r="FQ398" s="119"/>
      <c r="FR398" s="119"/>
      <c r="FS398" s="119"/>
      <c r="FT398" s="119"/>
      <c r="FU398" s="119"/>
      <c r="FV398" s="119"/>
      <c r="FW398" s="119"/>
      <c r="FX398" s="119"/>
      <c r="FY398" s="119"/>
      <c r="FZ398" s="119"/>
      <c r="GA398" s="119"/>
      <c r="GB398" s="119"/>
      <c r="GC398" s="119"/>
      <c r="GD398" s="119"/>
      <c r="GE398" s="119"/>
      <c r="GF398" s="119"/>
      <c r="GG398" s="119"/>
      <c r="GH398" s="119"/>
      <c r="GI398" s="119"/>
      <c r="GJ398" s="119"/>
      <c r="GK398" s="119"/>
      <c r="GL398" s="119"/>
      <c r="GM398" s="119"/>
      <c r="GN398" s="119"/>
      <c r="GO398" s="119"/>
      <c r="GP398" s="119"/>
      <c r="GQ398" s="119"/>
      <c r="GR398" s="119"/>
      <c r="GS398" s="119"/>
      <c r="GT398" s="119"/>
      <c r="GU398" s="119"/>
      <c r="GV398" s="119"/>
      <c r="GW398" s="119"/>
      <c r="GX398" s="119"/>
      <c r="GY398" s="119"/>
      <c r="GZ398" s="119"/>
      <c r="HA398" s="119"/>
      <c r="HB398" s="119"/>
      <c r="HC398" s="119"/>
      <c r="HD398" s="119"/>
      <c r="HE398" s="119"/>
      <c r="HF398" s="119"/>
      <c r="HG398" s="119"/>
      <c r="HH398" s="119"/>
      <c r="HI398" s="119"/>
      <c r="HJ398" s="119"/>
      <c r="HK398" s="119"/>
      <c r="HL398" s="119"/>
      <c r="HM398" s="119"/>
      <c r="HN398" s="119"/>
      <c r="HO398" s="119"/>
      <c r="HP398" s="119"/>
      <c r="HQ398" s="119"/>
      <c r="HR398" s="119"/>
      <c r="HS398" s="119"/>
      <c r="HT398" s="119"/>
      <c r="HU398" s="119"/>
      <c r="HV398" s="119"/>
      <c r="HW398" s="119"/>
      <c r="HX398" s="119"/>
      <c r="HY398" s="119"/>
      <c r="HZ398" s="119"/>
      <c r="IA398" s="119"/>
      <c r="IB398" s="119"/>
      <c r="IC398" s="119"/>
      <c r="ID398" s="119"/>
      <c r="IE398" s="119"/>
      <c r="IF398" s="119"/>
      <c r="IG398" s="119"/>
      <c r="IH398" s="119"/>
      <c r="II398" s="119"/>
      <c r="IJ398" s="119"/>
      <c r="IK398" s="119"/>
      <c r="IL398" s="119"/>
      <c r="IM398" s="119"/>
      <c r="IN398" s="119"/>
      <c r="IO398" s="119"/>
      <c r="IP398" s="119"/>
      <c r="IQ398" s="119"/>
      <c r="IR398" s="119"/>
      <c r="IS398" s="119"/>
      <c r="IT398" s="119"/>
      <c r="IU398" s="119"/>
      <c r="IV398" s="119"/>
      <c r="IW398" s="119"/>
      <c r="IX398" s="119"/>
      <c r="IY398" s="119"/>
      <c r="IZ398" s="119"/>
      <c r="JA398" s="119"/>
      <c r="JB398" s="119"/>
      <c r="JC398" s="119"/>
      <c r="JD398" s="119"/>
      <c r="JE398" s="119"/>
      <c r="JF398" s="119"/>
      <c r="JG398" s="119"/>
      <c r="JH398" s="119"/>
      <c r="JI398" s="119"/>
      <c r="JJ398" s="119"/>
      <c r="JK398" s="119"/>
      <c r="JL398" s="119"/>
      <c r="JM398" s="119"/>
      <c r="JN398" s="119"/>
      <c r="JO398" s="119"/>
      <c r="JP398" s="119"/>
      <c r="JQ398" s="119"/>
      <c r="JR398" s="119"/>
      <c r="JS398" s="119"/>
      <c r="JT398" s="119"/>
      <c r="JU398" s="119"/>
      <c r="JV398" s="119"/>
      <c r="JW398" s="119"/>
      <c r="JX398" s="119"/>
      <c r="JY398" s="119"/>
      <c r="JZ398" s="119"/>
      <c r="KA398" s="119"/>
      <c r="KB398" s="119"/>
      <c r="KC398" s="119"/>
      <c r="KD398" s="119"/>
      <c r="KE398" s="119"/>
      <c r="KF398" s="119"/>
      <c r="KG398" s="119"/>
      <c r="KH398" s="119"/>
      <c r="KI398" s="119"/>
      <c r="KJ398" s="119"/>
      <c r="KK398" s="119"/>
      <c r="KL398" s="119"/>
      <c r="KM398" s="119"/>
      <c r="KN398" s="119"/>
      <c r="KO398" s="119"/>
      <c r="KP398" s="119"/>
      <c r="KQ398" s="119"/>
      <c r="KR398" s="119"/>
      <c r="KS398" s="119"/>
      <c r="KT398" s="119"/>
      <c r="KU398" s="119"/>
      <c r="KV398" s="119"/>
      <c r="KW398" s="119"/>
      <c r="KX398" s="119"/>
      <c r="KY398" s="119"/>
      <c r="KZ398" s="119"/>
      <c r="LA398" s="119"/>
      <c r="LB398" s="119"/>
      <c r="LC398" s="119"/>
      <c r="LD398" s="119"/>
      <c r="LE398" s="119"/>
      <c r="LF398" s="119"/>
      <c r="LG398" s="119"/>
      <c r="LH398" s="119"/>
      <c r="LI398" s="119"/>
      <c r="LJ398" s="119"/>
      <c r="LK398" s="119"/>
      <c r="LL398" s="119"/>
      <c r="LM398" s="119"/>
      <c r="LN398" s="119"/>
      <c r="LO398" s="119"/>
      <c r="LP398" s="119"/>
      <c r="LQ398" s="119"/>
      <c r="LR398" s="119"/>
      <c r="LS398" s="119"/>
      <c r="LT398" s="119"/>
      <c r="LU398" s="119"/>
      <c r="LV398" s="119"/>
      <c r="LW398" s="119"/>
      <c r="LX398" s="119"/>
      <c r="LY398" s="119"/>
      <c r="LZ398" s="119"/>
      <c r="MA398" s="119"/>
      <c r="MB398" s="119"/>
      <c r="MC398" s="119"/>
      <c r="MD398" s="119"/>
      <c r="ME398" s="119"/>
      <c r="MF398" s="119"/>
      <c r="MG398" s="119"/>
      <c r="MH398" s="119"/>
      <c r="MI398" s="119"/>
      <c r="MJ398" s="119"/>
      <c r="MK398" s="119"/>
      <c r="ML398" s="119"/>
      <c r="MM398" s="119"/>
      <c r="MN398" s="119"/>
      <c r="MO398" s="119"/>
      <c r="MP398" s="119"/>
      <c r="MQ398" s="119"/>
      <c r="MR398" s="119"/>
      <c r="MS398" s="119"/>
      <c r="MT398" s="119"/>
      <c r="MU398" s="119"/>
      <c r="MV398" s="119"/>
      <c r="MW398" s="119"/>
      <c r="MX398" s="119"/>
      <c r="MY398" s="119"/>
      <c r="MZ398" s="119"/>
    </row>
    <row r="399" spans="1:364" s="27" customFormat="1" x14ac:dyDescent="0.25">
      <c r="A399" s="122"/>
      <c r="B399" s="136" t="e">
        <f>VLOOKUP(A399,Rules!$B$8:$C$154,2,0)</f>
        <v>#N/A</v>
      </c>
      <c r="C399" s="126">
        <f>SUM(I400:XX400)</f>
        <v>0</v>
      </c>
      <c r="D399" s="128"/>
      <c r="E399" s="112" t="s">
        <v>492</v>
      </c>
      <c r="F399" s="131" t="e">
        <f>VLOOKUP(A399,Table2[],10,0)</f>
        <v>#N/A</v>
      </c>
      <c r="G399" s="131"/>
      <c r="H399" s="113" t="s">
        <v>440</v>
      </c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9"/>
      <c r="T399" s="119"/>
      <c r="U399" s="119"/>
      <c r="V399" s="119"/>
      <c r="W399" s="119"/>
      <c r="X399" s="119"/>
      <c r="Y399" s="119"/>
      <c r="Z399" s="119"/>
      <c r="AA399" s="119"/>
      <c r="AB399" s="119"/>
      <c r="AC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9"/>
      <c r="AT399" s="119"/>
      <c r="AU399" s="119"/>
      <c r="AV399" s="119"/>
      <c r="AW399" s="119"/>
      <c r="AX399" s="119"/>
      <c r="AY399" s="119"/>
      <c r="AZ399" s="119"/>
      <c r="BA399" s="119"/>
      <c r="BB399" s="119"/>
      <c r="BC399" s="119"/>
      <c r="BD399" s="119"/>
      <c r="BE399" s="119"/>
      <c r="BF399" s="119"/>
      <c r="BG399" s="119"/>
      <c r="BH399" s="119"/>
      <c r="BI399" s="119"/>
      <c r="BJ399" s="119"/>
      <c r="BK399" s="119"/>
      <c r="BL399" s="26"/>
      <c r="BM399" s="119"/>
      <c r="BN399" s="26"/>
      <c r="BO399" s="119"/>
      <c r="BP399" s="119"/>
      <c r="BQ399" s="119"/>
      <c r="BR399" s="119"/>
      <c r="BS399" s="119"/>
      <c r="BT399" s="119"/>
      <c r="BU399" s="119"/>
      <c r="BV399" s="119"/>
      <c r="BW399" s="119"/>
      <c r="BX399" s="119"/>
      <c r="BY399" s="119"/>
      <c r="BZ399" s="119"/>
      <c r="CA399" s="119"/>
      <c r="CB399" s="119"/>
      <c r="CC399" s="119"/>
      <c r="CD399" s="119"/>
      <c r="CE399" s="119"/>
      <c r="CF399" s="119"/>
      <c r="CG399" s="119"/>
      <c r="CH399" s="119"/>
      <c r="CI399" s="119"/>
      <c r="CJ399" s="119"/>
      <c r="CK399" s="119"/>
      <c r="CL399" s="119"/>
      <c r="CM399" s="119"/>
      <c r="CN399" s="119"/>
      <c r="CO399" s="119"/>
      <c r="CP399" s="119"/>
      <c r="CQ399" s="119"/>
      <c r="CR399" s="119"/>
      <c r="CS399" s="119"/>
      <c r="CT399" s="119"/>
      <c r="CU399" s="119"/>
      <c r="CV399" s="119"/>
      <c r="CW399" s="119"/>
      <c r="CX399" s="119"/>
      <c r="CY399" s="119"/>
      <c r="CZ399" s="119"/>
      <c r="DA399" s="119"/>
      <c r="DB399" s="119"/>
      <c r="DC399" s="119"/>
      <c r="DD399" s="119"/>
      <c r="DE399" s="119"/>
      <c r="DF399" s="119"/>
      <c r="DG399" s="119"/>
      <c r="DH399" s="119"/>
      <c r="DI399" s="119"/>
      <c r="DJ399" s="119"/>
      <c r="DK399" s="119"/>
      <c r="DL399" s="119"/>
      <c r="DM399" s="119"/>
      <c r="DN399" s="119"/>
      <c r="DO399" s="119"/>
      <c r="DP399" s="119"/>
      <c r="DQ399" s="119"/>
      <c r="DR399" s="119"/>
      <c r="DS399" s="119"/>
      <c r="DT399" s="119"/>
      <c r="DU399" s="119"/>
      <c r="DV399" s="119"/>
      <c r="DW399" s="119"/>
      <c r="DX399" s="119"/>
      <c r="DY399" s="119"/>
      <c r="DZ399" s="119"/>
      <c r="EA399" s="119"/>
      <c r="EB399" s="119"/>
      <c r="EC399" s="119"/>
      <c r="ED399" s="119"/>
      <c r="EE399" s="119"/>
      <c r="EF399" s="119"/>
      <c r="EG399" s="119"/>
      <c r="EH399" s="119"/>
      <c r="EI399" s="119"/>
      <c r="EJ399" s="119"/>
      <c r="EK399" s="119"/>
      <c r="EL399" s="119"/>
      <c r="EM399" s="119"/>
      <c r="EN399" s="119"/>
      <c r="EO399" s="119"/>
      <c r="EP399" s="119"/>
      <c r="EQ399" s="119"/>
      <c r="ER399" s="119"/>
      <c r="ES399" s="119"/>
      <c r="ET399" s="119"/>
      <c r="EU399" s="119"/>
      <c r="EV399" s="119"/>
      <c r="EW399" s="119"/>
      <c r="EX399" s="119"/>
      <c r="EY399" s="119"/>
      <c r="EZ399" s="119"/>
      <c r="FA399" s="119"/>
      <c r="FB399" s="119"/>
      <c r="FC399" s="119"/>
      <c r="FD399" s="119"/>
      <c r="FE399" s="119"/>
      <c r="FF399" s="119"/>
      <c r="FG399" s="119"/>
      <c r="FH399" s="119"/>
      <c r="FI399" s="119"/>
      <c r="FJ399" s="119"/>
      <c r="FK399" s="119"/>
      <c r="FL399" s="119"/>
      <c r="FM399" s="119"/>
      <c r="FN399" s="119"/>
      <c r="FO399" s="119"/>
      <c r="FP399" s="119"/>
      <c r="FQ399" s="119"/>
      <c r="FR399" s="119"/>
      <c r="FS399" s="119"/>
      <c r="FT399" s="119"/>
      <c r="FU399" s="119"/>
      <c r="FV399" s="119"/>
      <c r="FW399" s="119"/>
      <c r="FX399" s="119"/>
      <c r="FY399" s="119"/>
      <c r="FZ399" s="119"/>
      <c r="GA399" s="119"/>
      <c r="GB399" s="119"/>
      <c r="GC399" s="119"/>
      <c r="GD399" s="119"/>
      <c r="GE399" s="119"/>
      <c r="GF399" s="119"/>
      <c r="GG399" s="119"/>
      <c r="GH399" s="119"/>
      <c r="GI399" s="119"/>
      <c r="GJ399" s="119"/>
      <c r="GK399" s="119"/>
      <c r="GL399" s="119"/>
      <c r="GM399" s="119"/>
      <c r="GN399" s="119"/>
      <c r="GO399" s="119"/>
      <c r="GP399" s="119"/>
      <c r="GQ399" s="119"/>
      <c r="GR399" s="119"/>
      <c r="GS399" s="119"/>
      <c r="GT399" s="119"/>
      <c r="GU399" s="119"/>
      <c r="GV399" s="119"/>
      <c r="GW399" s="119"/>
      <c r="GX399" s="119"/>
      <c r="GY399" s="119"/>
      <c r="GZ399" s="119"/>
      <c r="HA399" s="119"/>
      <c r="HB399" s="119"/>
      <c r="HC399" s="119"/>
      <c r="HD399" s="119"/>
      <c r="HE399" s="119"/>
      <c r="HF399" s="119"/>
      <c r="HG399" s="119"/>
      <c r="HH399" s="119"/>
      <c r="HI399" s="119"/>
      <c r="HJ399" s="119"/>
      <c r="HK399" s="119"/>
      <c r="HL399" s="119"/>
      <c r="HM399" s="119"/>
      <c r="HN399" s="119"/>
      <c r="HO399" s="119"/>
      <c r="HP399" s="119"/>
      <c r="HQ399" s="119"/>
      <c r="HR399" s="119"/>
      <c r="HS399" s="119"/>
      <c r="HT399" s="119"/>
      <c r="HU399" s="119"/>
      <c r="HV399" s="119"/>
      <c r="HW399" s="119"/>
      <c r="HX399" s="119"/>
      <c r="HY399" s="119"/>
      <c r="HZ399" s="119"/>
      <c r="IA399" s="119"/>
      <c r="IB399" s="119"/>
      <c r="IC399" s="119"/>
      <c r="ID399" s="119"/>
      <c r="IE399" s="119"/>
      <c r="IF399" s="119"/>
      <c r="IG399" s="119"/>
      <c r="IH399" s="119"/>
      <c r="II399" s="119"/>
      <c r="IJ399" s="119"/>
      <c r="IK399" s="119"/>
      <c r="IL399" s="119"/>
      <c r="IM399" s="119"/>
      <c r="IN399" s="119"/>
      <c r="IO399" s="119"/>
      <c r="IP399" s="119"/>
      <c r="IQ399" s="119"/>
      <c r="IR399" s="119"/>
      <c r="IS399" s="119"/>
      <c r="IT399" s="119"/>
      <c r="IU399" s="119"/>
      <c r="IV399" s="119"/>
      <c r="IW399" s="119"/>
      <c r="IX399" s="119"/>
      <c r="IY399" s="119"/>
      <c r="IZ399" s="119"/>
      <c r="JA399" s="119"/>
      <c r="JB399" s="119"/>
      <c r="JC399" s="119"/>
      <c r="JD399" s="119"/>
      <c r="JE399" s="119"/>
      <c r="JF399" s="119"/>
      <c r="JG399" s="119"/>
      <c r="JH399" s="119"/>
      <c r="JI399" s="119"/>
      <c r="JJ399" s="119"/>
      <c r="JK399" s="119"/>
      <c r="JL399" s="119"/>
      <c r="JM399" s="119"/>
      <c r="JN399" s="119"/>
      <c r="JO399" s="119"/>
      <c r="JP399" s="119"/>
      <c r="JQ399" s="119"/>
      <c r="JR399" s="119"/>
      <c r="JS399" s="119"/>
      <c r="JT399" s="119"/>
      <c r="JU399" s="119"/>
      <c r="JV399" s="119"/>
      <c r="JW399" s="119"/>
      <c r="JX399" s="119"/>
      <c r="JY399" s="119"/>
      <c r="JZ399" s="119"/>
      <c r="KA399" s="119"/>
      <c r="KB399" s="119"/>
      <c r="KC399" s="119"/>
      <c r="KD399" s="119"/>
      <c r="KE399" s="119"/>
      <c r="KF399" s="119"/>
      <c r="KG399" s="119"/>
      <c r="KH399" s="119"/>
      <c r="KI399" s="119"/>
      <c r="KJ399" s="119"/>
      <c r="KK399" s="119"/>
      <c r="KL399" s="119"/>
      <c r="KM399" s="119"/>
      <c r="KN399" s="119"/>
      <c r="KO399" s="119"/>
      <c r="KP399" s="119"/>
      <c r="KQ399" s="119"/>
      <c r="KR399" s="119"/>
      <c r="KS399" s="119"/>
      <c r="KT399" s="119"/>
      <c r="KU399" s="119"/>
      <c r="KV399" s="119"/>
      <c r="KW399" s="119"/>
      <c r="KX399" s="119"/>
      <c r="KY399" s="119"/>
      <c r="KZ399" s="119"/>
      <c r="LA399" s="119"/>
      <c r="LB399" s="119"/>
      <c r="LC399" s="119"/>
      <c r="LD399" s="119"/>
      <c r="LE399" s="119"/>
      <c r="LF399" s="119"/>
      <c r="LG399" s="119"/>
      <c r="LH399" s="119"/>
      <c r="LI399" s="119"/>
      <c r="LJ399" s="119"/>
      <c r="LK399" s="119"/>
      <c r="LL399" s="119"/>
      <c r="LM399" s="119"/>
      <c r="LN399" s="119"/>
      <c r="LO399" s="119"/>
      <c r="LP399" s="119"/>
      <c r="LQ399" s="119"/>
      <c r="LR399" s="119"/>
      <c r="LS399" s="119"/>
      <c r="LT399" s="119"/>
      <c r="LU399" s="119"/>
      <c r="LV399" s="119"/>
      <c r="LW399" s="119"/>
      <c r="LX399" s="119"/>
      <c r="LY399" s="119"/>
      <c r="LZ399" s="119"/>
      <c r="MA399" s="119"/>
      <c r="MB399" s="119"/>
      <c r="MC399" s="119"/>
      <c r="MD399" s="119"/>
      <c r="ME399" s="119"/>
      <c r="MF399" s="119"/>
      <c r="MG399" s="119"/>
      <c r="MH399" s="119"/>
      <c r="MI399" s="119"/>
      <c r="MJ399" s="119"/>
      <c r="MK399" s="119"/>
      <c r="ML399" s="119"/>
      <c r="MM399" s="119"/>
      <c r="MN399" s="119"/>
      <c r="MO399" s="119"/>
      <c r="MP399" s="119"/>
      <c r="MQ399" s="119"/>
      <c r="MR399" s="119"/>
      <c r="MS399" s="119"/>
      <c r="MT399" s="119"/>
      <c r="MU399" s="119"/>
      <c r="MV399" s="119"/>
      <c r="MW399" s="119"/>
      <c r="MX399" s="119"/>
      <c r="MY399" s="119"/>
      <c r="MZ399" s="119"/>
    </row>
    <row r="400" spans="1:364" s="27" customFormat="1" x14ac:dyDescent="0.25">
      <c r="A400" s="122"/>
      <c r="B400" s="122"/>
      <c r="C400" s="126"/>
      <c r="D400" s="128"/>
      <c r="E400" s="109"/>
      <c r="F400" s="131"/>
      <c r="G400" s="131"/>
      <c r="H400" s="105" t="s">
        <v>439</v>
      </c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9"/>
      <c r="T400" s="119"/>
      <c r="U400" s="119"/>
      <c r="V400" s="119"/>
      <c r="W400" s="119"/>
      <c r="X400" s="119"/>
      <c r="Y400" s="119"/>
      <c r="Z400" s="119"/>
      <c r="AA400" s="119"/>
      <c r="AB400" s="119"/>
      <c r="AC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9"/>
      <c r="AT400" s="119"/>
      <c r="AU400" s="119"/>
      <c r="AV400" s="119"/>
      <c r="AW400" s="119"/>
      <c r="AX400" s="119"/>
      <c r="AY400" s="119"/>
      <c r="AZ400" s="119"/>
      <c r="BA400" s="119"/>
      <c r="BB400" s="119"/>
      <c r="BC400" s="119"/>
      <c r="BD400" s="119"/>
      <c r="BE400" s="119"/>
      <c r="BF400" s="119"/>
      <c r="BG400" s="119"/>
      <c r="BH400" s="119"/>
      <c r="BI400" s="119"/>
      <c r="BJ400" s="119"/>
      <c r="BK400" s="119"/>
      <c r="BL400" s="26"/>
      <c r="BM400" s="119"/>
      <c r="BN400" s="26"/>
      <c r="BO400" s="119"/>
      <c r="BP400" s="119"/>
      <c r="BQ400" s="119"/>
      <c r="BR400" s="119"/>
      <c r="BS400" s="119"/>
      <c r="BT400" s="119"/>
      <c r="BU400" s="119"/>
      <c r="BV400" s="119"/>
      <c r="BW400" s="119"/>
      <c r="BX400" s="119"/>
      <c r="BY400" s="119"/>
      <c r="BZ400" s="119"/>
      <c r="CA400" s="119"/>
      <c r="CB400" s="119"/>
      <c r="CC400" s="119"/>
      <c r="CD400" s="119"/>
      <c r="CE400" s="119"/>
      <c r="CF400" s="119"/>
      <c r="CG400" s="119"/>
      <c r="CH400" s="119"/>
      <c r="CI400" s="119"/>
      <c r="CJ400" s="119"/>
      <c r="CK400" s="119"/>
      <c r="CL400" s="119"/>
      <c r="CM400" s="119"/>
      <c r="CN400" s="119"/>
      <c r="CO400" s="119"/>
      <c r="CP400" s="119"/>
      <c r="CQ400" s="119"/>
      <c r="CR400" s="119"/>
      <c r="CS400" s="119"/>
      <c r="CT400" s="119"/>
      <c r="CU400" s="119"/>
      <c r="CV400" s="119"/>
      <c r="CW400" s="119"/>
      <c r="CX400" s="119"/>
      <c r="CY400" s="119"/>
      <c r="CZ400" s="119"/>
      <c r="DA400" s="119"/>
      <c r="DB400" s="119"/>
      <c r="DC400" s="119"/>
      <c r="DD400" s="119"/>
      <c r="DE400" s="119"/>
      <c r="DF400" s="119"/>
      <c r="DG400" s="119"/>
      <c r="DH400" s="119"/>
      <c r="DI400" s="119"/>
      <c r="DJ400" s="119"/>
      <c r="DK400" s="119"/>
      <c r="DL400" s="119"/>
      <c r="DM400" s="119"/>
      <c r="DN400" s="119"/>
      <c r="DO400" s="119"/>
      <c r="DP400" s="119"/>
      <c r="DQ400" s="119"/>
      <c r="DR400" s="119"/>
      <c r="DS400" s="119"/>
      <c r="DT400" s="119"/>
      <c r="DU400" s="119"/>
      <c r="DV400" s="119"/>
      <c r="DW400" s="119"/>
      <c r="DX400" s="119"/>
      <c r="DY400" s="119"/>
      <c r="DZ400" s="119"/>
      <c r="EA400" s="119"/>
      <c r="EB400" s="119"/>
      <c r="EC400" s="119"/>
      <c r="ED400" s="119"/>
      <c r="EE400" s="119"/>
      <c r="EF400" s="119"/>
      <c r="EG400" s="119"/>
      <c r="EH400" s="119"/>
      <c r="EI400" s="119"/>
      <c r="EJ400" s="119"/>
      <c r="EK400" s="119"/>
      <c r="EL400" s="119"/>
      <c r="EM400" s="119"/>
      <c r="EN400" s="119"/>
      <c r="EO400" s="119"/>
      <c r="EP400" s="119"/>
      <c r="EQ400" s="119"/>
      <c r="ER400" s="119"/>
      <c r="ES400" s="119"/>
      <c r="ET400" s="119"/>
      <c r="EU400" s="119"/>
      <c r="EV400" s="119"/>
      <c r="EW400" s="119"/>
      <c r="EX400" s="119"/>
      <c r="EY400" s="119"/>
      <c r="EZ400" s="119"/>
      <c r="FA400" s="119"/>
      <c r="FB400" s="119"/>
      <c r="FC400" s="119"/>
      <c r="FD400" s="119"/>
      <c r="FE400" s="119"/>
      <c r="FF400" s="119"/>
      <c r="FG400" s="119"/>
      <c r="FH400" s="119"/>
      <c r="FI400" s="119"/>
      <c r="FJ400" s="119"/>
      <c r="FK400" s="119"/>
      <c r="FL400" s="119"/>
      <c r="FM400" s="119"/>
      <c r="FN400" s="119"/>
      <c r="FO400" s="119"/>
      <c r="FP400" s="119"/>
      <c r="FQ400" s="119"/>
      <c r="FR400" s="119"/>
      <c r="FS400" s="119"/>
      <c r="FT400" s="119"/>
      <c r="FU400" s="119"/>
      <c r="FV400" s="119"/>
      <c r="FW400" s="119"/>
      <c r="FX400" s="119"/>
      <c r="FY400" s="119"/>
      <c r="FZ400" s="119"/>
      <c r="GA400" s="119"/>
      <c r="GB400" s="119"/>
      <c r="GC400" s="119"/>
      <c r="GD400" s="119"/>
      <c r="GE400" s="119"/>
      <c r="GF400" s="119"/>
      <c r="GG400" s="119"/>
      <c r="GH400" s="119"/>
      <c r="GI400" s="119"/>
      <c r="GJ400" s="119"/>
      <c r="GK400" s="119"/>
      <c r="GL400" s="119"/>
      <c r="GM400" s="119"/>
      <c r="GN400" s="119"/>
      <c r="GO400" s="119"/>
      <c r="GP400" s="119"/>
      <c r="GQ400" s="119"/>
      <c r="GR400" s="119"/>
      <c r="GS400" s="119"/>
      <c r="GT400" s="119"/>
      <c r="GU400" s="119"/>
      <c r="GV400" s="119"/>
      <c r="GW400" s="119"/>
      <c r="GX400" s="119"/>
      <c r="GY400" s="119"/>
      <c r="GZ400" s="119"/>
      <c r="HA400" s="119"/>
      <c r="HB400" s="119"/>
      <c r="HC400" s="119"/>
      <c r="HD400" s="119"/>
      <c r="HE400" s="119"/>
      <c r="HF400" s="119"/>
      <c r="HG400" s="119"/>
      <c r="HH400" s="119"/>
      <c r="HI400" s="119"/>
      <c r="HJ400" s="119"/>
      <c r="HK400" s="119"/>
      <c r="HL400" s="119"/>
      <c r="HM400" s="119"/>
      <c r="HN400" s="119"/>
      <c r="HO400" s="119"/>
      <c r="HP400" s="119"/>
      <c r="HQ400" s="119"/>
      <c r="HR400" s="119"/>
      <c r="HS400" s="119"/>
      <c r="HT400" s="119"/>
      <c r="HU400" s="119"/>
      <c r="HV400" s="119"/>
      <c r="HW400" s="119"/>
      <c r="HX400" s="119"/>
      <c r="HY400" s="119"/>
      <c r="HZ400" s="119"/>
      <c r="IA400" s="119"/>
      <c r="IB400" s="119"/>
      <c r="IC400" s="119"/>
      <c r="ID400" s="119"/>
      <c r="IE400" s="119"/>
      <c r="IF400" s="119"/>
      <c r="IG400" s="119"/>
      <c r="IH400" s="119"/>
      <c r="II400" s="119"/>
      <c r="IJ400" s="119"/>
      <c r="IK400" s="119"/>
      <c r="IL400" s="119"/>
      <c r="IM400" s="119"/>
      <c r="IN400" s="119"/>
      <c r="IO400" s="119"/>
      <c r="IP400" s="119"/>
      <c r="IQ400" s="119"/>
      <c r="IR400" s="119"/>
      <c r="IS400" s="119"/>
      <c r="IT400" s="119"/>
      <c r="IU400" s="119"/>
      <c r="IV400" s="119"/>
      <c r="IW400" s="119"/>
      <c r="IX400" s="119"/>
      <c r="IY400" s="119"/>
      <c r="IZ400" s="119"/>
      <c r="JA400" s="119"/>
      <c r="JB400" s="119"/>
      <c r="JC400" s="119"/>
      <c r="JD400" s="119"/>
      <c r="JE400" s="119"/>
      <c r="JF400" s="119"/>
      <c r="JG400" s="119"/>
      <c r="JH400" s="119"/>
      <c r="JI400" s="119"/>
      <c r="JJ400" s="119"/>
      <c r="JK400" s="119"/>
      <c r="JL400" s="119"/>
      <c r="JM400" s="119"/>
      <c r="JN400" s="119"/>
      <c r="JO400" s="119"/>
      <c r="JP400" s="119"/>
      <c r="JQ400" s="119"/>
      <c r="JR400" s="119"/>
      <c r="JS400" s="119"/>
      <c r="JT400" s="119"/>
      <c r="JU400" s="119"/>
      <c r="JV400" s="119"/>
      <c r="JW400" s="119"/>
      <c r="JX400" s="119"/>
      <c r="JY400" s="119"/>
      <c r="JZ400" s="119"/>
      <c r="KA400" s="119"/>
      <c r="KB400" s="119"/>
      <c r="KC400" s="119"/>
      <c r="KD400" s="119"/>
      <c r="KE400" s="119"/>
      <c r="KF400" s="119"/>
      <c r="KG400" s="119"/>
      <c r="KH400" s="119"/>
      <c r="KI400" s="119"/>
      <c r="KJ400" s="119"/>
      <c r="KK400" s="119"/>
      <c r="KL400" s="119"/>
      <c r="KM400" s="119"/>
      <c r="KN400" s="119"/>
      <c r="KO400" s="119"/>
      <c r="KP400" s="119"/>
      <c r="KQ400" s="119"/>
      <c r="KR400" s="119"/>
      <c r="KS400" s="119"/>
      <c r="KT400" s="119"/>
      <c r="KU400" s="119"/>
      <c r="KV400" s="119"/>
      <c r="KW400" s="119"/>
      <c r="KX400" s="119"/>
      <c r="KY400" s="119"/>
      <c r="KZ400" s="119"/>
      <c r="LA400" s="119"/>
      <c r="LB400" s="119"/>
      <c r="LC400" s="119"/>
      <c r="LD400" s="119"/>
      <c r="LE400" s="119"/>
      <c r="LF400" s="119"/>
      <c r="LG400" s="119"/>
      <c r="LH400" s="119"/>
      <c r="LI400" s="119"/>
      <c r="LJ400" s="119"/>
      <c r="LK400" s="119"/>
      <c r="LL400" s="119"/>
      <c r="LM400" s="119"/>
      <c r="LN400" s="119"/>
      <c r="LO400" s="119"/>
      <c r="LP400" s="119"/>
      <c r="LQ400" s="119"/>
      <c r="LR400" s="119"/>
      <c r="LS400" s="119"/>
      <c r="LT400" s="119"/>
      <c r="LU400" s="119"/>
      <c r="LV400" s="119"/>
      <c r="LW400" s="119"/>
      <c r="LX400" s="119"/>
      <c r="LY400" s="119"/>
      <c r="LZ400" s="119"/>
      <c r="MA400" s="119"/>
      <c r="MB400" s="119"/>
      <c r="MC400" s="119"/>
      <c r="MD400" s="119"/>
      <c r="ME400" s="119"/>
      <c r="MF400" s="119"/>
      <c r="MG400" s="119"/>
      <c r="MH400" s="119"/>
      <c r="MI400" s="119"/>
      <c r="MJ400" s="119"/>
      <c r="MK400" s="119"/>
      <c r="ML400" s="119"/>
      <c r="MM400" s="119"/>
      <c r="MN400" s="119"/>
      <c r="MO400" s="119"/>
      <c r="MP400" s="119"/>
      <c r="MQ400" s="119"/>
      <c r="MR400" s="119"/>
      <c r="MS400" s="119"/>
      <c r="MT400" s="119"/>
      <c r="MU400" s="119"/>
      <c r="MV400" s="119"/>
      <c r="MW400" s="119"/>
      <c r="MX400" s="119"/>
      <c r="MY400" s="119"/>
      <c r="MZ400" s="119"/>
    </row>
    <row r="401" spans="1:364" s="27" customFormat="1" x14ac:dyDescent="0.25">
      <c r="A401" s="122"/>
      <c r="B401" s="122"/>
      <c r="C401" s="126"/>
      <c r="D401" s="128"/>
      <c r="E401" s="109" t="s">
        <v>493</v>
      </c>
      <c r="F401" s="131"/>
      <c r="G401" s="131"/>
      <c r="H401" s="106" t="s">
        <v>438</v>
      </c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19"/>
      <c r="T401" s="119"/>
      <c r="U401" s="119"/>
      <c r="V401" s="119"/>
      <c r="W401" s="119"/>
      <c r="X401" s="119"/>
      <c r="Y401" s="119"/>
      <c r="Z401" s="119"/>
      <c r="AA401" s="119"/>
      <c r="AB401" s="119"/>
      <c r="AC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9"/>
      <c r="AT401" s="119"/>
      <c r="AU401" s="119"/>
      <c r="AV401" s="119"/>
      <c r="AW401" s="119"/>
      <c r="AX401" s="119"/>
      <c r="AY401" s="119"/>
      <c r="AZ401" s="119"/>
      <c r="BA401" s="119"/>
      <c r="BB401" s="119"/>
      <c r="BC401" s="119"/>
      <c r="BD401" s="119"/>
      <c r="BE401" s="119"/>
      <c r="BF401" s="119"/>
      <c r="BG401" s="119"/>
      <c r="BH401" s="119"/>
      <c r="BI401" s="119"/>
      <c r="BJ401" s="119"/>
      <c r="BK401" s="119"/>
      <c r="BL401" s="26"/>
      <c r="BM401" s="119"/>
      <c r="BN401" s="119"/>
      <c r="BO401" s="119"/>
      <c r="BP401" s="119"/>
      <c r="BQ401" s="119"/>
      <c r="BR401" s="119"/>
      <c r="BS401" s="119"/>
      <c r="BT401" s="119"/>
      <c r="BU401" s="119"/>
      <c r="BV401" s="119"/>
      <c r="BW401" s="119"/>
      <c r="BX401" s="119"/>
      <c r="BY401" s="119"/>
      <c r="BZ401" s="119"/>
      <c r="CA401" s="119"/>
      <c r="CB401" s="119"/>
      <c r="CC401" s="119"/>
      <c r="CD401" s="119"/>
      <c r="CE401" s="119"/>
      <c r="CF401" s="119"/>
      <c r="CG401" s="119"/>
      <c r="CH401" s="119"/>
      <c r="CI401" s="119"/>
      <c r="CJ401" s="119"/>
      <c r="CK401" s="119"/>
      <c r="CL401" s="119"/>
      <c r="CM401" s="119"/>
      <c r="CN401" s="119"/>
      <c r="CO401" s="119"/>
      <c r="CP401" s="119"/>
      <c r="CQ401" s="119"/>
      <c r="CR401" s="119"/>
      <c r="CS401" s="119"/>
      <c r="CT401" s="119"/>
      <c r="CU401" s="119"/>
      <c r="CV401" s="119"/>
      <c r="CW401" s="119"/>
      <c r="CX401" s="119"/>
      <c r="CY401" s="119"/>
      <c r="CZ401" s="119"/>
      <c r="DA401" s="119"/>
      <c r="DB401" s="119"/>
      <c r="DC401" s="119"/>
      <c r="DD401" s="119"/>
      <c r="DE401" s="119"/>
      <c r="DF401" s="119"/>
      <c r="DG401" s="119"/>
      <c r="DH401" s="119"/>
      <c r="DI401" s="119"/>
      <c r="DJ401" s="119"/>
      <c r="DK401" s="119"/>
      <c r="DL401" s="119"/>
      <c r="DM401" s="119"/>
      <c r="DN401" s="119"/>
      <c r="DO401" s="119"/>
      <c r="DP401" s="119"/>
      <c r="DQ401" s="119"/>
      <c r="DR401" s="119"/>
      <c r="DS401" s="119"/>
      <c r="DT401" s="119"/>
      <c r="DU401" s="119"/>
      <c r="DV401" s="119"/>
      <c r="DW401" s="119"/>
      <c r="DX401" s="119"/>
      <c r="DY401" s="119"/>
      <c r="DZ401" s="119"/>
      <c r="EA401" s="119"/>
      <c r="EB401" s="119"/>
      <c r="EC401" s="119"/>
      <c r="ED401" s="119"/>
      <c r="EE401" s="119"/>
      <c r="EF401" s="119"/>
      <c r="EG401" s="119"/>
      <c r="EH401" s="119"/>
      <c r="EI401" s="119"/>
      <c r="EJ401" s="119"/>
      <c r="EK401" s="119"/>
      <c r="EL401" s="119"/>
      <c r="EM401" s="119"/>
      <c r="EN401" s="119"/>
      <c r="EO401" s="119"/>
      <c r="EP401" s="119"/>
      <c r="EQ401" s="119"/>
      <c r="ER401" s="119"/>
      <c r="ES401" s="119"/>
      <c r="ET401" s="119"/>
      <c r="EU401" s="119"/>
      <c r="EV401" s="119"/>
      <c r="EW401" s="119"/>
      <c r="EX401" s="119"/>
      <c r="EY401" s="119"/>
      <c r="EZ401" s="119"/>
      <c r="FA401" s="119"/>
      <c r="FB401" s="119"/>
      <c r="FC401" s="119"/>
      <c r="FD401" s="119"/>
      <c r="FE401" s="119"/>
      <c r="FF401" s="119"/>
      <c r="FG401" s="119"/>
      <c r="FH401" s="119"/>
      <c r="FI401" s="119"/>
      <c r="FJ401" s="119"/>
      <c r="FK401" s="119"/>
      <c r="FL401" s="119"/>
      <c r="FM401" s="119"/>
      <c r="FN401" s="119"/>
      <c r="FO401" s="119"/>
      <c r="FP401" s="119"/>
      <c r="FQ401" s="119"/>
      <c r="FR401" s="119"/>
      <c r="FS401" s="119"/>
      <c r="FT401" s="119"/>
      <c r="FU401" s="119"/>
      <c r="FV401" s="119"/>
      <c r="FW401" s="119"/>
      <c r="FX401" s="119"/>
      <c r="FY401" s="119"/>
      <c r="FZ401" s="119"/>
      <c r="GA401" s="119"/>
      <c r="GB401" s="119"/>
      <c r="GC401" s="119"/>
      <c r="GD401" s="119"/>
      <c r="GE401" s="119"/>
      <c r="GF401" s="119"/>
      <c r="GG401" s="119"/>
      <c r="GH401" s="119"/>
      <c r="GI401" s="119"/>
      <c r="GJ401" s="119"/>
      <c r="GK401" s="119"/>
      <c r="GL401" s="119"/>
      <c r="GM401" s="119"/>
      <c r="GN401" s="119"/>
      <c r="GO401" s="119"/>
      <c r="GP401" s="119"/>
      <c r="GQ401" s="119"/>
      <c r="GR401" s="119"/>
      <c r="GS401" s="119"/>
      <c r="GT401" s="119"/>
      <c r="GU401" s="119"/>
      <c r="GV401" s="119"/>
      <c r="GW401" s="119"/>
      <c r="GX401" s="119"/>
      <c r="GY401" s="119"/>
      <c r="GZ401" s="119"/>
      <c r="HA401" s="119"/>
      <c r="HB401" s="119"/>
      <c r="HC401" s="119"/>
      <c r="HD401" s="119"/>
      <c r="HE401" s="119"/>
      <c r="HF401" s="119"/>
      <c r="HG401" s="119"/>
      <c r="HH401" s="119"/>
      <c r="HI401" s="119"/>
      <c r="HJ401" s="119"/>
      <c r="HK401" s="119"/>
      <c r="HL401" s="119"/>
      <c r="HM401" s="119"/>
      <c r="HN401" s="119"/>
      <c r="HO401" s="119"/>
      <c r="HP401" s="119"/>
      <c r="HQ401" s="119"/>
      <c r="HR401" s="119"/>
      <c r="HS401" s="119"/>
      <c r="HT401" s="119"/>
      <c r="HU401" s="119"/>
      <c r="HV401" s="119"/>
      <c r="HW401" s="119"/>
      <c r="HX401" s="119"/>
      <c r="HY401" s="119"/>
      <c r="HZ401" s="119"/>
      <c r="IA401" s="119"/>
      <c r="IB401" s="119"/>
      <c r="IC401" s="119"/>
      <c r="ID401" s="119"/>
      <c r="IE401" s="119"/>
      <c r="IF401" s="119"/>
      <c r="IG401" s="119"/>
      <c r="IH401" s="119"/>
      <c r="II401" s="119"/>
      <c r="IJ401" s="119"/>
      <c r="IK401" s="119"/>
      <c r="IL401" s="119"/>
      <c r="IM401" s="119"/>
      <c r="IN401" s="119"/>
      <c r="IO401" s="119"/>
      <c r="IP401" s="119"/>
      <c r="IQ401" s="119"/>
      <c r="IR401" s="119"/>
      <c r="IS401" s="119"/>
      <c r="IT401" s="119"/>
      <c r="IU401" s="119"/>
      <c r="IV401" s="119"/>
      <c r="IW401" s="119"/>
      <c r="IX401" s="119"/>
      <c r="IY401" s="119"/>
      <c r="IZ401" s="119"/>
      <c r="JA401" s="119"/>
      <c r="JB401" s="119"/>
      <c r="JC401" s="119"/>
      <c r="JD401" s="119"/>
      <c r="JE401" s="119"/>
      <c r="JF401" s="119"/>
      <c r="JG401" s="119"/>
      <c r="JH401" s="119"/>
      <c r="JI401" s="119"/>
      <c r="JJ401" s="119"/>
      <c r="JK401" s="119"/>
      <c r="JL401" s="119"/>
      <c r="JM401" s="119"/>
      <c r="JN401" s="119"/>
      <c r="JO401" s="119"/>
      <c r="JP401" s="119"/>
      <c r="JQ401" s="119"/>
      <c r="JR401" s="119"/>
      <c r="JS401" s="119"/>
      <c r="JT401" s="119"/>
      <c r="JU401" s="119"/>
      <c r="JV401" s="119"/>
      <c r="JW401" s="119"/>
      <c r="JX401" s="119"/>
      <c r="JY401" s="119"/>
      <c r="JZ401" s="119"/>
      <c r="KA401" s="119"/>
      <c r="KB401" s="119"/>
      <c r="KC401" s="119"/>
      <c r="KD401" s="119"/>
      <c r="KE401" s="119"/>
      <c r="KF401" s="119"/>
      <c r="KG401" s="119"/>
      <c r="KH401" s="119"/>
      <c r="KI401" s="119"/>
      <c r="KJ401" s="119"/>
      <c r="KK401" s="119"/>
      <c r="KL401" s="119"/>
      <c r="KM401" s="119"/>
      <c r="KN401" s="119"/>
      <c r="KO401" s="119"/>
      <c r="KP401" s="119"/>
      <c r="KQ401" s="119"/>
      <c r="KR401" s="119"/>
      <c r="KS401" s="119"/>
      <c r="KT401" s="119"/>
      <c r="KU401" s="119"/>
      <c r="KV401" s="119"/>
      <c r="KW401" s="119"/>
      <c r="KX401" s="119"/>
      <c r="KY401" s="119"/>
      <c r="KZ401" s="119"/>
      <c r="LA401" s="119"/>
      <c r="LB401" s="119"/>
      <c r="LC401" s="119"/>
      <c r="LD401" s="119"/>
      <c r="LE401" s="119"/>
      <c r="LF401" s="119"/>
      <c r="LG401" s="119"/>
      <c r="LH401" s="119"/>
      <c r="LI401" s="119"/>
      <c r="LJ401" s="119"/>
      <c r="LK401" s="119"/>
      <c r="LL401" s="119"/>
      <c r="LM401" s="119"/>
      <c r="LN401" s="119"/>
      <c r="LO401" s="119"/>
      <c r="LP401" s="119"/>
      <c r="LQ401" s="119"/>
      <c r="LR401" s="119"/>
      <c r="LS401" s="119"/>
      <c r="LT401" s="119"/>
      <c r="LU401" s="119"/>
      <c r="LV401" s="119"/>
      <c r="LW401" s="119"/>
      <c r="LX401" s="119"/>
      <c r="LY401" s="119"/>
      <c r="LZ401" s="119"/>
      <c r="MA401" s="119"/>
      <c r="MB401" s="119"/>
      <c r="MC401" s="119"/>
      <c r="MD401" s="119"/>
      <c r="ME401" s="119"/>
      <c r="MF401" s="119"/>
      <c r="MG401" s="119"/>
      <c r="MH401" s="119"/>
      <c r="MI401" s="119"/>
      <c r="MJ401" s="119"/>
      <c r="MK401" s="119"/>
      <c r="ML401" s="119"/>
      <c r="MM401" s="119"/>
      <c r="MN401" s="119"/>
      <c r="MO401" s="119"/>
      <c r="MP401" s="119"/>
      <c r="MQ401" s="119"/>
      <c r="MR401" s="119"/>
      <c r="MS401" s="119"/>
      <c r="MT401" s="119"/>
      <c r="MU401" s="119"/>
      <c r="MV401" s="119"/>
      <c r="MW401" s="119"/>
      <c r="MX401" s="119"/>
      <c r="MY401" s="119"/>
      <c r="MZ401" s="119"/>
    </row>
    <row r="402" spans="1:364" s="27" customFormat="1" x14ac:dyDescent="0.25">
      <c r="A402" s="123"/>
      <c r="B402" s="123"/>
      <c r="C402" s="126"/>
      <c r="D402" s="129"/>
      <c r="E402" s="109"/>
      <c r="F402" s="131"/>
      <c r="G402" s="132"/>
      <c r="H402" s="107" t="s">
        <v>149</v>
      </c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19"/>
      <c r="T402" s="119"/>
      <c r="U402" s="119"/>
      <c r="V402" s="119"/>
      <c r="W402" s="119"/>
      <c r="X402" s="119"/>
      <c r="Y402" s="119"/>
      <c r="Z402" s="119"/>
      <c r="AA402" s="119"/>
      <c r="AB402" s="119"/>
      <c r="AC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9"/>
      <c r="AT402" s="119"/>
      <c r="AU402" s="119"/>
      <c r="AV402" s="119"/>
      <c r="AW402" s="119"/>
      <c r="AX402" s="119"/>
      <c r="AY402" s="119"/>
      <c r="AZ402" s="119"/>
      <c r="BA402" s="119"/>
      <c r="BB402" s="119"/>
      <c r="BC402" s="119"/>
      <c r="BD402" s="119"/>
      <c r="BE402" s="119"/>
      <c r="BF402" s="119"/>
      <c r="BG402" s="119"/>
      <c r="BH402" s="119"/>
      <c r="BI402" s="119"/>
      <c r="BJ402" s="119"/>
      <c r="BK402" s="119"/>
      <c r="BL402" s="26"/>
      <c r="BM402" s="119"/>
      <c r="BN402" s="119"/>
      <c r="BO402" s="119"/>
      <c r="BP402" s="119"/>
      <c r="BQ402" s="119"/>
      <c r="BR402" s="119"/>
      <c r="BS402" s="119"/>
      <c r="BT402" s="119"/>
      <c r="BU402" s="119"/>
      <c r="BV402" s="119"/>
      <c r="BW402" s="119"/>
      <c r="BX402" s="119"/>
      <c r="BY402" s="119"/>
      <c r="BZ402" s="119"/>
      <c r="CA402" s="119"/>
      <c r="CB402" s="119"/>
      <c r="CC402" s="119"/>
      <c r="CD402" s="119"/>
      <c r="CE402" s="119"/>
      <c r="CF402" s="119"/>
      <c r="CG402" s="119"/>
      <c r="CH402" s="119"/>
      <c r="CI402" s="119"/>
      <c r="CJ402" s="119"/>
      <c r="CK402" s="119"/>
      <c r="CL402" s="119"/>
      <c r="CM402" s="119"/>
      <c r="CN402" s="119"/>
      <c r="CO402" s="119"/>
      <c r="CP402" s="119"/>
      <c r="CQ402" s="119"/>
      <c r="CR402" s="119"/>
      <c r="CS402" s="119"/>
      <c r="CT402" s="119"/>
      <c r="CU402" s="119"/>
      <c r="CV402" s="119"/>
      <c r="CW402" s="119"/>
      <c r="CX402" s="119"/>
      <c r="CY402" s="119"/>
      <c r="CZ402" s="119"/>
      <c r="DA402" s="119"/>
      <c r="DB402" s="119"/>
      <c r="DC402" s="119"/>
      <c r="DD402" s="119"/>
      <c r="DE402" s="119"/>
      <c r="DF402" s="119"/>
      <c r="DG402" s="119"/>
      <c r="DH402" s="119"/>
      <c r="DI402" s="119"/>
      <c r="DJ402" s="119"/>
      <c r="DK402" s="119"/>
      <c r="DL402" s="119"/>
      <c r="DM402" s="119"/>
      <c r="DN402" s="119"/>
      <c r="DO402" s="119"/>
      <c r="DP402" s="119"/>
      <c r="DQ402" s="119"/>
      <c r="DR402" s="119"/>
      <c r="DS402" s="119"/>
      <c r="DT402" s="119"/>
      <c r="DU402" s="119"/>
      <c r="DV402" s="119"/>
      <c r="DW402" s="119"/>
      <c r="DX402" s="119"/>
      <c r="DY402" s="119"/>
      <c r="DZ402" s="119"/>
      <c r="EA402" s="119"/>
      <c r="EB402" s="119"/>
      <c r="EC402" s="119"/>
      <c r="ED402" s="119"/>
      <c r="EE402" s="119"/>
      <c r="EF402" s="119"/>
      <c r="EG402" s="119"/>
      <c r="EH402" s="119"/>
      <c r="EI402" s="119"/>
      <c r="EJ402" s="119"/>
      <c r="EK402" s="119"/>
      <c r="EL402" s="119"/>
      <c r="EM402" s="119"/>
      <c r="EN402" s="119"/>
      <c r="EO402" s="119"/>
      <c r="EP402" s="119"/>
      <c r="EQ402" s="119"/>
      <c r="ER402" s="119"/>
      <c r="ES402" s="119"/>
      <c r="ET402" s="119"/>
      <c r="EU402" s="119"/>
      <c r="EV402" s="119"/>
      <c r="EW402" s="119"/>
      <c r="EX402" s="119"/>
      <c r="EY402" s="119"/>
      <c r="EZ402" s="119"/>
      <c r="FA402" s="119"/>
      <c r="FB402" s="119"/>
      <c r="FC402" s="119"/>
      <c r="FD402" s="119"/>
      <c r="FE402" s="119"/>
      <c r="FF402" s="119"/>
      <c r="FG402" s="119"/>
      <c r="FH402" s="119"/>
      <c r="FI402" s="119"/>
      <c r="FJ402" s="119"/>
      <c r="FK402" s="119"/>
      <c r="FL402" s="119"/>
      <c r="FM402" s="119"/>
      <c r="FN402" s="119"/>
      <c r="FO402" s="119"/>
      <c r="FP402" s="119"/>
      <c r="FQ402" s="119"/>
      <c r="FR402" s="119"/>
      <c r="FS402" s="119"/>
      <c r="FT402" s="119"/>
      <c r="FU402" s="119"/>
      <c r="FV402" s="119"/>
      <c r="FW402" s="119"/>
      <c r="FX402" s="119"/>
      <c r="FY402" s="119"/>
      <c r="FZ402" s="119"/>
      <c r="GA402" s="119"/>
      <c r="GB402" s="119"/>
      <c r="GC402" s="119"/>
      <c r="GD402" s="119"/>
      <c r="GE402" s="119"/>
      <c r="GF402" s="119"/>
      <c r="GG402" s="119"/>
      <c r="GH402" s="119"/>
      <c r="GI402" s="119"/>
      <c r="GJ402" s="119"/>
      <c r="GK402" s="119"/>
      <c r="GL402" s="119"/>
      <c r="GM402" s="119"/>
      <c r="GN402" s="119"/>
      <c r="GO402" s="119"/>
      <c r="GP402" s="119"/>
      <c r="GQ402" s="119"/>
      <c r="GR402" s="119"/>
      <c r="GS402" s="119"/>
      <c r="GT402" s="119"/>
      <c r="GU402" s="119"/>
      <c r="GV402" s="119"/>
      <c r="GW402" s="119"/>
      <c r="GX402" s="119"/>
      <c r="GY402" s="119"/>
      <c r="GZ402" s="119"/>
      <c r="HA402" s="119"/>
      <c r="HB402" s="119"/>
      <c r="HC402" s="119"/>
      <c r="HD402" s="119"/>
      <c r="HE402" s="119"/>
      <c r="HF402" s="119"/>
      <c r="HG402" s="119"/>
      <c r="HH402" s="119"/>
      <c r="HI402" s="119"/>
      <c r="HJ402" s="119"/>
      <c r="HK402" s="119"/>
      <c r="HL402" s="119"/>
      <c r="HM402" s="119"/>
      <c r="HN402" s="119"/>
      <c r="HO402" s="119"/>
      <c r="HP402" s="119"/>
      <c r="HQ402" s="119"/>
      <c r="HR402" s="119"/>
      <c r="HS402" s="119"/>
      <c r="HT402" s="119"/>
      <c r="HU402" s="119"/>
      <c r="HV402" s="119"/>
      <c r="HW402" s="119"/>
      <c r="HX402" s="119"/>
      <c r="HY402" s="119"/>
      <c r="HZ402" s="119"/>
      <c r="IA402" s="119"/>
      <c r="IB402" s="119"/>
      <c r="IC402" s="119"/>
      <c r="ID402" s="119"/>
      <c r="IE402" s="119"/>
      <c r="IF402" s="119"/>
      <c r="IG402" s="119"/>
      <c r="IH402" s="119"/>
      <c r="II402" s="119"/>
      <c r="IJ402" s="119"/>
      <c r="IK402" s="119"/>
      <c r="IL402" s="119"/>
      <c r="IM402" s="119"/>
      <c r="IN402" s="119"/>
      <c r="IO402" s="119"/>
      <c r="IP402" s="119"/>
      <c r="IQ402" s="119"/>
      <c r="IR402" s="119"/>
      <c r="IS402" s="119"/>
      <c r="IT402" s="119"/>
      <c r="IU402" s="119"/>
      <c r="IV402" s="119"/>
      <c r="IW402" s="119"/>
      <c r="IX402" s="119"/>
      <c r="IY402" s="119"/>
      <c r="IZ402" s="119"/>
      <c r="JA402" s="119"/>
      <c r="JB402" s="119"/>
      <c r="JC402" s="119"/>
      <c r="JD402" s="119"/>
      <c r="JE402" s="119"/>
      <c r="JF402" s="119"/>
      <c r="JG402" s="119"/>
      <c r="JH402" s="119"/>
      <c r="JI402" s="119"/>
      <c r="JJ402" s="119"/>
      <c r="JK402" s="119"/>
      <c r="JL402" s="119"/>
      <c r="JM402" s="119"/>
      <c r="JN402" s="119"/>
      <c r="JO402" s="119"/>
      <c r="JP402" s="119"/>
      <c r="JQ402" s="119"/>
      <c r="JR402" s="119"/>
      <c r="JS402" s="119"/>
      <c r="JT402" s="119"/>
      <c r="JU402" s="119"/>
      <c r="JV402" s="119"/>
      <c r="JW402" s="119"/>
      <c r="JX402" s="119"/>
      <c r="JY402" s="119"/>
      <c r="JZ402" s="119"/>
      <c r="KA402" s="119"/>
      <c r="KB402" s="119"/>
      <c r="KC402" s="119"/>
      <c r="KD402" s="119"/>
      <c r="KE402" s="119"/>
      <c r="KF402" s="119"/>
      <c r="KG402" s="119"/>
      <c r="KH402" s="119"/>
      <c r="KI402" s="119"/>
      <c r="KJ402" s="119"/>
      <c r="KK402" s="119"/>
      <c r="KL402" s="119"/>
      <c r="KM402" s="119"/>
      <c r="KN402" s="119"/>
      <c r="KO402" s="119"/>
      <c r="KP402" s="119"/>
      <c r="KQ402" s="119"/>
      <c r="KR402" s="119"/>
      <c r="KS402" s="119"/>
      <c r="KT402" s="119"/>
      <c r="KU402" s="119"/>
      <c r="KV402" s="119"/>
      <c r="KW402" s="119"/>
      <c r="KX402" s="119"/>
      <c r="KY402" s="119"/>
      <c r="KZ402" s="119"/>
      <c r="LA402" s="119"/>
      <c r="LB402" s="119"/>
      <c r="LC402" s="119"/>
      <c r="LD402" s="119"/>
      <c r="LE402" s="119"/>
      <c r="LF402" s="119"/>
      <c r="LG402" s="119"/>
      <c r="LH402" s="119"/>
      <c r="LI402" s="119"/>
      <c r="LJ402" s="119"/>
      <c r="LK402" s="119"/>
      <c r="LL402" s="119"/>
      <c r="LM402" s="119"/>
      <c r="LN402" s="119"/>
      <c r="LO402" s="119"/>
      <c r="LP402" s="119"/>
      <c r="LQ402" s="119"/>
      <c r="LR402" s="119"/>
      <c r="LS402" s="119"/>
      <c r="LT402" s="119"/>
      <c r="LU402" s="119"/>
      <c r="LV402" s="119"/>
      <c r="LW402" s="119"/>
      <c r="LX402" s="119"/>
      <c r="LY402" s="119"/>
      <c r="LZ402" s="119"/>
      <c r="MA402" s="119"/>
      <c r="MB402" s="119"/>
      <c r="MC402" s="119"/>
      <c r="MD402" s="119"/>
      <c r="ME402" s="119"/>
      <c r="MF402" s="119"/>
      <c r="MG402" s="119"/>
      <c r="MH402" s="119"/>
      <c r="MI402" s="119"/>
      <c r="MJ402" s="119"/>
      <c r="MK402" s="119"/>
      <c r="ML402" s="119"/>
      <c r="MM402" s="119"/>
      <c r="MN402" s="119"/>
      <c r="MO402" s="119"/>
      <c r="MP402" s="119"/>
      <c r="MQ402" s="119"/>
      <c r="MR402" s="119"/>
      <c r="MS402" s="119"/>
      <c r="MT402" s="119"/>
      <c r="MU402" s="119"/>
      <c r="MV402" s="119"/>
      <c r="MW402" s="119"/>
      <c r="MX402" s="119"/>
      <c r="MY402" s="119"/>
      <c r="MZ402" s="119"/>
    </row>
    <row r="403" spans="1:364" s="27" customFormat="1" x14ac:dyDescent="0.25">
      <c r="A403" s="122"/>
      <c r="B403" s="136" t="e">
        <f>VLOOKUP(A403,Rules!$B$8:$C$154,2,0)</f>
        <v>#N/A</v>
      </c>
      <c r="C403" s="125">
        <f t="shared" ref="C403" si="0">SUM(I404:XX404)</f>
        <v>0</v>
      </c>
      <c r="D403" s="128"/>
      <c r="E403" s="110" t="s">
        <v>492</v>
      </c>
      <c r="F403" s="130" t="e">
        <f>VLOOKUP(A403,Table2[],10,0)</f>
        <v>#N/A</v>
      </c>
      <c r="G403" s="131"/>
      <c r="H403" s="113" t="s">
        <v>440</v>
      </c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9"/>
      <c r="T403" s="119"/>
      <c r="U403" s="119"/>
      <c r="V403" s="119"/>
      <c r="W403" s="119"/>
      <c r="X403" s="119"/>
      <c r="Y403" s="119"/>
      <c r="Z403" s="119"/>
      <c r="AA403" s="119"/>
      <c r="AB403" s="119"/>
      <c r="AC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9"/>
      <c r="AT403" s="119"/>
      <c r="AU403" s="119"/>
      <c r="AV403" s="119"/>
      <c r="AW403" s="119"/>
      <c r="AX403" s="119"/>
      <c r="AY403" s="119"/>
      <c r="AZ403" s="119"/>
      <c r="BA403" s="119"/>
      <c r="BB403" s="119"/>
      <c r="BC403" s="119"/>
      <c r="BD403" s="119"/>
      <c r="BE403" s="119"/>
      <c r="BF403" s="119"/>
      <c r="BG403" s="119"/>
      <c r="BH403" s="119"/>
      <c r="BI403" s="119"/>
      <c r="BJ403" s="119"/>
      <c r="BK403" s="119"/>
      <c r="BL403" s="26"/>
      <c r="BM403" s="119"/>
      <c r="BN403" s="26"/>
      <c r="BO403" s="119"/>
      <c r="BP403" s="119"/>
      <c r="BQ403" s="119"/>
      <c r="BR403" s="119"/>
      <c r="BS403" s="119"/>
      <c r="BT403" s="119"/>
      <c r="BU403" s="119"/>
      <c r="BV403" s="119"/>
      <c r="BW403" s="119"/>
      <c r="BX403" s="119"/>
      <c r="BY403" s="119"/>
      <c r="BZ403" s="119"/>
      <c r="CA403" s="119"/>
      <c r="CB403" s="119"/>
      <c r="CC403" s="119"/>
      <c r="CD403" s="119"/>
      <c r="CE403" s="119"/>
      <c r="CF403" s="119"/>
      <c r="CG403" s="119"/>
      <c r="CH403" s="119"/>
      <c r="CI403" s="119"/>
      <c r="CJ403" s="119"/>
      <c r="CK403" s="119"/>
      <c r="CL403" s="119"/>
      <c r="CM403" s="119"/>
      <c r="CN403" s="119"/>
      <c r="CO403" s="119"/>
      <c r="CP403" s="119"/>
      <c r="CQ403" s="119"/>
      <c r="CR403" s="119"/>
      <c r="CS403" s="119"/>
      <c r="CT403" s="119"/>
      <c r="CU403" s="119"/>
      <c r="CV403" s="119"/>
      <c r="CW403" s="119"/>
      <c r="CX403" s="119"/>
      <c r="CY403" s="119"/>
      <c r="CZ403" s="119"/>
      <c r="DA403" s="119"/>
      <c r="DB403" s="119"/>
      <c r="DC403" s="119"/>
      <c r="DD403" s="119"/>
      <c r="DE403" s="119"/>
      <c r="DF403" s="119"/>
      <c r="DG403" s="119"/>
      <c r="DH403" s="119"/>
      <c r="DI403" s="119"/>
      <c r="DJ403" s="119"/>
      <c r="DK403" s="119"/>
      <c r="DL403" s="119"/>
      <c r="DM403" s="119"/>
      <c r="DN403" s="119"/>
      <c r="DO403" s="119"/>
      <c r="DP403" s="119"/>
      <c r="DQ403" s="119"/>
      <c r="DR403" s="119"/>
      <c r="DS403" s="119"/>
      <c r="DT403" s="119"/>
      <c r="DU403" s="119"/>
      <c r="DV403" s="119"/>
      <c r="DW403" s="119"/>
      <c r="DX403" s="119"/>
      <c r="DY403" s="119"/>
      <c r="DZ403" s="119"/>
      <c r="EA403" s="119"/>
      <c r="EB403" s="119"/>
      <c r="EC403" s="119"/>
      <c r="ED403" s="119"/>
      <c r="EE403" s="119"/>
      <c r="EF403" s="119"/>
      <c r="EG403" s="119"/>
      <c r="EH403" s="119"/>
      <c r="EI403" s="119"/>
      <c r="EJ403" s="119"/>
      <c r="EK403" s="119"/>
      <c r="EL403" s="119"/>
      <c r="EM403" s="119"/>
      <c r="EN403" s="119"/>
      <c r="EO403" s="119"/>
      <c r="EP403" s="119"/>
      <c r="EQ403" s="119"/>
      <c r="ER403" s="119"/>
      <c r="ES403" s="119"/>
      <c r="ET403" s="119"/>
      <c r="EU403" s="119"/>
      <c r="EV403" s="119"/>
      <c r="EW403" s="119"/>
      <c r="EX403" s="119"/>
      <c r="EY403" s="119"/>
      <c r="EZ403" s="119"/>
      <c r="FA403" s="119"/>
      <c r="FB403" s="119"/>
      <c r="FC403" s="119"/>
      <c r="FD403" s="119"/>
      <c r="FE403" s="119"/>
      <c r="FF403" s="119"/>
      <c r="FG403" s="119"/>
      <c r="FH403" s="119"/>
      <c r="FI403" s="119"/>
      <c r="FJ403" s="119"/>
      <c r="FK403" s="119"/>
      <c r="FL403" s="119"/>
      <c r="FM403" s="119"/>
      <c r="FN403" s="119"/>
      <c r="FO403" s="119"/>
      <c r="FP403" s="119"/>
      <c r="FQ403" s="119"/>
      <c r="FR403" s="119"/>
      <c r="FS403" s="119"/>
      <c r="FT403" s="119"/>
      <c r="FU403" s="119"/>
      <c r="FV403" s="119"/>
      <c r="FW403" s="119"/>
      <c r="FX403" s="119"/>
      <c r="FY403" s="119"/>
      <c r="FZ403" s="119"/>
      <c r="GA403" s="119"/>
      <c r="GB403" s="119"/>
      <c r="GC403" s="119"/>
      <c r="GD403" s="119"/>
      <c r="GE403" s="119"/>
      <c r="GF403" s="119"/>
      <c r="GG403" s="119"/>
      <c r="GH403" s="119"/>
      <c r="GI403" s="119"/>
      <c r="GJ403" s="119"/>
      <c r="GK403" s="119"/>
      <c r="GL403" s="119"/>
      <c r="GM403" s="119"/>
      <c r="GN403" s="119"/>
      <c r="GO403" s="119"/>
      <c r="GP403" s="119"/>
      <c r="GQ403" s="119"/>
      <c r="GR403" s="119"/>
      <c r="GS403" s="119"/>
      <c r="GT403" s="119"/>
      <c r="GU403" s="119"/>
      <c r="GV403" s="119"/>
      <c r="GW403" s="119"/>
      <c r="GX403" s="119"/>
      <c r="GY403" s="119"/>
      <c r="GZ403" s="119"/>
      <c r="HA403" s="119"/>
      <c r="HB403" s="119"/>
      <c r="HC403" s="119"/>
      <c r="HD403" s="119"/>
      <c r="HE403" s="119"/>
      <c r="HF403" s="119"/>
      <c r="HG403" s="119"/>
      <c r="HH403" s="119"/>
      <c r="HI403" s="119"/>
      <c r="HJ403" s="119"/>
      <c r="HK403" s="119"/>
      <c r="HL403" s="119"/>
      <c r="HM403" s="119"/>
      <c r="HN403" s="119"/>
      <c r="HO403" s="119"/>
      <c r="HP403" s="119"/>
      <c r="HQ403" s="119"/>
      <c r="HR403" s="119"/>
      <c r="HS403" s="119"/>
      <c r="HT403" s="119"/>
      <c r="HU403" s="119"/>
      <c r="HV403" s="119"/>
      <c r="HW403" s="119"/>
      <c r="HX403" s="119"/>
      <c r="HY403" s="119"/>
      <c r="HZ403" s="119"/>
      <c r="IA403" s="119"/>
      <c r="IB403" s="119"/>
      <c r="IC403" s="119"/>
      <c r="ID403" s="119"/>
      <c r="IE403" s="119"/>
      <c r="IF403" s="119"/>
      <c r="IG403" s="119"/>
      <c r="IH403" s="119"/>
      <c r="II403" s="119"/>
      <c r="IJ403" s="119"/>
      <c r="IK403" s="119"/>
      <c r="IL403" s="119"/>
      <c r="IM403" s="119"/>
      <c r="IN403" s="119"/>
      <c r="IO403" s="119"/>
      <c r="IP403" s="119"/>
      <c r="IQ403" s="119"/>
      <c r="IR403" s="119"/>
      <c r="IS403" s="119"/>
      <c r="IT403" s="119"/>
      <c r="IU403" s="119"/>
      <c r="IV403" s="119"/>
      <c r="IW403" s="119"/>
      <c r="IX403" s="119"/>
      <c r="IY403" s="119"/>
      <c r="IZ403" s="119"/>
      <c r="JA403" s="119"/>
      <c r="JB403" s="119"/>
      <c r="JC403" s="119"/>
      <c r="JD403" s="119"/>
      <c r="JE403" s="119"/>
      <c r="JF403" s="119"/>
      <c r="JG403" s="119"/>
      <c r="JH403" s="119"/>
      <c r="JI403" s="119"/>
      <c r="JJ403" s="119"/>
      <c r="JK403" s="119"/>
      <c r="JL403" s="119"/>
      <c r="JM403" s="119"/>
      <c r="JN403" s="119"/>
      <c r="JO403" s="119"/>
      <c r="JP403" s="119"/>
      <c r="JQ403" s="119"/>
      <c r="JR403" s="119"/>
      <c r="JS403" s="119"/>
      <c r="JT403" s="119"/>
      <c r="JU403" s="119"/>
      <c r="JV403" s="119"/>
      <c r="JW403" s="119"/>
      <c r="JX403" s="119"/>
      <c r="JY403" s="119"/>
      <c r="JZ403" s="119"/>
      <c r="KA403" s="119"/>
      <c r="KB403" s="119"/>
      <c r="KC403" s="119"/>
      <c r="KD403" s="119"/>
      <c r="KE403" s="119"/>
      <c r="KF403" s="119"/>
      <c r="KG403" s="119"/>
      <c r="KH403" s="119"/>
      <c r="KI403" s="119"/>
      <c r="KJ403" s="119"/>
      <c r="KK403" s="119"/>
      <c r="KL403" s="119"/>
      <c r="KM403" s="119"/>
      <c r="KN403" s="119"/>
      <c r="KO403" s="119"/>
      <c r="KP403" s="119"/>
      <c r="KQ403" s="119"/>
      <c r="KR403" s="119"/>
      <c r="KS403" s="119"/>
      <c r="KT403" s="119"/>
      <c r="KU403" s="119"/>
      <c r="KV403" s="119"/>
      <c r="KW403" s="119"/>
      <c r="KX403" s="119"/>
      <c r="KY403" s="119"/>
      <c r="KZ403" s="119"/>
      <c r="LA403" s="119"/>
      <c r="LB403" s="119"/>
      <c r="LC403" s="119"/>
      <c r="LD403" s="119"/>
      <c r="LE403" s="119"/>
      <c r="LF403" s="119"/>
      <c r="LG403" s="119"/>
      <c r="LH403" s="119"/>
      <c r="LI403" s="119"/>
      <c r="LJ403" s="119"/>
      <c r="LK403" s="119"/>
      <c r="LL403" s="119"/>
      <c r="LM403" s="119"/>
      <c r="LN403" s="119"/>
      <c r="LO403" s="119"/>
      <c r="LP403" s="119"/>
      <c r="LQ403" s="119"/>
      <c r="LR403" s="119"/>
      <c r="LS403" s="119"/>
      <c r="LT403" s="119"/>
      <c r="LU403" s="119"/>
      <c r="LV403" s="119"/>
      <c r="LW403" s="119"/>
      <c r="LX403" s="119"/>
      <c r="LY403" s="119"/>
      <c r="LZ403" s="119"/>
      <c r="MA403" s="119"/>
      <c r="MB403" s="119"/>
      <c r="MC403" s="119"/>
      <c r="MD403" s="119"/>
      <c r="ME403" s="119"/>
      <c r="MF403" s="119"/>
      <c r="MG403" s="119"/>
      <c r="MH403" s="119"/>
      <c r="MI403" s="119"/>
      <c r="MJ403" s="119"/>
      <c r="MK403" s="119"/>
      <c r="ML403" s="119"/>
      <c r="MM403" s="119"/>
      <c r="MN403" s="119"/>
      <c r="MO403" s="119"/>
      <c r="MP403" s="119"/>
      <c r="MQ403" s="119"/>
      <c r="MR403" s="119"/>
      <c r="MS403" s="119"/>
      <c r="MT403" s="119"/>
      <c r="MU403" s="119"/>
      <c r="MV403" s="119"/>
      <c r="MW403" s="119"/>
      <c r="MX403" s="119"/>
      <c r="MY403" s="119"/>
      <c r="MZ403" s="119"/>
    </row>
    <row r="404" spans="1:364" s="27" customFormat="1" x14ac:dyDescent="0.25">
      <c r="A404" s="122"/>
      <c r="B404" s="122"/>
      <c r="C404" s="126"/>
      <c r="D404" s="128"/>
      <c r="E404" s="109"/>
      <c r="F404" s="131"/>
      <c r="G404" s="131"/>
      <c r="H404" s="105" t="s">
        <v>439</v>
      </c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9"/>
      <c r="T404" s="119"/>
      <c r="U404" s="119"/>
      <c r="V404" s="119"/>
      <c r="W404" s="119"/>
      <c r="X404" s="119"/>
      <c r="Y404" s="119"/>
      <c r="Z404" s="119"/>
      <c r="AA404" s="119"/>
      <c r="AB404" s="119"/>
      <c r="AC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S404" s="119"/>
      <c r="AT404" s="119"/>
      <c r="AU404" s="119"/>
      <c r="AV404" s="119"/>
      <c r="AW404" s="119"/>
      <c r="AX404" s="119"/>
      <c r="AY404" s="119"/>
      <c r="AZ404" s="119"/>
      <c r="BA404" s="119"/>
      <c r="BB404" s="119"/>
      <c r="BC404" s="119"/>
      <c r="BD404" s="119"/>
      <c r="BE404" s="119"/>
      <c r="BF404" s="119"/>
      <c r="BG404" s="119"/>
      <c r="BH404" s="119"/>
      <c r="BI404" s="119"/>
      <c r="BJ404" s="119"/>
      <c r="BK404" s="119"/>
      <c r="BL404" s="26"/>
      <c r="BM404" s="119"/>
      <c r="BN404" s="26"/>
      <c r="BO404" s="119"/>
      <c r="BP404" s="119"/>
      <c r="BQ404" s="119"/>
      <c r="BR404" s="119"/>
      <c r="BS404" s="119"/>
      <c r="BT404" s="119"/>
      <c r="BU404" s="119"/>
      <c r="BV404" s="119"/>
      <c r="BW404" s="119"/>
      <c r="BX404" s="119"/>
      <c r="BY404" s="119"/>
      <c r="BZ404" s="119"/>
      <c r="CA404" s="119"/>
      <c r="CB404" s="119"/>
      <c r="CC404" s="119"/>
      <c r="CD404" s="119"/>
      <c r="CE404" s="119"/>
      <c r="CF404" s="119"/>
      <c r="CG404" s="119"/>
      <c r="CH404" s="119"/>
      <c r="CI404" s="119"/>
      <c r="CJ404" s="119"/>
      <c r="CK404" s="119"/>
      <c r="CL404" s="119"/>
      <c r="CM404" s="119"/>
      <c r="CN404" s="119"/>
      <c r="CO404" s="119"/>
      <c r="CP404" s="119"/>
      <c r="CQ404" s="119"/>
      <c r="CR404" s="119"/>
      <c r="CS404" s="119"/>
      <c r="CT404" s="119"/>
      <c r="CU404" s="119"/>
      <c r="CV404" s="119"/>
      <c r="CW404" s="119"/>
      <c r="CX404" s="119"/>
      <c r="CY404" s="119"/>
      <c r="CZ404" s="119"/>
      <c r="DA404" s="119"/>
      <c r="DB404" s="119"/>
      <c r="DC404" s="119"/>
      <c r="DD404" s="119"/>
      <c r="DE404" s="119"/>
      <c r="DF404" s="119"/>
      <c r="DG404" s="119"/>
      <c r="DH404" s="119"/>
      <c r="DI404" s="119"/>
      <c r="DJ404" s="119"/>
      <c r="DK404" s="119"/>
      <c r="DL404" s="119"/>
      <c r="DM404" s="119"/>
      <c r="DN404" s="119"/>
      <c r="DO404" s="119"/>
      <c r="DP404" s="119"/>
      <c r="DQ404" s="119"/>
      <c r="DR404" s="119"/>
      <c r="DS404" s="119"/>
      <c r="DT404" s="119"/>
      <c r="DU404" s="119"/>
      <c r="DV404" s="119"/>
      <c r="DW404" s="119"/>
      <c r="DX404" s="119"/>
      <c r="DY404" s="119"/>
      <c r="DZ404" s="119"/>
      <c r="EA404" s="119"/>
      <c r="EB404" s="119"/>
      <c r="EC404" s="119"/>
      <c r="ED404" s="119"/>
      <c r="EE404" s="119"/>
      <c r="EF404" s="119"/>
      <c r="EG404" s="119"/>
      <c r="EH404" s="119"/>
      <c r="EI404" s="119"/>
      <c r="EJ404" s="119"/>
      <c r="EK404" s="119"/>
      <c r="EL404" s="119"/>
      <c r="EM404" s="119"/>
      <c r="EN404" s="119"/>
      <c r="EO404" s="119"/>
      <c r="EP404" s="119"/>
      <c r="EQ404" s="119"/>
      <c r="ER404" s="119"/>
      <c r="ES404" s="119"/>
      <c r="ET404" s="119"/>
      <c r="EU404" s="119"/>
      <c r="EV404" s="119"/>
      <c r="EW404" s="119"/>
      <c r="EX404" s="119"/>
      <c r="EY404" s="119"/>
      <c r="EZ404" s="119"/>
      <c r="FA404" s="119"/>
      <c r="FB404" s="119"/>
      <c r="FC404" s="119"/>
      <c r="FD404" s="119"/>
      <c r="FE404" s="119"/>
      <c r="FF404" s="119"/>
      <c r="FG404" s="119"/>
      <c r="FH404" s="119"/>
      <c r="FI404" s="119"/>
      <c r="FJ404" s="119"/>
      <c r="FK404" s="119"/>
      <c r="FL404" s="119"/>
      <c r="FM404" s="119"/>
      <c r="FN404" s="119"/>
      <c r="FO404" s="119"/>
      <c r="FP404" s="119"/>
      <c r="FQ404" s="119"/>
      <c r="FR404" s="119"/>
      <c r="FS404" s="119"/>
      <c r="FT404" s="119"/>
      <c r="FU404" s="119"/>
      <c r="FV404" s="119"/>
      <c r="FW404" s="119"/>
      <c r="FX404" s="119"/>
      <c r="FY404" s="119"/>
      <c r="FZ404" s="119"/>
      <c r="GA404" s="119"/>
      <c r="GB404" s="119"/>
      <c r="GC404" s="119"/>
      <c r="GD404" s="119"/>
      <c r="GE404" s="119"/>
      <c r="GF404" s="119"/>
      <c r="GG404" s="119"/>
      <c r="GH404" s="119"/>
      <c r="GI404" s="119"/>
      <c r="GJ404" s="119"/>
      <c r="GK404" s="119"/>
      <c r="GL404" s="119"/>
      <c r="GM404" s="119"/>
      <c r="GN404" s="119"/>
      <c r="GO404" s="119"/>
      <c r="GP404" s="119"/>
      <c r="GQ404" s="119"/>
      <c r="GR404" s="119"/>
      <c r="GS404" s="119"/>
      <c r="GT404" s="119"/>
      <c r="GU404" s="119"/>
      <c r="GV404" s="119"/>
      <c r="GW404" s="119"/>
      <c r="GX404" s="119"/>
      <c r="GY404" s="119"/>
      <c r="GZ404" s="119"/>
      <c r="HA404" s="119"/>
      <c r="HB404" s="119"/>
      <c r="HC404" s="119"/>
      <c r="HD404" s="119"/>
      <c r="HE404" s="119"/>
      <c r="HF404" s="119"/>
      <c r="HG404" s="119"/>
      <c r="HH404" s="119"/>
      <c r="HI404" s="119"/>
      <c r="HJ404" s="119"/>
      <c r="HK404" s="119"/>
      <c r="HL404" s="119"/>
      <c r="HM404" s="119"/>
      <c r="HN404" s="119"/>
      <c r="HO404" s="119"/>
      <c r="HP404" s="119"/>
      <c r="HQ404" s="119"/>
      <c r="HR404" s="119"/>
      <c r="HS404" s="119"/>
      <c r="HT404" s="119"/>
      <c r="HU404" s="119"/>
      <c r="HV404" s="119"/>
      <c r="HW404" s="119"/>
      <c r="HX404" s="119"/>
      <c r="HY404" s="119"/>
      <c r="HZ404" s="119"/>
      <c r="IA404" s="119"/>
      <c r="IB404" s="119"/>
      <c r="IC404" s="119"/>
      <c r="ID404" s="119"/>
      <c r="IE404" s="119"/>
      <c r="IF404" s="119"/>
      <c r="IG404" s="119"/>
      <c r="IH404" s="119"/>
      <c r="II404" s="119"/>
      <c r="IJ404" s="119"/>
      <c r="IK404" s="119"/>
      <c r="IL404" s="119"/>
      <c r="IM404" s="119"/>
      <c r="IN404" s="119"/>
      <c r="IO404" s="119"/>
      <c r="IP404" s="119"/>
      <c r="IQ404" s="119"/>
      <c r="IR404" s="119"/>
      <c r="IS404" s="119"/>
      <c r="IT404" s="119"/>
      <c r="IU404" s="119"/>
      <c r="IV404" s="119"/>
      <c r="IW404" s="119"/>
      <c r="IX404" s="119"/>
      <c r="IY404" s="119"/>
      <c r="IZ404" s="119"/>
      <c r="JA404" s="119"/>
      <c r="JB404" s="119"/>
      <c r="JC404" s="119"/>
      <c r="JD404" s="119"/>
      <c r="JE404" s="119"/>
      <c r="JF404" s="119"/>
      <c r="JG404" s="119"/>
      <c r="JH404" s="119"/>
      <c r="JI404" s="119"/>
      <c r="JJ404" s="119"/>
      <c r="JK404" s="119"/>
      <c r="JL404" s="119"/>
      <c r="JM404" s="119"/>
      <c r="JN404" s="119"/>
      <c r="JO404" s="119"/>
      <c r="JP404" s="119"/>
      <c r="JQ404" s="119"/>
      <c r="JR404" s="119"/>
      <c r="JS404" s="119"/>
      <c r="JT404" s="119"/>
      <c r="JU404" s="119"/>
      <c r="JV404" s="119"/>
      <c r="JW404" s="119"/>
      <c r="JX404" s="119"/>
      <c r="JY404" s="119"/>
      <c r="JZ404" s="119"/>
      <c r="KA404" s="119"/>
      <c r="KB404" s="119"/>
      <c r="KC404" s="119"/>
      <c r="KD404" s="119"/>
      <c r="KE404" s="119"/>
      <c r="KF404" s="119"/>
      <c r="KG404" s="119"/>
      <c r="KH404" s="119"/>
      <c r="KI404" s="119"/>
      <c r="KJ404" s="119"/>
      <c r="KK404" s="119"/>
      <c r="KL404" s="119"/>
      <c r="KM404" s="119"/>
      <c r="KN404" s="119"/>
      <c r="KO404" s="119"/>
      <c r="KP404" s="119"/>
      <c r="KQ404" s="119"/>
      <c r="KR404" s="119"/>
      <c r="KS404" s="119"/>
      <c r="KT404" s="119"/>
      <c r="KU404" s="119"/>
      <c r="KV404" s="119"/>
      <c r="KW404" s="119"/>
      <c r="KX404" s="119"/>
      <c r="KY404" s="119"/>
      <c r="KZ404" s="119"/>
      <c r="LA404" s="119"/>
      <c r="LB404" s="119"/>
      <c r="LC404" s="119"/>
      <c r="LD404" s="119"/>
      <c r="LE404" s="119"/>
      <c r="LF404" s="119"/>
      <c r="LG404" s="119"/>
      <c r="LH404" s="119"/>
      <c r="LI404" s="119"/>
      <c r="LJ404" s="119"/>
      <c r="LK404" s="119"/>
      <c r="LL404" s="119"/>
      <c r="LM404" s="119"/>
      <c r="LN404" s="119"/>
      <c r="LO404" s="119"/>
      <c r="LP404" s="119"/>
      <c r="LQ404" s="119"/>
      <c r="LR404" s="119"/>
      <c r="LS404" s="119"/>
      <c r="LT404" s="119"/>
      <c r="LU404" s="119"/>
      <c r="LV404" s="119"/>
      <c r="LW404" s="119"/>
      <c r="LX404" s="119"/>
      <c r="LY404" s="119"/>
      <c r="LZ404" s="119"/>
      <c r="MA404" s="119"/>
      <c r="MB404" s="119"/>
      <c r="MC404" s="119"/>
      <c r="MD404" s="119"/>
      <c r="ME404" s="119"/>
      <c r="MF404" s="119"/>
      <c r="MG404" s="119"/>
      <c r="MH404" s="119"/>
      <c r="MI404" s="119"/>
      <c r="MJ404" s="119"/>
      <c r="MK404" s="119"/>
      <c r="ML404" s="119"/>
      <c r="MM404" s="119"/>
      <c r="MN404" s="119"/>
      <c r="MO404" s="119"/>
      <c r="MP404" s="119"/>
      <c r="MQ404" s="119"/>
      <c r="MR404" s="119"/>
      <c r="MS404" s="119"/>
      <c r="MT404" s="119"/>
      <c r="MU404" s="119"/>
      <c r="MV404" s="119"/>
      <c r="MW404" s="119"/>
      <c r="MX404" s="119"/>
      <c r="MY404" s="119"/>
      <c r="MZ404" s="119"/>
    </row>
    <row r="405" spans="1:364" s="27" customFormat="1" x14ac:dyDescent="0.25">
      <c r="A405" s="122"/>
      <c r="B405" s="122"/>
      <c r="C405" s="126"/>
      <c r="D405" s="128"/>
      <c r="E405" s="109" t="s">
        <v>493</v>
      </c>
      <c r="F405" s="131"/>
      <c r="G405" s="131"/>
      <c r="H405" s="106" t="s">
        <v>438</v>
      </c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19"/>
      <c r="T405" s="119"/>
      <c r="U405" s="119"/>
      <c r="V405" s="119"/>
      <c r="W405" s="119"/>
      <c r="X405" s="119"/>
      <c r="Y405" s="119"/>
      <c r="Z405" s="119"/>
      <c r="AA405" s="119"/>
      <c r="AB405" s="119"/>
      <c r="AC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9"/>
      <c r="AT405" s="119"/>
      <c r="AU405" s="119"/>
      <c r="AV405" s="119"/>
      <c r="AW405" s="119"/>
      <c r="AX405" s="119"/>
      <c r="AY405" s="119"/>
      <c r="AZ405" s="119"/>
      <c r="BA405" s="119"/>
      <c r="BB405" s="119"/>
      <c r="BC405" s="119"/>
      <c r="BD405" s="119"/>
      <c r="BE405" s="119"/>
      <c r="BF405" s="119"/>
      <c r="BG405" s="119"/>
      <c r="BH405" s="119"/>
      <c r="BI405" s="119"/>
      <c r="BJ405" s="119"/>
      <c r="BK405" s="119"/>
      <c r="BL405" s="26"/>
      <c r="BM405" s="119"/>
      <c r="BN405" s="119"/>
      <c r="BO405" s="119"/>
      <c r="BP405" s="119"/>
      <c r="BQ405" s="119"/>
      <c r="BR405" s="119"/>
      <c r="BS405" s="119"/>
      <c r="BT405" s="119"/>
      <c r="BU405" s="119"/>
      <c r="BV405" s="119"/>
      <c r="BW405" s="119"/>
      <c r="BX405" s="119"/>
      <c r="BY405" s="119"/>
      <c r="BZ405" s="119"/>
      <c r="CA405" s="119"/>
      <c r="CB405" s="119"/>
      <c r="CC405" s="119"/>
      <c r="CD405" s="119"/>
      <c r="CE405" s="119"/>
      <c r="CF405" s="119"/>
      <c r="CG405" s="119"/>
      <c r="CH405" s="119"/>
      <c r="CI405" s="119"/>
      <c r="CJ405" s="119"/>
      <c r="CK405" s="119"/>
      <c r="CL405" s="119"/>
      <c r="CM405" s="119"/>
      <c r="CN405" s="119"/>
      <c r="CO405" s="119"/>
      <c r="CP405" s="119"/>
      <c r="CQ405" s="119"/>
      <c r="CR405" s="119"/>
      <c r="CS405" s="119"/>
      <c r="CT405" s="119"/>
      <c r="CU405" s="119"/>
      <c r="CV405" s="119"/>
      <c r="CW405" s="119"/>
      <c r="CX405" s="119"/>
      <c r="CY405" s="119"/>
      <c r="CZ405" s="119"/>
      <c r="DA405" s="119"/>
      <c r="DB405" s="119"/>
      <c r="DC405" s="119"/>
      <c r="DD405" s="119"/>
      <c r="DE405" s="119"/>
      <c r="DF405" s="119"/>
      <c r="DG405" s="119"/>
      <c r="DH405" s="119"/>
      <c r="DI405" s="119"/>
      <c r="DJ405" s="119"/>
      <c r="DK405" s="119"/>
      <c r="DL405" s="119"/>
      <c r="DM405" s="119"/>
      <c r="DN405" s="119"/>
      <c r="DO405" s="119"/>
      <c r="DP405" s="119"/>
      <c r="DQ405" s="119"/>
      <c r="DR405" s="119"/>
      <c r="DS405" s="119"/>
      <c r="DT405" s="119"/>
      <c r="DU405" s="119"/>
      <c r="DV405" s="119"/>
      <c r="DW405" s="119"/>
      <c r="DX405" s="119"/>
      <c r="DY405" s="119"/>
      <c r="DZ405" s="119"/>
      <c r="EA405" s="119"/>
      <c r="EB405" s="119"/>
      <c r="EC405" s="119"/>
      <c r="ED405" s="119"/>
      <c r="EE405" s="119"/>
      <c r="EF405" s="119"/>
      <c r="EG405" s="119"/>
      <c r="EH405" s="119"/>
      <c r="EI405" s="119"/>
      <c r="EJ405" s="119"/>
      <c r="EK405" s="119"/>
      <c r="EL405" s="119"/>
      <c r="EM405" s="119"/>
      <c r="EN405" s="119"/>
      <c r="EO405" s="119"/>
      <c r="EP405" s="119"/>
      <c r="EQ405" s="119"/>
      <c r="ER405" s="119"/>
      <c r="ES405" s="119"/>
      <c r="ET405" s="119"/>
      <c r="EU405" s="119"/>
      <c r="EV405" s="119"/>
      <c r="EW405" s="119"/>
      <c r="EX405" s="119"/>
      <c r="EY405" s="119"/>
      <c r="EZ405" s="119"/>
      <c r="FA405" s="119"/>
      <c r="FB405" s="119"/>
      <c r="FC405" s="119"/>
      <c r="FD405" s="119"/>
      <c r="FE405" s="119"/>
      <c r="FF405" s="119"/>
      <c r="FG405" s="119"/>
      <c r="FH405" s="119"/>
      <c r="FI405" s="119"/>
      <c r="FJ405" s="119"/>
      <c r="FK405" s="119"/>
      <c r="FL405" s="119"/>
      <c r="FM405" s="119"/>
      <c r="FN405" s="119"/>
      <c r="FO405" s="119"/>
      <c r="FP405" s="119"/>
      <c r="FQ405" s="119"/>
      <c r="FR405" s="119"/>
      <c r="FS405" s="119"/>
      <c r="FT405" s="119"/>
      <c r="FU405" s="119"/>
      <c r="FV405" s="119"/>
      <c r="FW405" s="119"/>
      <c r="FX405" s="119"/>
      <c r="FY405" s="119"/>
      <c r="FZ405" s="119"/>
      <c r="GA405" s="119"/>
      <c r="GB405" s="119"/>
      <c r="GC405" s="119"/>
      <c r="GD405" s="119"/>
      <c r="GE405" s="119"/>
      <c r="GF405" s="119"/>
      <c r="GG405" s="119"/>
      <c r="GH405" s="119"/>
      <c r="GI405" s="119"/>
      <c r="GJ405" s="119"/>
      <c r="GK405" s="119"/>
      <c r="GL405" s="119"/>
      <c r="GM405" s="119"/>
      <c r="GN405" s="119"/>
      <c r="GO405" s="119"/>
      <c r="GP405" s="119"/>
      <c r="GQ405" s="119"/>
      <c r="GR405" s="119"/>
      <c r="GS405" s="119"/>
      <c r="GT405" s="119"/>
      <c r="GU405" s="119"/>
      <c r="GV405" s="119"/>
      <c r="GW405" s="119"/>
      <c r="GX405" s="119"/>
      <c r="GY405" s="119"/>
      <c r="GZ405" s="119"/>
      <c r="HA405" s="119"/>
      <c r="HB405" s="119"/>
      <c r="HC405" s="119"/>
      <c r="HD405" s="119"/>
      <c r="HE405" s="119"/>
      <c r="HF405" s="119"/>
      <c r="HG405" s="119"/>
      <c r="HH405" s="119"/>
      <c r="HI405" s="119"/>
      <c r="HJ405" s="119"/>
      <c r="HK405" s="119"/>
      <c r="HL405" s="119"/>
      <c r="HM405" s="119"/>
      <c r="HN405" s="119"/>
      <c r="HO405" s="119"/>
      <c r="HP405" s="119"/>
      <c r="HQ405" s="119"/>
      <c r="HR405" s="119"/>
      <c r="HS405" s="119"/>
      <c r="HT405" s="119"/>
      <c r="HU405" s="119"/>
      <c r="HV405" s="119"/>
      <c r="HW405" s="119"/>
      <c r="HX405" s="119"/>
      <c r="HY405" s="119"/>
      <c r="HZ405" s="119"/>
      <c r="IA405" s="119"/>
      <c r="IB405" s="119"/>
      <c r="IC405" s="119"/>
      <c r="ID405" s="119"/>
      <c r="IE405" s="119"/>
      <c r="IF405" s="119"/>
      <c r="IG405" s="119"/>
      <c r="IH405" s="119"/>
      <c r="II405" s="119"/>
      <c r="IJ405" s="119"/>
      <c r="IK405" s="119"/>
      <c r="IL405" s="119"/>
      <c r="IM405" s="119"/>
      <c r="IN405" s="119"/>
      <c r="IO405" s="119"/>
      <c r="IP405" s="119"/>
      <c r="IQ405" s="119"/>
      <c r="IR405" s="119"/>
      <c r="IS405" s="119"/>
      <c r="IT405" s="119"/>
      <c r="IU405" s="119"/>
      <c r="IV405" s="119"/>
      <c r="IW405" s="119"/>
      <c r="IX405" s="119"/>
      <c r="IY405" s="119"/>
      <c r="IZ405" s="119"/>
      <c r="JA405" s="119"/>
      <c r="JB405" s="119"/>
      <c r="JC405" s="119"/>
      <c r="JD405" s="119"/>
      <c r="JE405" s="119"/>
      <c r="JF405" s="119"/>
      <c r="JG405" s="119"/>
      <c r="JH405" s="119"/>
      <c r="JI405" s="119"/>
      <c r="JJ405" s="119"/>
      <c r="JK405" s="119"/>
      <c r="JL405" s="119"/>
      <c r="JM405" s="119"/>
      <c r="JN405" s="119"/>
      <c r="JO405" s="119"/>
      <c r="JP405" s="119"/>
      <c r="JQ405" s="119"/>
      <c r="JR405" s="119"/>
      <c r="JS405" s="119"/>
      <c r="JT405" s="119"/>
      <c r="JU405" s="119"/>
      <c r="JV405" s="119"/>
      <c r="JW405" s="119"/>
      <c r="JX405" s="119"/>
      <c r="JY405" s="119"/>
      <c r="JZ405" s="119"/>
      <c r="KA405" s="119"/>
      <c r="KB405" s="119"/>
      <c r="KC405" s="119"/>
      <c r="KD405" s="119"/>
      <c r="KE405" s="119"/>
      <c r="KF405" s="119"/>
      <c r="KG405" s="119"/>
      <c r="KH405" s="119"/>
      <c r="KI405" s="119"/>
      <c r="KJ405" s="119"/>
      <c r="KK405" s="119"/>
      <c r="KL405" s="119"/>
      <c r="KM405" s="119"/>
      <c r="KN405" s="119"/>
      <c r="KO405" s="119"/>
      <c r="KP405" s="119"/>
      <c r="KQ405" s="119"/>
      <c r="KR405" s="119"/>
      <c r="KS405" s="119"/>
      <c r="KT405" s="119"/>
      <c r="KU405" s="119"/>
      <c r="KV405" s="119"/>
      <c r="KW405" s="119"/>
      <c r="KX405" s="119"/>
      <c r="KY405" s="119"/>
      <c r="KZ405" s="119"/>
      <c r="LA405" s="119"/>
      <c r="LB405" s="119"/>
      <c r="LC405" s="119"/>
      <c r="LD405" s="119"/>
      <c r="LE405" s="119"/>
      <c r="LF405" s="119"/>
      <c r="LG405" s="119"/>
      <c r="LH405" s="119"/>
      <c r="LI405" s="119"/>
      <c r="LJ405" s="119"/>
      <c r="LK405" s="119"/>
      <c r="LL405" s="119"/>
      <c r="LM405" s="119"/>
      <c r="LN405" s="119"/>
      <c r="LO405" s="119"/>
      <c r="LP405" s="119"/>
      <c r="LQ405" s="119"/>
      <c r="LR405" s="119"/>
      <c r="LS405" s="119"/>
      <c r="LT405" s="119"/>
      <c r="LU405" s="119"/>
      <c r="LV405" s="119"/>
      <c r="LW405" s="119"/>
      <c r="LX405" s="119"/>
      <c r="LY405" s="119"/>
      <c r="LZ405" s="119"/>
      <c r="MA405" s="119"/>
      <c r="MB405" s="119"/>
      <c r="MC405" s="119"/>
      <c r="MD405" s="119"/>
      <c r="ME405" s="119"/>
      <c r="MF405" s="119"/>
      <c r="MG405" s="119"/>
      <c r="MH405" s="119"/>
      <c r="MI405" s="119"/>
      <c r="MJ405" s="119"/>
      <c r="MK405" s="119"/>
      <c r="ML405" s="119"/>
      <c r="MM405" s="119"/>
      <c r="MN405" s="119"/>
      <c r="MO405" s="119"/>
      <c r="MP405" s="119"/>
      <c r="MQ405" s="119"/>
      <c r="MR405" s="119"/>
      <c r="MS405" s="119"/>
      <c r="MT405" s="119"/>
      <c r="MU405" s="119"/>
      <c r="MV405" s="119"/>
      <c r="MW405" s="119"/>
      <c r="MX405" s="119"/>
      <c r="MY405" s="119"/>
      <c r="MZ405" s="119"/>
    </row>
    <row r="406" spans="1:364" s="27" customFormat="1" x14ac:dyDescent="0.25">
      <c r="A406" s="123"/>
      <c r="B406" s="123"/>
      <c r="C406" s="126"/>
      <c r="D406" s="129"/>
      <c r="E406" s="109"/>
      <c r="F406" s="131"/>
      <c r="G406" s="132"/>
      <c r="H406" s="114" t="s">
        <v>149</v>
      </c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19"/>
      <c r="T406" s="119"/>
      <c r="U406" s="119"/>
      <c r="V406" s="119"/>
      <c r="W406" s="119"/>
      <c r="X406" s="119"/>
      <c r="Y406" s="119"/>
      <c r="Z406" s="119"/>
      <c r="AA406" s="119"/>
      <c r="AB406" s="119"/>
      <c r="AC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9"/>
      <c r="AT406" s="119"/>
      <c r="AU406" s="119"/>
      <c r="AV406" s="119"/>
      <c r="AW406" s="119"/>
      <c r="AX406" s="119"/>
      <c r="AY406" s="119"/>
      <c r="AZ406" s="119"/>
      <c r="BA406" s="119"/>
      <c r="BB406" s="119"/>
      <c r="BC406" s="119"/>
      <c r="BD406" s="119"/>
      <c r="BE406" s="119"/>
      <c r="BF406" s="119"/>
      <c r="BG406" s="119"/>
      <c r="BH406" s="119"/>
      <c r="BI406" s="119"/>
      <c r="BJ406" s="119"/>
      <c r="BK406" s="119"/>
      <c r="BL406" s="26"/>
      <c r="BM406" s="119"/>
      <c r="BN406" s="119"/>
      <c r="BO406" s="119"/>
      <c r="BP406" s="119"/>
      <c r="BQ406" s="119"/>
      <c r="BR406" s="119"/>
      <c r="BS406" s="119"/>
      <c r="BT406" s="119"/>
      <c r="BU406" s="119"/>
      <c r="BV406" s="119"/>
      <c r="BW406" s="119"/>
      <c r="BX406" s="119"/>
      <c r="BY406" s="119"/>
      <c r="BZ406" s="119"/>
      <c r="CA406" s="119"/>
      <c r="CB406" s="119"/>
      <c r="CC406" s="119"/>
      <c r="CD406" s="119"/>
      <c r="CE406" s="119"/>
      <c r="CF406" s="119"/>
      <c r="CG406" s="119"/>
      <c r="CH406" s="119"/>
      <c r="CI406" s="119"/>
      <c r="CJ406" s="119"/>
      <c r="CK406" s="119"/>
      <c r="CL406" s="119"/>
      <c r="CM406" s="119"/>
      <c r="CN406" s="119"/>
      <c r="CO406" s="119"/>
      <c r="CP406" s="119"/>
      <c r="CQ406" s="119"/>
      <c r="CR406" s="119"/>
      <c r="CS406" s="119"/>
      <c r="CT406" s="119"/>
      <c r="CU406" s="119"/>
      <c r="CV406" s="119"/>
      <c r="CW406" s="119"/>
      <c r="CX406" s="119"/>
      <c r="CY406" s="119"/>
      <c r="CZ406" s="119"/>
      <c r="DA406" s="119"/>
      <c r="DB406" s="119"/>
      <c r="DC406" s="119"/>
      <c r="DD406" s="119"/>
      <c r="DE406" s="119"/>
      <c r="DF406" s="119"/>
      <c r="DG406" s="119"/>
      <c r="DH406" s="119"/>
      <c r="DI406" s="119"/>
      <c r="DJ406" s="119"/>
      <c r="DK406" s="119"/>
      <c r="DL406" s="119"/>
      <c r="DM406" s="119"/>
      <c r="DN406" s="119"/>
      <c r="DO406" s="119"/>
      <c r="DP406" s="119"/>
      <c r="DQ406" s="119"/>
      <c r="DR406" s="119"/>
      <c r="DS406" s="119"/>
      <c r="DT406" s="119"/>
      <c r="DU406" s="119"/>
      <c r="DV406" s="119"/>
      <c r="DW406" s="119"/>
      <c r="DX406" s="119"/>
      <c r="DY406" s="119"/>
      <c r="DZ406" s="119"/>
      <c r="EA406" s="119"/>
      <c r="EB406" s="119"/>
      <c r="EC406" s="119"/>
      <c r="ED406" s="119"/>
      <c r="EE406" s="119"/>
      <c r="EF406" s="119"/>
      <c r="EG406" s="119"/>
      <c r="EH406" s="119"/>
      <c r="EI406" s="119"/>
      <c r="EJ406" s="119"/>
      <c r="EK406" s="119"/>
      <c r="EL406" s="119"/>
      <c r="EM406" s="119"/>
      <c r="EN406" s="119"/>
      <c r="EO406" s="119"/>
      <c r="EP406" s="119"/>
      <c r="EQ406" s="119"/>
      <c r="ER406" s="119"/>
      <c r="ES406" s="119"/>
      <c r="ET406" s="119"/>
      <c r="EU406" s="119"/>
      <c r="EV406" s="119"/>
      <c r="EW406" s="119"/>
      <c r="EX406" s="119"/>
      <c r="EY406" s="119"/>
      <c r="EZ406" s="119"/>
      <c r="FA406" s="119"/>
      <c r="FB406" s="119"/>
      <c r="FC406" s="119"/>
      <c r="FD406" s="119"/>
      <c r="FE406" s="119"/>
      <c r="FF406" s="119"/>
      <c r="FG406" s="119"/>
      <c r="FH406" s="119"/>
      <c r="FI406" s="119"/>
      <c r="FJ406" s="119"/>
      <c r="FK406" s="119"/>
      <c r="FL406" s="119"/>
      <c r="FM406" s="119"/>
      <c r="FN406" s="119"/>
      <c r="FO406" s="119"/>
      <c r="FP406" s="119"/>
      <c r="FQ406" s="119"/>
      <c r="FR406" s="119"/>
      <c r="FS406" s="119"/>
      <c r="FT406" s="119"/>
      <c r="FU406" s="119"/>
      <c r="FV406" s="119"/>
      <c r="FW406" s="119"/>
      <c r="FX406" s="119"/>
      <c r="FY406" s="119"/>
      <c r="FZ406" s="119"/>
      <c r="GA406" s="119"/>
      <c r="GB406" s="119"/>
      <c r="GC406" s="119"/>
      <c r="GD406" s="119"/>
      <c r="GE406" s="119"/>
      <c r="GF406" s="119"/>
      <c r="GG406" s="119"/>
      <c r="GH406" s="119"/>
      <c r="GI406" s="119"/>
      <c r="GJ406" s="119"/>
      <c r="GK406" s="119"/>
      <c r="GL406" s="119"/>
      <c r="GM406" s="119"/>
      <c r="GN406" s="119"/>
      <c r="GO406" s="119"/>
      <c r="GP406" s="119"/>
      <c r="GQ406" s="119"/>
      <c r="GR406" s="119"/>
      <c r="GS406" s="119"/>
      <c r="GT406" s="119"/>
      <c r="GU406" s="119"/>
      <c r="GV406" s="119"/>
      <c r="GW406" s="119"/>
      <c r="GX406" s="119"/>
      <c r="GY406" s="119"/>
      <c r="GZ406" s="119"/>
      <c r="HA406" s="119"/>
      <c r="HB406" s="119"/>
      <c r="HC406" s="119"/>
      <c r="HD406" s="119"/>
      <c r="HE406" s="119"/>
      <c r="HF406" s="119"/>
      <c r="HG406" s="119"/>
      <c r="HH406" s="119"/>
      <c r="HI406" s="119"/>
      <c r="HJ406" s="119"/>
      <c r="HK406" s="119"/>
      <c r="HL406" s="119"/>
      <c r="HM406" s="119"/>
      <c r="HN406" s="119"/>
      <c r="HO406" s="119"/>
      <c r="HP406" s="119"/>
      <c r="HQ406" s="119"/>
      <c r="HR406" s="119"/>
      <c r="HS406" s="119"/>
      <c r="HT406" s="119"/>
      <c r="HU406" s="119"/>
      <c r="HV406" s="119"/>
      <c r="HW406" s="119"/>
      <c r="HX406" s="119"/>
      <c r="HY406" s="119"/>
      <c r="HZ406" s="119"/>
      <c r="IA406" s="119"/>
      <c r="IB406" s="119"/>
      <c r="IC406" s="119"/>
      <c r="ID406" s="119"/>
      <c r="IE406" s="119"/>
      <c r="IF406" s="119"/>
      <c r="IG406" s="119"/>
      <c r="IH406" s="119"/>
      <c r="II406" s="119"/>
      <c r="IJ406" s="119"/>
      <c r="IK406" s="119"/>
      <c r="IL406" s="119"/>
      <c r="IM406" s="119"/>
      <c r="IN406" s="119"/>
      <c r="IO406" s="119"/>
      <c r="IP406" s="119"/>
      <c r="IQ406" s="119"/>
      <c r="IR406" s="119"/>
      <c r="IS406" s="119"/>
      <c r="IT406" s="119"/>
      <c r="IU406" s="119"/>
      <c r="IV406" s="119"/>
      <c r="IW406" s="119"/>
      <c r="IX406" s="119"/>
      <c r="IY406" s="119"/>
      <c r="IZ406" s="119"/>
      <c r="JA406" s="119"/>
      <c r="JB406" s="119"/>
      <c r="JC406" s="119"/>
      <c r="JD406" s="119"/>
      <c r="JE406" s="119"/>
      <c r="JF406" s="119"/>
      <c r="JG406" s="119"/>
      <c r="JH406" s="119"/>
      <c r="JI406" s="119"/>
      <c r="JJ406" s="119"/>
      <c r="JK406" s="119"/>
      <c r="JL406" s="119"/>
      <c r="JM406" s="119"/>
      <c r="JN406" s="119"/>
      <c r="JO406" s="119"/>
      <c r="JP406" s="119"/>
      <c r="JQ406" s="119"/>
      <c r="JR406" s="119"/>
      <c r="JS406" s="119"/>
      <c r="JT406" s="119"/>
      <c r="JU406" s="119"/>
      <c r="JV406" s="119"/>
      <c r="JW406" s="119"/>
      <c r="JX406" s="119"/>
      <c r="JY406" s="119"/>
      <c r="JZ406" s="119"/>
      <c r="KA406" s="119"/>
      <c r="KB406" s="119"/>
      <c r="KC406" s="119"/>
      <c r="KD406" s="119"/>
      <c r="KE406" s="119"/>
      <c r="KF406" s="119"/>
      <c r="KG406" s="119"/>
      <c r="KH406" s="119"/>
      <c r="KI406" s="119"/>
      <c r="KJ406" s="119"/>
      <c r="KK406" s="119"/>
      <c r="KL406" s="119"/>
      <c r="KM406" s="119"/>
      <c r="KN406" s="119"/>
      <c r="KO406" s="119"/>
      <c r="KP406" s="119"/>
      <c r="KQ406" s="119"/>
      <c r="KR406" s="119"/>
      <c r="KS406" s="119"/>
      <c r="KT406" s="119"/>
      <c r="KU406" s="119"/>
      <c r="KV406" s="119"/>
      <c r="KW406" s="119"/>
      <c r="KX406" s="119"/>
      <c r="KY406" s="119"/>
      <c r="KZ406" s="119"/>
      <c r="LA406" s="119"/>
      <c r="LB406" s="119"/>
      <c r="LC406" s="119"/>
      <c r="LD406" s="119"/>
      <c r="LE406" s="119"/>
      <c r="LF406" s="119"/>
      <c r="LG406" s="119"/>
      <c r="LH406" s="119"/>
      <c r="LI406" s="119"/>
      <c r="LJ406" s="119"/>
      <c r="LK406" s="119"/>
      <c r="LL406" s="119"/>
      <c r="LM406" s="119"/>
      <c r="LN406" s="119"/>
      <c r="LO406" s="119"/>
      <c r="LP406" s="119"/>
      <c r="LQ406" s="119"/>
      <c r="LR406" s="119"/>
      <c r="LS406" s="119"/>
      <c r="LT406" s="119"/>
      <c r="LU406" s="119"/>
      <c r="LV406" s="119"/>
      <c r="LW406" s="119"/>
      <c r="LX406" s="119"/>
      <c r="LY406" s="119"/>
      <c r="LZ406" s="119"/>
      <c r="MA406" s="119"/>
      <c r="MB406" s="119"/>
      <c r="MC406" s="119"/>
      <c r="MD406" s="119"/>
      <c r="ME406" s="119"/>
      <c r="MF406" s="119"/>
      <c r="MG406" s="119"/>
      <c r="MH406" s="119"/>
      <c r="MI406" s="119"/>
      <c r="MJ406" s="119"/>
      <c r="MK406" s="119"/>
      <c r="ML406" s="119"/>
      <c r="MM406" s="119"/>
      <c r="MN406" s="119"/>
      <c r="MO406" s="119"/>
      <c r="MP406" s="119"/>
      <c r="MQ406" s="119"/>
      <c r="MR406" s="119"/>
      <c r="MS406" s="119"/>
      <c r="MT406" s="119"/>
      <c r="MU406" s="119"/>
      <c r="MV406" s="119"/>
      <c r="MW406" s="119"/>
      <c r="MX406" s="119"/>
      <c r="MY406" s="119"/>
      <c r="MZ406" s="119"/>
    </row>
    <row r="407" spans="1:364" s="27" customFormat="1" x14ac:dyDescent="0.25">
      <c r="A407" s="121"/>
      <c r="B407" s="124" t="e">
        <f>VLOOKUP(A407,Rules!$B$8:$C$154,2,0)</f>
        <v>#N/A</v>
      </c>
      <c r="C407" s="125">
        <f t="shared" ref="C407" si="1">SUM(I408:XX408)</f>
        <v>0</v>
      </c>
      <c r="D407" s="127"/>
      <c r="E407" s="110" t="s">
        <v>492</v>
      </c>
      <c r="F407" s="130" t="e">
        <f>VLOOKUP(A407,Table2[],10,0)</f>
        <v>#N/A</v>
      </c>
      <c r="G407" s="130"/>
      <c r="H407" s="113" t="s">
        <v>440</v>
      </c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9"/>
      <c r="T407" s="119"/>
      <c r="U407" s="119"/>
      <c r="V407" s="119"/>
      <c r="W407" s="119"/>
      <c r="X407" s="119"/>
      <c r="Y407" s="119"/>
      <c r="Z407" s="119"/>
      <c r="AA407" s="119"/>
      <c r="AB407" s="119"/>
      <c r="AC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9"/>
      <c r="AT407" s="119"/>
      <c r="AU407" s="119"/>
      <c r="AV407" s="119"/>
      <c r="AW407" s="119"/>
      <c r="AX407" s="119"/>
      <c r="AY407" s="119"/>
      <c r="AZ407" s="119"/>
      <c r="BA407" s="119"/>
      <c r="BB407" s="119"/>
      <c r="BC407" s="119"/>
      <c r="BD407" s="119"/>
      <c r="BE407" s="119"/>
      <c r="BF407" s="119"/>
      <c r="BG407" s="119"/>
      <c r="BH407" s="119"/>
      <c r="BI407" s="119"/>
      <c r="BJ407" s="119"/>
      <c r="BK407" s="119"/>
      <c r="BL407" s="26"/>
      <c r="BM407" s="119"/>
      <c r="BN407" s="26"/>
      <c r="BO407" s="119"/>
      <c r="BP407" s="119"/>
      <c r="BQ407" s="119"/>
      <c r="BR407" s="119"/>
      <c r="BS407" s="119"/>
      <c r="BT407" s="119"/>
      <c r="BU407" s="119"/>
      <c r="BV407" s="119"/>
      <c r="BW407" s="119"/>
      <c r="BX407" s="119"/>
      <c r="BY407" s="119"/>
      <c r="BZ407" s="119"/>
      <c r="CA407" s="119"/>
      <c r="CB407" s="119"/>
      <c r="CC407" s="119"/>
      <c r="CD407" s="119"/>
      <c r="CE407" s="119"/>
      <c r="CF407" s="119"/>
      <c r="CG407" s="119"/>
      <c r="CH407" s="119"/>
      <c r="CI407" s="119"/>
      <c r="CJ407" s="119"/>
      <c r="CK407" s="119"/>
      <c r="CL407" s="119"/>
      <c r="CM407" s="119"/>
      <c r="CN407" s="119"/>
      <c r="CO407" s="119"/>
      <c r="CP407" s="119"/>
      <c r="CQ407" s="119"/>
      <c r="CR407" s="119"/>
      <c r="CS407" s="119"/>
      <c r="CT407" s="119"/>
      <c r="CU407" s="119"/>
      <c r="CV407" s="119"/>
      <c r="CW407" s="119"/>
      <c r="CX407" s="119"/>
      <c r="CY407" s="119"/>
      <c r="CZ407" s="119"/>
      <c r="DA407" s="119"/>
      <c r="DB407" s="119"/>
      <c r="DC407" s="119"/>
      <c r="DD407" s="119"/>
      <c r="DE407" s="119"/>
      <c r="DF407" s="119"/>
      <c r="DG407" s="119"/>
      <c r="DH407" s="119"/>
      <c r="DI407" s="119"/>
      <c r="DJ407" s="119"/>
      <c r="DK407" s="119"/>
      <c r="DL407" s="119"/>
      <c r="DM407" s="119"/>
      <c r="DN407" s="119"/>
      <c r="DO407" s="119"/>
      <c r="DP407" s="119"/>
      <c r="DQ407" s="119"/>
      <c r="DR407" s="119"/>
      <c r="DS407" s="119"/>
      <c r="DT407" s="119"/>
      <c r="DU407" s="119"/>
      <c r="DV407" s="119"/>
      <c r="DW407" s="119"/>
      <c r="DX407" s="119"/>
      <c r="DY407" s="119"/>
      <c r="DZ407" s="119"/>
      <c r="EA407" s="119"/>
      <c r="EB407" s="119"/>
      <c r="EC407" s="119"/>
      <c r="ED407" s="119"/>
      <c r="EE407" s="119"/>
      <c r="EF407" s="119"/>
      <c r="EG407" s="119"/>
      <c r="EH407" s="119"/>
      <c r="EI407" s="119"/>
      <c r="EJ407" s="119"/>
      <c r="EK407" s="119"/>
      <c r="EL407" s="119"/>
      <c r="EM407" s="119"/>
      <c r="EN407" s="119"/>
      <c r="EO407" s="119"/>
      <c r="EP407" s="119"/>
      <c r="EQ407" s="119"/>
      <c r="ER407" s="119"/>
      <c r="ES407" s="119"/>
      <c r="ET407" s="119"/>
      <c r="EU407" s="119"/>
      <c r="EV407" s="119"/>
      <c r="EW407" s="119"/>
      <c r="EX407" s="119"/>
      <c r="EY407" s="119"/>
      <c r="EZ407" s="119"/>
      <c r="FA407" s="119"/>
      <c r="FB407" s="119"/>
      <c r="FC407" s="119"/>
      <c r="FD407" s="119"/>
      <c r="FE407" s="119"/>
      <c r="FF407" s="119"/>
      <c r="FG407" s="119"/>
      <c r="FH407" s="119"/>
      <c r="FI407" s="119"/>
      <c r="FJ407" s="119"/>
      <c r="FK407" s="119"/>
      <c r="FL407" s="119"/>
      <c r="FM407" s="119"/>
      <c r="FN407" s="119"/>
      <c r="FO407" s="119"/>
      <c r="FP407" s="119"/>
      <c r="FQ407" s="119"/>
      <c r="FR407" s="119"/>
      <c r="FS407" s="119"/>
      <c r="FT407" s="119"/>
      <c r="FU407" s="119"/>
      <c r="FV407" s="119"/>
      <c r="FW407" s="119"/>
      <c r="FX407" s="119"/>
      <c r="FY407" s="119"/>
      <c r="FZ407" s="119"/>
      <c r="GA407" s="119"/>
      <c r="GB407" s="119"/>
      <c r="GC407" s="119"/>
      <c r="GD407" s="119"/>
      <c r="GE407" s="119"/>
      <c r="GF407" s="119"/>
      <c r="GG407" s="119"/>
      <c r="GH407" s="119"/>
      <c r="GI407" s="119"/>
      <c r="GJ407" s="119"/>
      <c r="GK407" s="119"/>
      <c r="GL407" s="119"/>
      <c r="GM407" s="119"/>
      <c r="GN407" s="119"/>
      <c r="GO407" s="119"/>
      <c r="GP407" s="119"/>
      <c r="GQ407" s="119"/>
      <c r="GR407" s="119"/>
      <c r="GS407" s="119"/>
      <c r="GT407" s="119"/>
      <c r="GU407" s="119"/>
      <c r="GV407" s="119"/>
      <c r="GW407" s="119"/>
      <c r="GX407" s="119"/>
      <c r="GY407" s="119"/>
      <c r="GZ407" s="119"/>
      <c r="HA407" s="119"/>
      <c r="HB407" s="119"/>
      <c r="HC407" s="119"/>
      <c r="HD407" s="119"/>
      <c r="HE407" s="119"/>
      <c r="HF407" s="119"/>
      <c r="HG407" s="119"/>
      <c r="HH407" s="119"/>
      <c r="HI407" s="119"/>
      <c r="HJ407" s="119"/>
      <c r="HK407" s="119"/>
      <c r="HL407" s="119"/>
      <c r="HM407" s="119"/>
      <c r="HN407" s="119"/>
      <c r="HO407" s="119"/>
      <c r="HP407" s="119"/>
      <c r="HQ407" s="119"/>
      <c r="HR407" s="119"/>
      <c r="HS407" s="119"/>
      <c r="HT407" s="119"/>
      <c r="HU407" s="119"/>
      <c r="HV407" s="119"/>
      <c r="HW407" s="119"/>
      <c r="HX407" s="119"/>
      <c r="HY407" s="119"/>
      <c r="HZ407" s="119"/>
      <c r="IA407" s="119"/>
      <c r="IB407" s="119"/>
      <c r="IC407" s="119"/>
      <c r="ID407" s="119"/>
      <c r="IE407" s="119"/>
      <c r="IF407" s="119"/>
      <c r="IG407" s="119"/>
      <c r="IH407" s="119"/>
      <c r="II407" s="119"/>
      <c r="IJ407" s="119"/>
      <c r="IK407" s="119"/>
      <c r="IL407" s="119"/>
      <c r="IM407" s="119"/>
      <c r="IN407" s="119"/>
      <c r="IO407" s="119"/>
      <c r="IP407" s="119"/>
      <c r="IQ407" s="119"/>
      <c r="IR407" s="119"/>
      <c r="IS407" s="119"/>
      <c r="IT407" s="119"/>
      <c r="IU407" s="119"/>
      <c r="IV407" s="119"/>
      <c r="IW407" s="119"/>
      <c r="IX407" s="119"/>
      <c r="IY407" s="119"/>
      <c r="IZ407" s="119"/>
      <c r="JA407" s="119"/>
      <c r="JB407" s="119"/>
      <c r="JC407" s="119"/>
      <c r="JD407" s="119"/>
      <c r="JE407" s="119"/>
      <c r="JF407" s="119"/>
      <c r="JG407" s="119"/>
      <c r="JH407" s="119"/>
      <c r="JI407" s="119"/>
      <c r="JJ407" s="119"/>
      <c r="JK407" s="119"/>
      <c r="JL407" s="119"/>
      <c r="JM407" s="119"/>
      <c r="JN407" s="119"/>
      <c r="JO407" s="119"/>
      <c r="JP407" s="119"/>
      <c r="JQ407" s="119"/>
      <c r="JR407" s="119"/>
      <c r="JS407" s="119"/>
      <c r="JT407" s="119"/>
      <c r="JU407" s="119"/>
      <c r="JV407" s="119"/>
      <c r="JW407" s="119"/>
      <c r="JX407" s="119"/>
      <c r="JY407" s="119"/>
      <c r="JZ407" s="119"/>
      <c r="KA407" s="119"/>
      <c r="KB407" s="119"/>
      <c r="KC407" s="119"/>
      <c r="KD407" s="119"/>
      <c r="KE407" s="119"/>
      <c r="KF407" s="119"/>
      <c r="KG407" s="119"/>
      <c r="KH407" s="119"/>
      <c r="KI407" s="119"/>
      <c r="KJ407" s="119"/>
      <c r="KK407" s="119"/>
      <c r="KL407" s="119"/>
      <c r="KM407" s="119"/>
      <c r="KN407" s="119"/>
      <c r="KO407" s="119"/>
      <c r="KP407" s="119"/>
      <c r="KQ407" s="119"/>
      <c r="KR407" s="119"/>
      <c r="KS407" s="119"/>
      <c r="KT407" s="119"/>
      <c r="KU407" s="119"/>
      <c r="KV407" s="119"/>
      <c r="KW407" s="119"/>
      <c r="KX407" s="119"/>
      <c r="KY407" s="119"/>
      <c r="KZ407" s="119"/>
      <c r="LA407" s="119"/>
      <c r="LB407" s="119"/>
      <c r="LC407" s="119"/>
      <c r="LD407" s="119"/>
      <c r="LE407" s="119"/>
      <c r="LF407" s="119"/>
      <c r="LG407" s="119"/>
      <c r="LH407" s="119"/>
      <c r="LI407" s="119"/>
      <c r="LJ407" s="119"/>
      <c r="LK407" s="119"/>
      <c r="LL407" s="119"/>
      <c r="LM407" s="119"/>
      <c r="LN407" s="119"/>
      <c r="LO407" s="119"/>
      <c r="LP407" s="119"/>
      <c r="LQ407" s="119"/>
      <c r="LR407" s="119"/>
      <c r="LS407" s="119"/>
      <c r="LT407" s="119"/>
      <c r="LU407" s="119"/>
      <c r="LV407" s="119"/>
      <c r="LW407" s="119"/>
      <c r="LX407" s="119"/>
      <c r="LY407" s="119"/>
      <c r="LZ407" s="119"/>
      <c r="MA407" s="119"/>
      <c r="MB407" s="119"/>
      <c r="MC407" s="119"/>
      <c r="MD407" s="119"/>
      <c r="ME407" s="119"/>
      <c r="MF407" s="119"/>
      <c r="MG407" s="119"/>
      <c r="MH407" s="119"/>
      <c r="MI407" s="119"/>
      <c r="MJ407" s="119"/>
      <c r="MK407" s="119"/>
      <c r="ML407" s="119"/>
      <c r="MM407" s="119"/>
      <c r="MN407" s="119"/>
      <c r="MO407" s="119"/>
      <c r="MP407" s="119"/>
      <c r="MQ407" s="119"/>
      <c r="MR407" s="119"/>
      <c r="MS407" s="119"/>
      <c r="MT407" s="119"/>
      <c r="MU407" s="119"/>
      <c r="MV407" s="119"/>
      <c r="MW407" s="119"/>
      <c r="MX407" s="119"/>
      <c r="MY407" s="119"/>
      <c r="MZ407" s="119"/>
    </row>
    <row r="408" spans="1:364" s="27" customFormat="1" x14ac:dyDescent="0.25">
      <c r="A408" s="122"/>
      <c r="B408" s="122"/>
      <c r="C408" s="126"/>
      <c r="D408" s="128"/>
      <c r="E408" s="109"/>
      <c r="F408" s="131"/>
      <c r="G408" s="131"/>
      <c r="H408" s="105" t="s">
        <v>439</v>
      </c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9"/>
      <c r="T408" s="119"/>
      <c r="U408" s="119"/>
      <c r="V408" s="119"/>
      <c r="W408" s="119"/>
      <c r="X408" s="119"/>
      <c r="Y408" s="119"/>
      <c r="Z408" s="119"/>
      <c r="AA408" s="119"/>
      <c r="AB408" s="119"/>
      <c r="AC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9"/>
      <c r="AT408" s="119"/>
      <c r="AU408" s="119"/>
      <c r="AV408" s="119"/>
      <c r="AW408" s="119"/>
      <c r="AX408" s="119"/>
      <c r="AY408" s="119"/>
      <c r="AZ408" s="119"/>
      <c r="BA408" s="119"/>
      <c r="BB408" s="119"/>
      <c r="BC408" s="119"/>
      <c r="BD408" s="119"/>
      <c r="BE408" s="119"/>
      <c r="BF408" s="119"/>
      <c r="BG408" s="119"/>
      <c r="BH408" s="119"/>
      <c r="BI408" s="119"/>
      <c r="BJ408" s="119"/>
      <c r="BK408" s="119"/>
      <c r="BL408" s="26"/>
      <c r="BM408" s="119"/>
      <c r="BN408" s="26"/>
      <c r="BO408" s="119"/>
      <c r="BP408" s="119"/>
      <c r="BQ408" s="119"/>
      <c r="BR408" s="119"/>
      <c r="BS408" s="119"/>
      <c r="BT408" s="119"/>
      <c r="BU408" s="119"/>
      <c r="BV408" s="119"/>
      <c r="BW408" s="119"/>
      <c r="BX408" s="119"/>
      <c r="BY408" s="119"/>
      <c r="BZ408" s="119"/>
      <c r="CA408" s="119"/>
      <c r="CB408" s="119"/>
      <c r="CC408" s="119"/>
      <c r="CD408" s="119"/>
      <c r="CE408" s="119"/>
      <c r="CF408" s="119"/>
      <c r="CG408" s="119"/>
      <c r="CH408" s="119"/>
      <c r="CI408" s="119"/>
      <c r="CJ408" s="119"/>
      <c r="CK408" s="119"/>
      <c r="CL408" s="119"/>
      <c r="CM408" s="119"/>
      <c r="CN408" s="119"/>
      <c r="CO408" s="119"/>
      <c r="CP408" s="119"/>
      <c r="CQ408" s="119"/>
      <c r="CR408" s="119"/>
      <c r="CS408" s="119"/>
      <c r="CT408" s="119"/>
      <c r="CU408" s="119"/>
      <c r="CV408" s="119"/>
      <c r="CW408" s="119"/>
      <c r="CX408" s="119"/>
      <c r="CY408" s="119"/>
      <c r="CZ408" s="119"/>
      <c r="DA408" s="119"/>
      <c r="DB408" s="119"/>
      <c r="DC408" s="119"/>
      <c r="DD408" s="119"/>
      <c r="DE408" s="119"/>
      <c r="DF408" s="119"/>
      <c r="DG408" s="119"/>
      <c r="DH408" s="119"/>
      <c r="DI408" s="119"/>
      <c r="DJ408" s="119"/>
      <c r="DK408" s="119"/>
      <c r="DL408" s="119"/>
      <c r="DM408" s="119"/>
      <c r="DN408" s="119"/>
      <c r="DO408" s="119"/>
      <c r="DP408" s="119"/>
      <c r="DQ408" s="119"/>
      <c r="DR408" s="119"/>
      <c r="DS408" s="119"/>
      <c r="DT408" s="119"/>
      <c r="DU408" s="119"/>
      <c r="DV408" s="119"/>
      <c r="DW408" s="119"/>
      <c r="DX408" s="119"/>
      <c r="DY408" s="119"/>
      <c r="DZ408" s="119"/>
      <c r="EA408" s="119"/>
      <c r="EB408" s="119"/>
      <c r="EC408" s="119"/>
      <c r="ED408" s="119"/>
      <c r="EE408" s="119"/>
      <c r="EF408" s="119"/>
      <c r="EG408" s="119"/>
      <c r="EH408" s="119"/>
      <c r="EI408" s="119"/>
      <c r="EJ408" s="119"/>
      <c r="EK408" s="119"/>
      <c r="EL408" s="119"/>
      <c r="EM408" s="119"/>
      <c r="EN408" s="119"/>
      <c r="EO408" s="119"/>
      <c r="EP408" s="119"/>
      <c r="EQ408" s="119"/>
      <c r="ER408" s="119"/>
      <c r="ES408" s="119"/>
      <c r="ET408" s="119"/>
      <c r="EU408" s="119"/>
      <c r="EV408" s="119"/>
      <c r="EW408" s="119"/>
      <c r="EX408" s="119"/>
      <c r="EY408" s="119"/>
      <c r="EZ408" s="119"/>
      <c r="FA408" s="119"/>
      <c r="FB408" s="119"/>
      <c r="FC408" s="119"/>
      <c r="FD408" s="119"/>
      <c r="FE408" s="119"/>
      <c r="FF408" s="119"/>
      <c r="FG408" s="119"/>
      <c r="FH408" s="119"/>
      <c r="FI408" s="119"/>
      <c r="FJ408" s="119"/>
      <c r="FK408" s="119"/>
      <c r="FL408" s="119"/>
      <c r="FM408" s="119"/>
      <c r="FN408" s="119"/>
      <c r="FO408" s="119"/>
      <c r="FP408" s="119"/>
      <c r="FQ408" s="119"/>
      <c r="FR408" s="119"/>
      <c r="FS408" s="119"/>
      <c r="FT408" s="119"/>
      <c r="FU408" s="119"/>
      <c r="FV408" s="119"/>
      <c r="FW408" s="119"/>
      <c r="FX408" s="119"/>
      <c r="FY408" s="119"/>
      <c r="FZ408" s="119"/>
      <c r="GA408" s="119"/>
      <c r="GB408" s="119"/>
      <c r="GC408" s="119"/>
      <c r="GD408" s="119"/>
      <c r="GE408" s="119"/>
      <c r="GF408" s="119"/>
      <c r="GG408" s="119"/>
      <c r="GH408" s="119"/>
      <c r="GI408" s="119"/>
      <c r="GJ408" s="119"/>
      <c r="GK408" s="119"/>
      <c r="GL408" s="119"/>
      <c r="GM408" s="119"/>
      <c r="GN408" s="119"/>
      <c r="GO408" s="119"/>
      <c r="GP408" s="119"/>
      <c r="GQ408" s="119"/>
      <c r="GR408" s="119"/>
      <c r="GS408" s="119"/>
      <c r="GT408" s="119"/>
      <c r="GU408" s="119"/>
      <c r="GV408" s="119"/>
      <c r="GW408" s="119"/>
      <c r="GX408" s="119"/>
      <c r="GY408" s="119"/>
      <c r="GZ408" s="119"/>
      <c r="HA408" s="119"/>
      <c r="HB408" s="119"/>
      <c r="HC408" s="119"/>
      <c r="HD408" s="119"/>
      <c r="HE408" s="119"/>
      <c r="HF408" s="119"/>
      <c r="HG408" s="119"/>
      <c r="HH408" s="119"/>
      <c r="HI408" s="119"/>
      <c r="HJ408" s="119"/>
      <c r="HK408" s="119"/>
      <c r="HL408" s="119"/>
      <c r="HM408" s="119"/>
      <c r="HN408" s="119"/>
      <c r="HO408" s="119"/>
      <c r="HP408" s="119"/>
      <c r="HQ408" s="119"/>
      <c r="HR408" s="119"/>
      <c r="HS408" s="119"/>
      <c r="HT408" s="119"/>
      <c r="HU408" s="119"/>
      <c r="HV408" s="119"/>
      <c r="HW408" s="119"/>
      <c r="HX408" s="119"/>
      <c r="HY408" s="119"/>
      <c r="HZ408" s="119"/>
      <c r="IA408" s="119"/>
      <c r="IB408" s="119"/>
      <c r="IC408" s="119"/>
      <c r="ID408" s="119"/>
      <c r="IE408" s="119"/>
      <c r="IF408" s="119"/>
      <c r="IG408" s="119"/>
      <c r="IH408" s="119"/>
      <c r="II408" s="119"/>
      <c r="IJ408" s="119"/>
      <c r="IK408" s="119"/>
      <c r="IL408" s="119"/>
      <c r="IM408" s="119"/>
      <c r="IN408" s="119"/>
      <c r="IO408" s="119"/>
      <c r="IP408" s="119"/>
      <c r="IQ408" s="119"/>
      <c r="IR408" s="119"/>
      <c r="IS408" s="119"/>
      <c r="IT408" s="119"/>
      <c r="IU408" s="119"/>
      <c r="IV408" s="119"/>
      <c r="IW408" s="119"/>
      <c r="IX408" s="119"/>
      <c r="IY408" s="119"/>
      <c r="IZ408" s="119"/>
      <c r="JA408" s="119"/>
      <c r="JB408" s="119"/>
      <c r="JC408" s="119"/>
      <c r="JD408" s="119"/>
      <c r="JE408" s="119"/>
      <c r="JF408" s="119"/>
      <c r="JG408" s="119"/>
      <c r="JH408" s="119"/>
      <c r="JI408" s="119"/>
      <c r="JJ408" s="119"/>
      <c r="JK408" s="119"/>
      <c r="JL408" s="119"/>
      <c r="JM408" s="119"/>
      <c r="JN408" s="119"/>
      <c r="JO408" s="119"/>
      <c r="JP408" s="119"/>
      <c r="JQ408" s="119"/>
      <c r="JR408" s="119"/>
      <c r="JS408" s="119"/>
      <c r="JT408" s="119"/>
      <c r="JU408" s="119"/>
      <c r="JV408" s="119"/>
      <c r="JW408" s="119"/>
      <c r="JX408" s="119"/>
      <c r="JY408" s="119"/>
      <c r="JZ408" s="119"/>
      <c r="KA408" s="119"/>
      <c r="KB408" s="119"/>
      <c r="KC408" s="119"/>
      <c r="KD408" s="119"/>
      <c r="KE408" s="119"/>
      <c r="KF408" s="119"/>
      <c r="KG408" s="119"/>
      <c r="KH408" s="119"/>
      <c r="KI408" s="119"/>
      <c r="KJ408" s="119"/>
      <c r="KK408" s="119"/>
      <c r="KL408" s="119"/>
      <c r="KM408" s="119"/>
      <c r="KN408" s="119"/>
      <c r="KO408" s="119"/>
      <c r="KP408" s="119"/>
      <c r="KQ408" s="119"/>
      <c r="KR408" s="119"/>
      <c r="KS408" s="119"/>
      <c r="KT408" s="119"/>
      <c r="KU408" s="119"/>
      <c r="KV408" s="119"/>
      <c r="KW408" s="119"/>
      <c r="KX408" s="119"/>
      <c r="KY408" s="119"/>
      <c r="KZ408" s="119"/>
      <c r="LA408" s="119"/>
      <c r="LB408" s="119"/>
      <c r="LC408" s="119"/>
      <c r="LD408" s="119"/>
      <c r="LE408" s="119"/>
      <c r="LF408" s="119"/>
      <c r="LG408" s="119"/>
      <c r="LH408" s="119"/>
      <c r="LI408" s="119"/>
      <c r="LJ408" s="119"/>
      <c r="LK408" s="119"/>
      <c r="LL408" s="119"/>
      <c r="LM408" s="119"/>
      <c r="LN408" s="119"/>
      <c r="LO408" s="119"/>
      <c r="LP408" s="119"/>
      <c r="LQ408" s="119"/>
      <c r="LR408" s="119"/>
      <c r="LS408" s="119"/>
      <c r="LT408" s="119"/>
      <c r="LU408" s="119"/>
      <c r="LV408" s="119"/>
      <c r="LW408" s="119"/>
      <c r="LX408" s="119"/>
      <c r="LY408" s="119"/>
      <c r="LZ408" s="119"/>
      <c r="MA408" s="119"/>
      <c r="MB408" s="119"/>
      <c r="MC408" s="119"/>
      <c r="MD408" s="119"/>
      <c r="ME408" s="119"/>
      <c r="MF408" s="119"/>
      <c r="MG408" s="119"/>
      <c r="MH408" s="119"/>
      <c r="MI408" s="119"/>
      <c r="MJ408" s="119"/>
      <c r="MK408" s="119"/>
      <c r="ML408" s="119"/>
      <c r="MM408" s="119"/>
      <c r="MN408" s="119"/>
      <c r="MO408" s="119"/>
      <c r="MP408" s="119"/>
      <c r="MQ408" s="119"/>
      <c r="MR408" s="119"/>
      <c r="MS408" s="119"/>
      <c r="MT408" s="119"/>
      <c r="MU408" s="119"/>
      <c r="MV408" s="119"/>
      <c r="MW408" s="119"/>
      <c r="MX408" s="119"/>
      <c r="MY408" s="119"/>
      <c r="MZ408" s="119"/>
    </row>
    <row r="409" spans="1:364" s="27" customFormat="1" x14ac:dyDescent="0.25">
      <c r="A409" s="122"/>
      <c r="B409" s="122"/>
      <c r="C409" s="126"/>
      <c r="D409" s="128"/>
      <c r="E409" s="109" t="s">
        <v>493</v>
      </c>
      <c r="F409" s="131"/>
      <c r="G409" s="131"/>
      <c r="H409" s="106" t="s">
        <v>438</v>
      </c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19"/>
      <c r="T409" s="119"/>
      <c r="U409" s="119"/>
      <c r="V409" s="119"/>
      <c r="W409" s="119"/>
      <c r="X409" s="119"/>
      <c r="Y409" s="119"/>
      <c r="Z409" s="119"/>
      <c r="AA409" s="119"/>
      <c r="AB409" s="119"/>
      <c r="AC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S409" s="119"/>
      <c r="AT409" s="119"/>
      <c r="AU409" s="119"/>
      <c r="AV409" s="119"/>
      <c r="AW409" s="119"/>
      <c r="AX409" s="119"/>
      <c r="AY409" s="119"/>
      <c r="AZ409" s="119"/>
      <c r="BA409" s="119"/>
      <c r="BB409" s="119"/>
      <c r="BC409" s="119"/>
      <c r="BD409" s="119"/>
      <c r="BE409" s="119"/>
      <c r="BF409" s="119"/>
      <c r="BG409" s="119"/>
      <c r="BH409" s="119"/>
      <c r="BI409" s="119"/>
      <c r="BJ409" s="119"/>
      <c r="BK409" s="119"/>
      <c r="BL409" s="26"/>
      <c r="BM409" s="119"/>
      <c r="BN409" s="119"/>
      <c r="BO409" s="119"/>
      <c r="BP409" s="119"/>
      <c r="BQ409" s="119"/>
      <c r="BR409" s="119"/>
      <c r="BS409" s="119"/>
      <c r="BT409" s="119"/>
      <c r="BU409" s="119"/>
      <c r="BV409" s="119"/>
      <c r="BW409" s="119"/>
      <c r="BX409" s="119"/>
      <c r="BY409" s="119"/>
      <c r="BZ409" s="119"/>
      <c r="CA409" s="119"/>
      <c r="CB409" s="119"/>
      <c r="CC409" s="119"/>
      <c r="CD409" s="119"/>
      <c r="CE409" s="119"/>
      <c r="CF409" s="119"/>
      <c r="CG409" s="119"/>
      <c r="CH409" s="119"/>
      <c r="CI409" s="119"/>
      <c r="CJ409" s="119"/>
      <c r="CK409" s="119"/>
      <c r="CL409" s="119"/>
      <c r="CM409" s="119"/>
      <c r="CN409" s="119"/>
      <c r="CO409" s="119"/>
      <c r="CP409" s="119"/>
      <c r="CQ409" s="119"/>
      <c r="CR409" s="119"/>
      <c r="CS409" s="119"/>
      <c r="CT409" s="119"/>
      <c r="CU409" s="119"/>
      <c r="CV409" s="119"/>
      <c r="CW409" s="119"/>
      <c r="CX409" s="119"/>
      <c r="CY409" s="119"/>
      <c r="CZ409" s="119"/>
      <c r="DA409" s="119"/>
      <c r="DB409" s="119"/>
      <c r="DC409" s="119"/>
      <c r="DD409" s="119"/>
      <c r="DE409" s="119"/>
      <c r="DF409" s="119"/>
      <c r="DG409" s="119"/>
      <c r="DH409" s="119"/>
      <c r="DI409" s="119"/>
      <c r="DJ409" s="119"/>
      <c r="DK409" s="119"/>
      <c r="DL409" s="119"/>
      <c r="DM409" s="119"/>
      <c r="DN409" s="119"/>
      <c r="DO409" s="119"/>
      <c r="DP409" s="119"/>
      <c r="DQ409" s="119"/>
      <c r="DR409" s="119"/>
      <c r="DS409" s="119"/>
      <c r="DT409" s="119"/>
      <c r="DU409" s="119"/>
      <c r="DV409" s="119"/>
      <c r="DW409" s="119"/>
      <c r="DX409" s="119"/>
      <c r="DY409" s="119"/>
      <c r="DZ409" s="119"/>
      <c r="EA409" s="119"/>
      <c r="EB409" s="119"/>
      <c r="EC409" s="119"/>
      <c r="ED409" s="119"/>
      <c r="EE409" s="119"/>
      <c r="EF409" s="119"/>
      <c r="EG409" s="119"/>
      <c r="EH409" s="119"/>
      <c r="EI409" s="119"/>
      <c r="EJ409" s="119"/>
      <c r="EK409" s="119"/>
      <c r="EL409" s="119"/>
      <c r="EM409" s="119"/>
      <c r="EN409" s="119"/>
      <c r="EO409" s="119"/>
      <c r="EP409" s="119"/>
      <c r="EQ409" s="119"/>
      <c r="ER409" s="119"/>
      <c r="ES409" s="119"/>
      <c r="ET409" s="119"/>
      <c r="EU409" s="119"/>
      <c r="EV409" s="119"/>
      <c r="EW409" s="119"/>
      <c r="EX409" s="119"/>
      <c r="EY409" s="119"/>
      <c r="EZ409" s="119"/>
      <c r="FA409" s="119"/>
      <c r="FB409" s="119"/>
      <c r="FC409" s="119"/>
      <c r="FD409" s="119"/>
      <c r="FE409" s="119"/>
      <c r="FF409" s="119"/>
      <c r="FG409" s="119"/>
      <c r="FH409" s="119"/>
      <c r="FI409" s="119"/>
      <c r="FJ409" s="119"/>
      <c r="FK409" s="119"/>
      <c r="FL409" s="119"/>
      <c r="FM409" s="119"/>
      <c r="FN409" s="119"/>
      <c r="FO409" s="119"/>
      <c r="FP409" s="119"/>
      <c r="FQ409" s="119"/>
      <c r="FR409" s="119"/>
      <c r="FS409" s="119"/>
      <c r="FT409" s="119"/>
      <c r="FU409" s="119"/>
      <c r="FV409" s="119"/>
      <c r="FW409" s="119"/>
      <c r="FX409" s="119"/>
      <c r="FY409" s="119"/>
      <c r="FZ409" s="119"/>
      <c r="GA409" s="119"/>
      <c r="GB409" s="119"/>
      <c r="GC409" s="119"/>
      <c r="GD409" s="119"/>
      <c r="GE409" s="119"/>
      <c r="GF409" s="119"/>
      <c r="GG409" s="119"/>
      <c r="GH409" s="119"/>
      <c r="GI409" s="119"/>
      <c r="GJ409" s="119"/>
      <c r="GK409" s="119"/>
      <c r="GL409" s="119"/>
      <c r="GM409" s="119"/>
      <c r="GN409" s="119"/>
      <c r="GO409" s="119"/>
      <c r="GP409" s="119"/>
      <c r="GQ409" s="119"/>
      <c r="GR409" s="119"/>
      <c r="GS409" s="119"/>
      <c r="GT409" s="119"/>
      <c r="GU409" s="119"/>
      <c r="GV409" s="119"/>
      <c r="GW409" s="119"/>
      <c r="GX409" s="119"/>
      <c r="GY409" s="119"/>
      <c r="GZ409" s="119"/>
      <c r="HA409" s="119"/>
      <c r="HB409" s="119"/>
      <c r="HC409" s="119"/>
      <c r="HD409" s="119"/>
      <c r="HE409" s="119"/>
      <c r="HF409" s="119"/>
      <c r="HG409" s="119"/>
      <c r="HH409" s="119"/>
      <c r="HI409" s="119"/>
      <c r="HJ409" s="119"/>
      <c r="HK409" s="119"/>
      <c r="HL409" s="119"/>
      <c r="HM409" s="119"/>
      <c r="HN409" s="119"/>
      <c r="HO409" s="119"/>
      <c r="HP409" s="119"/>
      <c r="HQ409" s="119"/>
      <c r="HR409" s="119"/>
      <c r="HS409" s="119"/>
      <c r="HT409" s="119"/>
      <c r="HU409" s="119"/>
      <c r="HV409" s="119"/>
      <c r="HW409" s="119"/>
      <c r="HX409" s="119"/>
      <c r="HY409" s="119"/>
      <c r="HZ409" s="119"/>
      <c r="IA409" s="119"/>
      <c r="IB409" s="119"/>
      <c r="IC409" s="119"/>
      <c r="ID409" s="119"/>
      <c r="IE409" s="119"/>
      <c r="IF409" s="119"/>
      <c r="IG409" s="119"/>
      <c r="IH409" s="119"/>
      <c r="II409" s="119"/>
      <c r="IJ409" s="119"/>
      <c r="IK409" s="119"/>
      <c r="IL409" s="119"/>
      <c r="IM409" s="119"/>
      <c r="IN409" s="119"/>
      <c r="IO409" s="119"/>
      <c r="IP409" s="119"/>
      <c r="IQ409" s="119"/>
      <c r="IR409" s="119"/>
      <c r="IS409" s="119"/>
      <c r="IT409" s="119"/>
      <c r="IU409" s="119"/>
      <c r="IV409" s="119"/>
      <c r="IW409" s="119"/>
      <c r="IX409" s="119"/>
      <c r="IY409" s="119"/>
      <c r="IZ409" s="119"/>
      <c r="JA409" s="119"/>
      <c r="JB409" s="119"/>
      <c r="JC409" s="119"/>
      <c r="JD409" s="119"/>
      <c r="JE409" s="119"/>
      <c r="JF409" s="119"/>
      <c r="JG409" s="119"/>
      <c r="JH409" s="119"/>
      <c r="JI409" s="119"/>
      <c r="JJ409" s="119"/>
      <c r="JK409" s="119"/>
      <c r="JL409" s="119"/>
      <c r="JM409" s="119"/>
      <c r="JN409" s="119"/>
      <c r="JO409" s="119"/>
      <c r="JP409" s="119"/>
      <c r="JQ409" s="119"/>
      <c r="JR409" s="119"/>
      <c r="JS409" s="119"/>
      <c r="JT409" s="119"/>
      <c r="JU409" s="119"/>
      <c r="JV409" s="119"/>
      <c r="JW409" s="119"/>
      <c r="JX409" s="119"/>
      <c r="JY409" s="119"/>
      <c r="JZ409" s="119"/>
      <c r="KA409" s="119"/>
      <c r="KB409" s="119"/>
      <c r="KC409" s="119"/>
      <c r="KD409" s="119"/>
      <c r="KE409" s="119"/>
      <c r="KF409" s="119"/>
      <c r="KG409" s="119"/>
      <c r="KH409" s="119"/>
      <c r="KI409" s="119"/>
      <c r="KJ409" s="119"/>
      <c r="KK409" s="119"/>
      <c r="KL409" s="119"/>
      <c r="KM409" s="119"/>
      <c r="KN409" s="119"/>
      <c r="KO409" s="119"/>
      <c r="KP409" s="119"/>
      <c r="KQ409" s="119"/>
      <c r="KR409" s="119"/>
      <c r="KS409" s="119"/>
      <c r="KT409" s="119"/>
      <c r="KU409" s="119"/>
      <c r="KV409" s="119"/>
      <c r="KW409" s="119"/>
      <c r="KX409" s="119"/>
      <c r="KY409" s="119"/>
      <c r="KZ409" s="119"/>
      <c r="LA409" s="119"/>
      <c r="LB409" s="119"/>
      <c r="LC409" s="119"/>
      <c r="LD409" s="119"/>
      <c r="LE409" s="119"/>
      <c r="LF409" s="119"/>
      <c r="LG409" s="119"/>
      <c r="LH409" s="119"/>
      <c r="LI409" s="119"/>
      <c r="LJ409" s="119"/>
      <c r="LK409" s="119"/>
      <c r="LL409" s="119"/>
      <c r="LM409" s="119"/>
      <c r="LN409" s="119"/>
      <c r="LO409" s="119"/>
      <c r="LP409" s="119"/>
      <c r="LQ409" s="119"/>
      <c r="LR409" s="119"/>
      <c r="LS409" s="119"/>
      <c r="LT409" s="119"/>
      <c r="LU409" s="119"/>
      <c r="LV409" s="119"/>
      <c r="LW409" s="119"/>
      <c r="LX409" s="119"/>
      <c r="LY409" s="119"/>
      <c r="LZ409" s="119"/>
      <c r="MA409" s="119"/>
      <c r="MB409" s="119"/>
      <c r="MC409" s="119"/>
      <c r="MD409" s="119"/>
      <c r="ME409" s="119"/>
      <c r="MF409" s="119"/>
      <c r="MG409" s="119"/>
      <c r="MH409" s="119"/>
      <c r="MI409" s="119"/>
      <c r="MJ409" s="119"/>
      <c r="MK409" s="119"/>
      <c r="ML409" s="119"/>
      <c r="MM409" s="119"/>
      <c r="MN409" s="119"/>
      <c r="MO409" s="119"/>
      <c r="MP409" s="119"/>
      <c r="MQ409" s="119"/>
      <c r="MR409" s="119"/>
      <c r="MS409" s="119"/>
      <c r="MT409" s="119"/>
      <c r="MU409" s="119"/>
      <c r="MV409" s="119"/>
      <c r="MW409" s="119"/>
      <c r="MX409" s="119"/>
      <c r="MY409" s="119"/>
      <c r="MZ409" s="119"/>
    </row>
    <row r="410" spans="1:364" s="27" customFormat="1" x14ac:dyDescent="0.25">
      <c r="A410" s="123"/>
      <c r="B410" s="123"/>
      <c r="C410" s="126"/>
      <c r="D410" s="129"/>
      <c r="E410" s="109"/>
      <c r="F410" s="131"/>
      <c r="G410" s="132"/>
      <c r="H410" s="114" t="s">
        <v>149</v>
      </c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19"/>
      <c r="T410" s="119"/>
      <c r="U410" s="119"/>
      <c r="V410" s="119"/>
      <c r="W410" s="119"/>
      <c r="X410" s="119"/>
      <c r="Y410" s="119"/>
      <c r="Z410" s="119"/>
      <c r="AA410" s="119"/>
      <c r="AB410" s="119"/>
      <c r="AC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9"/>
      <c r="AT410" s="119"/>
      <c r="AU410" s="119"/>
      <c r="AV410" s="119"/>
      <c r="AW410" s="119"/>
      <c r="AX410" s="119"/>
      <c r="AY410" s="119"/>
      <c r="AZ410" s="119"/>
      <c r="BA410" s="119"/>
      <c r="BB410" s="119"/>
      <c r="BC410" s="119"/>
      <c r="BD410" s="119"/>
      <c r="BE410" s="119"/>
      <c r="BF410" s="119"/>
      <c r="BG410" s="119"/>
      <c r="BH410" s="119"/>
      <c r="BI410" s="119"/>
      <c r="BJ410" s="119"/>
      <c r="BK410" s="119"/>
      <c r="BL410" s="26"/>
      <c r="BM410" s="119"/>
      <c r="BN410" s="119"/>
      <c r="BO410" s="119"/>
      <c r="BP410" s="119"/>
      <c r="BQ410" s="119"/>
      <c r="BR410" s="119"/>
      <c r="BS410" s="119"/>
      <c r="BT410" s="119"/>
      <c r="BU410" s="119"/>
      <c r="BV410" s="119"/>
      <c r="BW410" s="119"/>
      <c r="BX410" s="119"/>
      <c r="BY410" s="119"/>
      <c r="BZ410" s="119"/>
      <c r="CA410" s="119"/>
      <c r="CB410" s="119"/>
      <c r="CC410" s="119"/>
      <c r="CD410" s="119"/>
      <c r="CE410" s="119"/>
      <c r="CF410" s="119"/>
      <c r="CG410" s="119"/>
      <c r="CH410" s="119"/>
      <c r="CI410" s="119"/>
      <c r="CJ410" s="119"/>
      <c r="CK410" s="119"/>
      <c r="CL410" s="119"/>
      <c r="CM410" s="119"/>
      <c r="CN410" s="119"/>
      <c r="CO410" s="119"/>
      <c r="CP410" s="119"/>
      <c r="CQ410" s="119"/>
      <c r="CR410" s="119"/>
      <c r="CS410" s="119"/>
      <c r="CT410" s="119"/>
      <c r="CU410" s="119"/>
      <c r="CV410" s="119"/>
      <c r="CW410" s="119"/>
      <c r="CX410" s="119"/>
      <c r="CY410" s="119"/>
      <c r="CZ410" s="119"/>
      <c r="DA410" s="119"/>
      <c r="DB410" s="119"/>
      <c r="DC410" s="119"/>
      <c r="DD410" s="119"/>
      <c r="DE410" s="119"/>
      <c r="DF410" s="119"/>
      <c r="DG410" s="119"/>
      <c r="DH410" s="119"/>
      <c r="DI410" s="119"/>
      <c r="DJ410" s="119"/>
      <c r="DK410" s="119"/>
      <c r="DL410" s="119"/>
      <c r="DM410" s="119"/>
      <c r="DN410" s="119"/>
      <c r="DO410" s="119"/>
      <c r="DP410" s="119"/>
      <c r="DQ410" s="119"/>
      <c r="DR410" s="119"/>
      <c r="DS410" s="119"/>
      <c r="DT410" s="119"/>
      <c r="DU410" s="119"/>
      <c r="DV410" s="119"/>
      <c r="DW410" s="119"/>
      <c r="DX410" s="119"/>
      <c r="DY410" s="119"/>
      <c r="DZ410" s="119"/>
      <c r="EA410" s="119"/>
      <c r="EB410" s="119"/>
      <c r="EC410" s="119"/>
      <c r="ED410" s="119"/>
      <c r="EE410" s="119"/>
      <c r="EF410" s="119"/>
      <c r="EG410" s="119"/>
      <c r="EH410" s="119"/>
      <c r="EI410" s="119"/>
      <c r="EJ410" s="119"/>
      <c r="EK410" s="119"/>
      <c r="EL410" s="119"/>
      <c r="EM410" s="119"/>
      <c r="EN410" s="119"/>
      <c r="EO410" s="119"/>
      <c r="EP410" s="119"/>
      <c r="EQ410" s="119"/>
      <c r="ER410" s="119"/>
      <c r="ES410" s="119"/>
      <c r="ET410" s="119"/>
      <c r="EU410" s="119"/>
      <c r="EV410" s="119"/>
      <c r="EW410" s="119"/>
      <c r="EX410" s="119"/>
      <c r="EY410" s="119"/>
      <c r="EZ410" s="119"/>
      <c r="FA410" s="119"/>
      <c r="FB410" s="119"/>
      <c r="FC410" s="119"/>
      <c r="FD410" s="119"/>
      <c r="FE410" s="119"/>
      <c r="FF410" s="119"/>
      <c r="FG410" s="119"/>
      <c r="FH410" s="119"/>
      <c r="FI410" s="119"/>
      <c r="FJ410" s="119"/>
      <c r="FK410" s="119"/>
      <c r="FL410" s="119"/>
      <c r="FM410" s="119"/>
      <c r="FN410" s="119"/>
      <c r="FO410" s="119"/>
      <c r="FP410" s="119"/>
      <c r="FQ410" s="119"/>
      <c r="FR410" s="119"/>
      <c r="FS410" s="119"/>
      <c r="FT410" s="119"/>
      <c r="FU410" s="119"/>
      <c r="FV410" s="119"/>
      <c r="FW410" s="119"/>
      <c r="FX410" s="119"/>
      <c r="FY410" s="119"/>
      <c r="FZ410" s="119"/>
      <c r="GA410" s="119"/>
      <c r="GB410" s="119"/>
      <c r="GC410" s="119"/>
      <c r="GD410" s="119"/>
      <c r="GE410" s="119"/>
      <c r="GF410" s="119"/>
      <c r="GG410" s="119"/>
      <c r="GH410" s="119"/>
      <c r="GI410" s="119"/>
      <c r="GJ410" s="119"/>
      <c r="GK410" s="119"/>
      <c r="GL410" s="119"/>
      <c r="GM410" s="119"/>
      <c r="GN410" s="119"/>
      <c r="GO410" s="119"/>
      <c r="GP410" s="119"/>
      <c r="GQ410" s="119"/>
      <c r="GR410" s="119"/>
      <c r="GS410" s="119"/>
      <c r="GT410" s="119"/>
      <c r="GU410" s="119"/>
      <c r="GV410" s="119"/>
      <c r="GW410" s="119"/>
      <c r="GX410" s="119"/>
      <c r="GY410" s="119"/>
      <c r="GZ410" s="119"/>
      <c r="HA410" s="119"/>
      <c r="HB410" s="119"/>
      <c r="HC410" s="119"/>
      <c r="HD410" s="119"/>
      <c r="HE410" s="119"/>
      <c r="HF410" s="119"/>
      <c r="HG410" s="119"/>
      <c r="HH410" s="119"/>
      <c r="HI410" s="119"/>
      <c r="HJ410" s="119"/>
      <c r="HK410" s="119"/>
      <c r="HL410" s="119"/>
      <c r="HM410" s="119"/>
      <c r="HN410" s="119"/>
      <c r="HO410" s="119"/>
      <c r="HP410" s="119"/>
      <c r="HQ410" s="119"/>
      <c r="HR410" s="119"/>
      <c r="HS410" s="119"/>
      <c r="HT410" s="119"/>
      <c r="HU410" s="119"/>
      <c r="HV410" s="119"/>
      <c r="HW410" s="119"/>
      <c r="HX410" s="119"/>
      <c r="HY410" s="119"/>
      <c r="HZ410" s="119"/>
      <c r="IA410" s="119"/>
      <c r="IB410" s="119"/>
      <c r="IC410" s="119"/>
      <c r="ID410" s="119"/>
      <c r="IE410" s="119"/>
      <c r="IF410" s="119"/>
      <c r="IG410" s="119"/>
      <c r="IH410" s="119"/>
      <c r="II410" s="119"/>
      <c r="IJ410" s="119"/>
      <c r="IK410" s="119"/>
      <c r="IL410" s="119"/>
      <c r="IM410" s="119"/>
      <c r="IN410" s="119"/>
      <c r="IO410" s="119"/>
      <c r="IP410" s="119"/>
      <c r="IQ410" s="119"/>
      <c r="IR410" s="119"/>
      <c r="IS410" s="119"/>
      <c r="IT410" s="119"/>
      <c r="IU410" s="119"/>
      <c r="IV410" s="119"/>
      <c r="IW410" s="119"/>
      <c r="IX410" s="119"/>
      <c r="IY410" s="119"/>
      <c r="IZ410" s="119"/>
      <c r="JA410" s="119"/>
      <c r="JB410" s="119"/>
      <c r="JC410" s="119"/>
      <c r="JD410" s="119"/>
      <c r="JE410" s="119"/>
      <c r="JF410" s="119"/>
      <c r="JG410" s="119"/>
      <c r="JH410" s="119"/>
      <c r="JI410" s="119"/>
      <c r="JJ410" s="119"/>
      <c r="JK410" s="119"/>
      <c r="JL410" s="119"/>
      <c r="JM410" s="119"/>
      <c r="JN410" s="119"/>
      <c r="JO410" s="119"/>
      <c r="JP410" s="119"/>
      <c r="JQ410" s="119"/>
      <c r="JR410" s="119"/>
      <c r="JS410" s="119"/>
      <c r="JT410" s="119"/>
      <c r="JU410" s="119"/>
      <c r="JV410" s="119"/>
      <c r="JW410" s="119"/>
      <c r="JX410" s="119"/>
      <c r="JY410" s="119"/>
      <c r="JZ410" s="119"/>
      <c r="KA410" s="119"/>
      <c r="KB410" s="119"/>
      <c r="KC410" s="119"/>
      <c r="KD410" s="119"/>
      <c r="KE410" s="119"/>
      <c r="KF410" s="119"/>
      <c r="KG410" s="119"/>
      <c r="KH410" s="119"/>
      <c r="KI410" s="119"/>
      <c r="KJ410" s="119"/>
      <c r="KK410" s="119"/>
      <c r="KL410" s="119"/>
      <c r="KM410" s="119"/>
      <c r="KN410" s="119"/>
      <c r="KO410" s="119"/>
      <c r="KP410" s="119"/>
      <c r="KQ410" s="119"/>
      <c r="KR410" s="119"/>
      <c r="KS410" s="119"/>
      <c r="KT410" s="119"/>
      <c r="KU410" s="119"/>
      <c r="KV410" s="119"/>
      <c r="KW410" s="119"/>
      <c r="KX410" s="119"/>
      <c r="KY410" s="119"/>
      <c r="KZ410" s="119"/>
      <c r="LA410" s="119"/>
      <c r="LB410" s="119"/>
      <c r="LC410" s="119"/>
      <c r="LD410" s="119"/>
      <c r="LE410" s="119"/>
      <c r="LF410" s="119"/>
      <c r="LG410" s="119"/>
      <c r="LH410" s="119"/>
      <c r="LI410" s="119"/>
      <c r="LJ410" s="119"/>
      <c r="LK410" s="119"/>
      <c r="LL410" s="119"/>
      <c r="LM410" s="119"/>
      <c r="LN410" s="119"/>
      <c r="LO410" s="119"/>
      <c r="LP410" s="119"/>
      <c r="LQ410" s="119"/>
      <c r="LR410" s="119"/>
      <c r="LS410" s="119"/>
      <c r="LT410" s="119"/>
      <c r="LU410" s="119"/>
      <c r="LV410" s="119"/>
      <c r="LW410" s="119"/>
      <c r="LX410" s="119"/>
      <c r="LY410" s="119"/>
      <c r="LZ410" s="119"/>
      <c r="MA410" s="119"/>
      <c r="MB410" s="119"/>
      <c r="MC410" s="119"/>
      <c r="MD410" s="119"/>
      <c r="ME410" s="119"/>
      <c r="MF410" s="119"/>
      <c r="MG410" s="119"/>
      <c r="MH410" s="119"/>
      <c r="MI410" s="119"/>
      <c r="MJ410" s="119"/>
      <c r="MK410" s="119"/>
      <c r="ML410" s="119"/>
      <c r="MM410" s="119"/>
      <c r="MN410" s="119"/>
      <c r="MO410" s="119"/>
      <c r="MP410" s="119"/>
      <c r="MQ410" s="119"/>
      <c r="MR410" s="119"/>
      <c r="MS410" s="119"/>
      <c r="MT410" s="119"/>
      <c r="MU410" s="119"/>
      <c r="MV410" s="119"/>
      <c r="MW410" s="119"/>
      <c r="MX410" s="119"/>
      <c r="MY410" s="119"/>
      <c r="MZ410" s="119"/>
    </row>
    <row r="411" spans="1:364" s="27" customFormat="1" x14ac:dyDescent="0.25">
      <c r="A411" s="133"/>
      <c r="B411" s="124" t="e">
        <f>VLOOKUP(A411,Rules!$B$8:$C$154,2,0)</f>
        <v>#N/A</v>
      </c>
      <c r="C411" s="125">
        <f t="shared" ref="C411" si="2">SUM(I412:XX412)</f>
        <v>0</v>
      </c>
      <c r="D411" s="127"/>
      <c r="E411" s="110" t="s">
        <v>492</v>
      </c>
      <c r="F411" s="130" t="e">
        <f>VLOOKUP(A411,Table2[],10,0)</f>
        <v>#N/A</v>
      </c>
      <c r="G411" s="130"/>
      <c r="H411" s="113" t="s">
        <v>440</v>
      </c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9"/>
      <c r="T411" s="119"/>
      <c r="U411" s="119"/>
      <c r="V411" s="119"/>
      <c r="W411" s="119"/>
      <c r="X411" s="119"/>
      <c r="Y411" s="119"/>
      <c r="Z411" s="119"/>
      <c r="AA411" s="119"/>
      <c r="AB411" s="119"/>
      <c r="AC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9"/>
      <c r="AT411" s="119"/>
      <c r="AU411" s="119"/>
      <c r="AV411" s="119"/>
      <c r="AW411" s="119"/>
      <c r="AX411" s="119"/>
      <c r="AY411" s="119"/>
      <c r="AZ411" s="119"/>
      <c r="BA411" s="119"/>
      <c r="BB411" s="119"/>
      <c r="BC411" s="119"/>
      <c r="BD411" s="119"/>
      <c r="BE411" s="119"/>
      <c r="BF411" s="119"/>
      <c r="BG411" s="119"/>
      <c r="BH411" s="119"/>
      <c r="BI411" s="119"/>
      <c r="BJ411" s="119"/>
      <c r="BK411" s="119"/>
      <c r="BL411" s="26"/>
      <c r="BM411" s="119"/>
      <c r="BN411" s="26"/>
      <c r="BO411" s="119"/>
      <c r="BP411" s="119"/>
      <c r="BQ411" s="119"/>
      <c r="BR411" s="119"/>
      <c r="BS411" s="119"/>
      <c r="BT411" s="119"/>
      <c r="BU411" s="119"/>
      <c r="BV411" s="119"/>
      <c r="BW411" s="119"/>
      <c r="BX411" s="119"/>
      <c r="BY411" s="119"/>
      <c r="BZ411" s="119"/>
      <c r="CA411" s="119"/>
      <c r="CB411" s="119"/>
      <c r="CC411" s="119"/>
      <c r="CD411" s="119"/>
      <c r="CE411" s="119"/>
      <c r="CF411" s="119"/>
      <c r="CG411" s="119"/>
      <c r="CH411" s="119"/>
      <c r="CI411" s="119"/>
      <c r="CJ411" s="119"/>
      <c r="CK411" s="119"/>
      <c r="CL411" s="119"/>
      <c r="CM411" s="119"/>
      <c r="CN411" s="119"/>
      <c r="CO411" s="119"/>
      <c r="CP411" s="119"/>
      <c r="CQ411" s="119"/>
      <c r="CR411" s="119"/>
      <c r="CS411" s="119"/>
      <c r="CT411" s="119"/>
      <c r="CU411" s="119"/>
      <c r="CV411" s="119"/>
      <c r="CW411" s="119"/>
      <c r="CX411" s="119"/>
      <c r="CY411" s="119"/>
      <c r="CZ411" s="119"/>
      <c r="DA411" s="119"/>
      <c r="DB411" s="119"/>
      <c r="DC411" s="119"/>
      <c r="DD411" s="119"/>
      <c r="DE411" s="119"/>
      <c r="DF411" s="119"/>
      <c r="DG411" s="119"/>
      <c r="DH411" s="119"/>
      <c r="DI411" s="119"/>
      <c r="DJ411" s="119"/>
      <c r="DK411" s="119"/>
      <c r="DL411" s="119"/>
      <c r="DM411" s="119"/>
      <c r="DN411" s="119"/>
      <c r="DO411" s="119"/>
      <c r="DP411" s="119"/>
      <c r="DQ411" s="119"/>
      <c r="DR411" s="119"/>
      <c r="DS411" s="119"/>
      <c r="DT411" s="119"/>
      <c r="DU411" s="119"/>
      <c r="DV411" s="119"/>
      <c r="DW411" s="119"/>
      <c r="DX411" s="119"/>
      <c r="DY411" s="119"/>
      <c r="DZ411" s="119"/>
      <c r="EA411" s="119"/>
      <c r="EB411" s="119"/>
      <c r="EC411" s="119"/>
      <c r="ED411" s="119"/>
      <c r="EE411" s="119"/>
      <c r="EF411" s="119"/>
      <c r="EG411" s="119"/>
      <c r="EH411" s="119"/>
      <c r="EI411" s="119"/>
      <c r="EJ411" s="119"/>
      <c r="EK411" s="119"/>
      <c r="EL411" s="119"/>
      <c r="EM411" s="119"/>
      <c r="EN411" s="119"/>
      <c r="EO411" s="119"/>
      <c r="EP411" s="119"/>
      <c r="EQ411" s="119"/>
      <c r="ER411" s="119"/>
      <c r="ES411" s="119"/>
      <c r="ET411" s="119"/>
      <c r="EU411" s="119"/>
      <c r="EV411" s="119"/>
      <c r="EW411" s="119"/>
      <c r="EX411" s="119"/>
      <c r="EY411" s="119"/>
      <c r="EZ411" s="119"/>
      <c r="FA411" s="119"/>
      <c r="FB411" s="119"/>
      <c r="FC411" s="119"/>
      <c r="FD411" s="119"/>
      <c r="FE411" s="119"/>
      <c r="FF411" s="119"/>
      <c r="FG411" s="119"/>
      <c r="FH411" s="119"/>
      <c r="FI411" s="119"/>
      <c r="FJ411" s="119"/>
      <c r="FK411" s="119"/>
      <c r="FL411" s="119"/>
      <c r="FM411" s="119"/>
      <c r="FN411" s="119"/>
      <c r="FO411" s="119"/>
      <c r="FP411" s="119"/>
      <c r="FQ411" s="119"/>
      <c r="FR411" s="119"/>
      <c r="FS411" s="119"/>
      <c r="FT411" s="119"/>
      <c r="FU411" s="119"/>
      <c r="FV411" s="119"/>
      <c r="FW411" s="119"/>
      <c r="FX411" s="119"/>
      <c r="FY411" s="119"/>
      <c r="FZ411" s="119"/>
      <c r="GA411" s="119"/>
      <c r="GB411" s="119"/>
      <c r="GC411" s="119"/>
      <c r="GD411" s="119"/>
      <c r="GE411" s="119"/>
      <c r="GF411" s="119"/>
      <c r="GG411" s="119"/>
      <c r="GH411" s="119"/>
      <c r="GI411" s="119"/>
      <c r="GJ411" s="119"/>
      <c r="GK411" s="119"/>
      <c r="GL411" s="119"/>
      <c r="GM411" s="119"/>
      <c r="GN411" s="119"/>
      <c r="GO411" s="119"/>
      <c r="GP411" s="119"/>
      <c r="GQ411" s="119"/>
      <c r="GR411" s="119"/>
      <c r="GS411" s="119"/>
      <c r="GT411" s="119"/>
      <c r="GU411" s="119"/>
      <c r="GV411" s="119"/>
      <c r="GW411" s="119"/>
      <c r="GX411" s="119"/>
      <c r="GY411" s="119"/>
      <c r="GZ411" s="119"/>
      <c r="HA411" s="119"/>
      <c r="HB411" s="119"/>
      <c r="HC411" s="119"/>
      <c r="HD411" s="119"/>
      <c r="HE411" s="119"/>
      <c r="HF411" s="119"/>
      <c r="HG411" s="119"/>
      <c r="HH411" s="119"/>
      <c r="HI411" s="119"/>
      <c r="HJ411" s="119"/>
      <c r="HK411" s="119"/>
      <c r="HL411" s="119"/>
      <c r="HM411" s="119"/>
      <c r="HN411" s="119"/>
      <c r="HO411" s="119"/>
      <c r="HP411" s="119"/>
      <c r="HQ411" s="119"/>
      <c r="HR411" s="119"/>
      <c r="HS411" s="119"/>
      <c r="HT411" s="119"/>
      <c r="HU411" s="119"/>
      <c r="HV411" s="119"/>
      <c r="HW411" s="119"/>
      <c r="HX411" s="119"/>
      <c r="HY411" s="119"/>
      <c r="HZ411" s="119"/>
      <c r="IA411" s="119"/>
      <c r="IB411" s="119"/>
      <c r="IC411" s="119"/>
      <c r="ID411" s="119"/>
      <c r="IE411" s="119"/>
      <c r="IF411" s="119"/>
      <c r="IG411" s="119"/>
      <c r="IH411" s="119"/>
      <c r="II411" s="119"/>
      <c r="IJ411" s="119"/>
      <c r="IK411" s="119"/>
      <c r="IL411" s="119"/>
      <c r="IM411" s="119"/>
      <c r="IN411" s="119"/>
      <c r="IO411" s="119"/>
      <c r="IP411" s="119"/>
      <c r="IQ411" s="119"/>
      <c r="IR411" s="119"/>
      <c r="IS411" s="119"/>
      <c r="IT411" s="119"/>
      <c r="IU411" s="119"/>
      <c r="IV411" s="119"/>
      <c r="IW411" s="119"/>
      <c r="IX411" s="119"/>
      <c r="IY411" s="119"/>
      <c r="IZ411" s="119"/>
      <c r="JA411" s="119"/>
      <c r="JB411" s="119"/>
      <c r="JC411" s="119"/>
      <c r="JD411" s="119"/>
      <c r="JE411" s="119"/>
      <c r="JF411" s="119"/>
      <c r="JG411" s="119"/>
      <c r="JH411" s="119"/>
      <c r="JI411" s="119"/>
      <c r="JJ411" s="119"/>
      <c r="JK411" s="119"/>
      <c r="JL411" s="119"/>
      <c r="JM411" s="119"/>
      <c r="JN411" s="119"/>
      <c r="JO411" s="119"/>
      <c r="JP411" s="119"/>
      <c r="JQ411" s="119"/>
      <c r="JR411" s="119"/>
      <c r="JS411" s="119"/>
      <c r="JT411" s="119"/>
      <c r="JU411" s="119"/>
      <c r="JV411" s="119"/>
      <c r="JW411" s="119"/>
      <c r="JX411" s="119"/>
      <c r="JY411" s="119"/>
      <c r="JZ411" s="119"/>
      <c r="KA411" s="119"/>
      <c r="KB411" s="119"/>
      <c r="KC411" s="119"/>
      <c r="KD411" s="119"/>
      <c r="KE411" s="119"/>
      <c r="KF411" s="119"/>
      <c r="KG411" s="119"/>
      <c r="KH411" s="119"/>
      <c r="KI411" s="119"/>
      <c r="KJ411" s="119"/>
      <c r="KK411" s="119"/>
      <c r="KL411" s="119"/>
      <c r="KM411" s="119"/>
      <c r="KN411" s="119"/>
      <c r="KO411" s="119"/>
      <c r="KP411" s="119"/>
      <c r="KQ411" s="119"/>
      <c r="KR411" s="119"/>
      <c r="KS411" s="119"/>
      <c r="KT411" s="119"/>
      <c r="KU411" s="119"/>
      <c r="KV411" s="119"/>
      <c r="KW411" s="119"/>
      <c r="KX411" s="119"/>
      <c r="KY411" s="119"/>
      <c r="KZ411" s="119"/>
      <c r="LA411" s="119"/>
      <c r="LB411" s="119"/>
      <c r="LC411" s="119"/>
      <c r="LD411" s="119"/>
      <c r="LE411" s="119"/>
      <c r="LF411" s="119"/>
      <c r="LG411" s="119"/>
      <c r="LH411" s="119"/>
      <c r="LI411" s="119"/>
      <c r="LJ411" s="119"/>
      <c r="LK411" s="119"/>
      <c r="LL411" s="119"/>
      <c r="LM411" s="119"/>
      <c r="LN411" s="119"/>
      <c r="LO411" s="119"/>
      <c r="LP411" s="119"/>
      <c r="LQ411" s="119"/>
      <c r="LR411" s="119"/>
      <c r="LS411" s="119"/>
      <c r="LT411" s="119"/>
      <c r="LU411" s="119"/>
      <c r="LV411" s="119"/>
      <c r="LW411" s="119"/>
      <c r="LX411" s="119"/>
      <c r="LY411" s="119"/>
      <c r="LZ411" s="119"/>
      <c r="MA411" s="119"/>
      <c r="MB411" s="119"/>
      <c r="MC411" s="119"/>
      <c r="MD411" s="119"/>
      <c r="ME411" s="119"/>
      <c r="MF411" s="119"/>
      <c r="MG411" s="119"/>
      <c r="MH411" s="119"/>
      <c r="MI411" s="119"/>
      <c r="MJ411" s="119"/>
      <c r="MK411" s="119"/>
      <c r="ML411" s="119"/>
      <c r="MM411" s="119"/>
      <c r="MN411" s="119"/>
      <c r="MO411" s="119"/>
      <c r="MP411" s="119"/>
      <c r="MQ411" s="119"/>
      <c r="MR411" s="119"/>
      <c r="MS411" s="119"/>
      <c r="MT411" s="119"/>
      <c r="MU411" s="119"/>
      <c r="MV411" s="119"/>
      <c r="MW411" s="119"/>
      <c r="MX411" s="119"/>
      <c r="MY411" s="119"/>
      <c r="MZ411" s="119"/>
    </row>
    <row r="412" spans="1:364" s="27" customFormat="1" x14ac:dyDescent="0.25">
      <c r="A412" s="134"/>
      <c r="B412" s="122"/>
      <c r="C412" s="126"/>
      <c r="D412" s="128"/>
      <c r="E412" s="109"/>
      <c r="F412" s="131"/>
      <c r="G412" s="131"/>
      <c r="H412" s="105" t="s">
        <v>439</v>
      </c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9"/>
      <c r="T412" s="119"/>
      <c r="U412" s="119"/>
      <c r="V412" s="119"/>
      <c r="W412" s="119"/>
      <c r="X412" s="119"/>
      <c r="Y412" s="119"/>
      <c r="Z412" s="119"/>
      <c r="AA412" s="119"/>
      <c r="AB412" s="119"/>
      <c r="AC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9"/>
      <c r="AT412" s="119"/>
      <c r="AU412" s="119"/>
      <c r="AV412" s="119"/>
      <c r="AW412" s="119"/>
      <c r="AX412" s="119"/>
      <c r="AY412" s="119"/>
      <c r="AZ412" s="119"/>
      <c r="BA412" s="119"/>
      <c r="BB412" s="119"/>
      <c r="BC412" s="119"/>
      <c r="BD412" s="119"/>
      <c r="BE412" s="119"/>
      <c r="BF412" s="119"/>
      <c r="BG412" s="119"/>
      <c r="BH412" s="119"/>
      <c r="BI412" s="119"/>
      <c r="BJ412" s="119"/>
      <c r="BK412" s="119"/>
      <c r="BL412" s="26"/>
      <c r="BM412" s="119"/>
      <c r="BN412" s="26"/>
      <c r="BO412" s="119"/>
      <c r="BP412" s="119"/>
      <c r="BQ412" s="119"/>
      <c r="BR412" s="119"/>
      <c r="BS412" s="119"/>
      <c r="BT412" s="119"/>
      <c r="BU412" s="119"/>
      <c r="BV412" s="119"/>
      <c r="BW412" s="119"/>
      <c r="BX412" s="119"/>
      <c r="BY412" s="119"/>
      <c r="BZ412" s="119"/>
      <c r="CA412" s="119"/>
      <c r="CB412" s="119"/>
      <c r="CC412" s="119"/>
      <c r="CD412" s="119"/>
      <c r="CE412" s="119"/>
      <c r="CF412" s="119"/>
      <c r="CG412" s="119"/>
      <c r="CH412" s="119"/>
      <c r="CI412" s="119"/>
      <c r="CJ412" s="119"/>
      <c r="CK412" s="119"/>
      <c r="CL412" s="119"/>
      <c r="CM412" s="119"/>
      <c r="CN412" s="119"/>
      <c r="CO412" s="119"/>
      <c r="CP412" s="119"/>
      <c r="CQ412" s="119"/>
      <c r="CR412" s="119"/>
      <c r="CS412" s="119"/>
      <c r="CT412" s="119"/>
      <c r="CU412" s="119"/>
      <c r="CV412" s="119"/>
      <c r="CW412" s="119"/>
      <c r="CX412" s="119"/>
      <c r="CY412" s="119"/>
      <c r="CZ412" s="119"/>
      <c r="DA412" s="119"/>
      <c r="DB412" s="119"/>
      <c r="DC412" s="119"/>
      <c r="DD412" s="119"/>
      <c r="DE412" s="119"/>
      <c r="DF412" s="119"/>
      <c r="DG412" s="119"/>
      <c r="DH412" s="119"/>
      <c r="DI412" s="119"/>
      <c r="DJ412" s="119"/>
      <c r="DK412" s="119"/>
      <c r="DL412" s="119"/>
      <c r="DM412" s="119"/>
      <c r="DN412" s="119"/>
      <c r="DO412" s="119"/>
      <c r="DP412" s="119"/>
      <c r="DQ412" s="119"/>
      <c r="DR412" s="119"/>
      <c r="DS412" s="119"/>
      <c r="DT412" s="119"/>
      <c r="DU412" s="119"/>
      <c r="DV412" s="119"/>
      <c r="DW412" s="119"/>
      <c r="DX412" s="119"/>
      <c r="DY412" s="119"/>
      <c r="DZ412" s="119"/>
      <c r="EA412" s="119"/>
      <c r="EB412" s="119"/>
      <c r="EC412" s="119"/>
      <c r="ED412" s="119"/>
      <c r="EE412" s="119"/>
      <c r="EF412" s="119"/>
      <c r="EG412" s="119"/>
      <c r="EH412" s="119"/>
      <c r="EI412" s="119"/>
      <c r="EJ412" s="119"/>
      <c r="EK412" s="119"/>
      <c r="EL412" s="119"/>
      <c r="EM412" s="119"/>
      <c r="EN412" s="119"/>
      <c r="EO412" s="119"/>
      <c r="EP412" s="119"/>
      <c r="EQ412" s="119"/>
      <c r="ER412" s="119"/>
      <c r="ES412" s="119"/>
      <c r="ET412" s="119"/>
      <c r="EU412" s="119"/>
      <c r="EV412" s="119"/>
      <c r="EW412" s="119"/>
      <c r="EX412" s="119"/>
      <c r="EY412" s="119"/>
      <c r="EZ412" s="119"/>
      <c r="FA412" s="119"/>
      <c r="FB412" s="119"/>
      <c r="FC412" s="119"/>
      <c r="FD412" s="119"/>
      <c r="FE412" s="119"/>
      <c r="FF412" s="119"/>
      <c r="FG412" s="119"/>
      <c r="FH412" s="119"/>
      <c r="FI412" s="119"/>
      <c r="FJ412" s="119"/>
      <c r="FK412" s="119"/>
      <c r="FL412" s="119"/>
      <c r="FM412" s="119"/>
      <c r="FN412" s="119"/>
      <c r="FO412" s="119"/>
      <c r="FP412" s="119"/>
      <c r="FQ412" s="119"/>
      <c r="FR412" s="119"/>
      <c r="FS412" s="119"/>
      <c r="FT412" s="119"/>
      <c r="FU412" s="119"/>
      <c r="FV412" s="119"/>
      <c r="FW412" s="119"/>
      <c r="FX412" s="119"/>
      <c r="FY412" s="119"/>
      <c r="FZ412" s="119"/>
      <c r="GA412" s="119"/>
      <c r="GB412" s="119"/>
      <c r="GC412" s="119"/>
      <c r="GD412" s="119"/>
      <c r="GE412" s="119"/>
      <c r="GF412" s="119"/>
      <c r="GG412" s="119"/>
      <c r="GH412" s="119"/>
      <c r="GI412" s="119"/>
      <c r="GJ412" s="119"/>
      <c r="GK412" s="119"/>
      <c r="GL412" s="119"/>
      <c r="GM412" s="119"/>
      <c r="GN412" s="119"/>
      <c r="GO412" s="119"/>
      <c r="GP412" s="119"/>
      <c r="GQ412" s="119"/>
      <c r="GR412" s="119"/>
      <c r="GS412" s="119"/>
      <c r="GT412" s="119"/>
      <c r="GU412" s="119"/>
      <c r="GV412" s="119"/>
      <c r="GW412" s="119"/>
      <c r="GX412" s="119"/>
      <c r="GY412" s="119"/>
      <c r="GZ412" s="119"/>
      <c r="HA412" s="119"/>
      <c r="HB412" s="119"/>
      <c r="HC412" s="119"/>
      <c r="HD412" s="119"/>
      <c r="HE412" s="119"/>
      <c r="HF412" s="119"/>
      <c r="HG412" s="119"/>
      <c r="HH412" s="119"/>
      <c r="HI412" s="119"/>
      <c r="HJ412" s="119"/>
      <c r="HK412" s="119"/>
      <c r="HL412" s="119"/>
      <c r="HM412" s="119"/>
      <c r="HN412" s="119"/>
      <c r="HO412" s="119"/>
      <c r="HP412" s="119"/>
      <c r="HQ412" s="119"/>
      <c r="HR412" s="119"/>
      <c r="HS412" s="119"/>
      <c r="HT412" s="119"/>
      <c r="HU412" s="119"/>
      <c r="HV412" s="119"/>
      <c r="HW412" s="119"/>
      <c r="HX412" s="119"/>
      <c r="HY412" s="119"/>
      <c r="HZ412" s="119"/>
      <c r="IA412" s="119"/>
      <c r="IB412" s="119"/>
      <c r="IC412" s="119"/>
      <c r="ID412" s="119"/>
      <c r="IE412" s="119"/>
      <c r="IF412" s="119"/>
      <c r="IG412" s="119"/>
      <c r="IH412" s="119"/>
      <c r="II412" s="119"/>
      <c r="IJ412" s="119"/>
      <c r="IK412" s="119"/>
      <c r="IL412" s="119"/>
      <c r="IM412" s="119"/>
      <c r="IN412" s="119"/>
      <c r="IO412" s="119"/>
      <c r="IP412" s="119"/>
      <c r="IQ412" s="119"/>
      <c r="IR412" s="119"/>
      <c r="IS412" s="119"/>
      <c r="IT412" s="119"/>
      <c r="IU412" s="119"/>
      <c r="IV412" s="119"/>
      <c r="IW412" s="119"/>
      <c r="IX412" s="119"/>
      <c r="IY412" s="119"/>
      <c r="IZ412" s="119"/>
      <c r="JA412" s="119"/>
      <c r="JB412" s="119"/>
      <c r="JC412" s="119"/>
      <c r="JD412" s="119"/>
      <c r="JE412" s="119"/>
      <c r="JF412" s="119"/>
      <c r="JG412" s="119"/>
      <c r="JH412" s="119"/>
      <c r="JI412" s="119"/>
      <c r="JJ412" s="119"/>
      <c r="JK412" s="119"/>
      <c r="JL412" s="119"/>
      <c r="JM412" s="119"/>
      <c r="JN412" s="119"/>
      <c r="JO412" s="119"/>
      <c r="JP412" s="119"/>
      <c r="JQ412" s="119"/>
      <c r="JR412" s="119"/>
      <c r="JS412" s="119"/>
      <c r="JT412" s="119"/>
      <c r="JU412" s="119"/>
      <c r="JV412" s="119"/>
      <c r="JW412" s="119"/>
      <c r="JX412" s="119"/>
      <c r="JY412" s="119"/>
      <c r="JZ412" s="119"/>
      <c r="KA412" s="119"/>
      <c r="KB412" s="119"/>
      <c r="KC412" s="119"/>
      <c r="KD412" s="119"/>
      <c r="KE412" s="119"/>
      <c r="KF412" s="119"/>
      <c r="KG412" s="119"/>
      <c r="KH412" s="119"/>
      <c r="KI412" s="119"/>
      <c r="KJ412" s="119"/>
      <c r="KK412" s="119"/>
      <c r="KL412" s="119"/>
      <c r="KM412" s="119"/>
      <c r="KN412" s="119"/>
      <c r="KO412" s="119"/>
      <c r="KP412" s="119"/>
      <c r="KQ412" s="119"/>
      <c r="KR412" s="119"/>
      <c r="KS412" s="119"/>
      <c r="KT412" s="119"/>
      <c r="KU412" s="119"/>
      <c r="KV412" s="119"/>
      <c r="KW412" s="119"/>
      <c r="KX412" s="119"/>
      <c r="KY412" s="119"/>
      <c r="KZ412" s="119"/>
      <c r="LA412" s="119"/>
      <c r="LB412" s="119"/>
      <c r="LC412" s="119"/>
      <c r="LD412" s="119"/>
      <c r="LE412" s="119"/>
      <c r="LF412" s="119"/>
      <c r="LG412" s="119"/>
      <c r="LH412" s="119"/>
      <c r="LI412" s="119"/>
      <c r="LJ412" s="119"/>
      <c r="LK412" s="119"/>
      <c r="LL412" s="119"/>
      <c r="LM412" s="119"/>
      <c r="LN412" s="119"/>
      <c r="LO412" s="119"/>
      <c r="LP412" s="119"/>
      <c r="LQ412" s="119"/>
      <c r="LR412" s="119"/>
      <c r="LS412" s="119"/>
      <c r="LT412" s="119"/>
      <c r="LU412" s="119"/>
      <c r="LV412" s="119"/>
      <c r="LW412" s="119"/>
      <c r="LX412" s="119"/>
      <c r="LY412" s="119"/>
      <c r="LZ412" s="119"/>
      <c r="MA412" s="119"/>
      <c r="MB412" s="119"/>
      <c r="MC412" s="119"/>
      <c r="MD412" s="119"/>
      <c r="ME412" s="119"/>
      <c r="MF412" s="119"/>
      <c r="MG412" s="119"/>
      <c r="MH412" s="119"/>
      <c r="MI412" s="119"/>
      <c r="MJ412" s="119"/>
      <c r="MK412" s="119"/>
      <c r="ML412" s="119"/>
      <c r="MM412" s="119"/>
      <c r="MN412" s="119"/>
      <c r="MO412" s="119"/>
      <c r="MP412" s="119"/>
      <c r="MQ412" s="119"/>
      <c r="MR412" s="119"/>
      <c r="MS412" s="119"/>
      <c r="MT412" s="119"/>
      <c r="MU412" s="119"/>
      <c r="MV412" s="119"/>
      <c r="MW412" s="119"/>
      <c r="MX412" s="119"/>
      <c r="MY412" s="119"/>
      <c r="MZ412" s="119"/>
    </row>
    <row r="413" spans="1:364" s="27" customFormat="1" x14ac:dyDescent="0.25">
      <c r="A413" s="134"/>
      <c r="B413" s="122"/>
      <c r="C413" s="126"/>
      <c r="D413" s="128"/>
      <c r="E413" s="109" t="s">
        <v>493</v>
      </c>
      <c r="F413" s="131"/>
      <c r="G413" s="131"/>
      <c r="H413" s="106" t="s">
        <v>438</v>
      </c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19"/>
      <c r="T413" s="119"/>
      <c r="U413" s="119"/>
      <c r="V413" s="119"/>
      <c r="W413" s="119"/>
      <c r="X413" s="119"/>
      <c r="Y413" s="119"/>
      <c r="Z413" s="119"/>
      <c r="AA413" s="119"/>
      <c r="AB413" s="119"/>
      <c r="AC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9"/>
      <c r="AT413" s="119"/>
      <c r="AU413" s="119"/>
      <c r="AV413" s="119"/>
      <c r="AW413" s="119"/>
      <c r="AX413" s="119"/>
      <c r="AY413" s="119"/>
      <c r="AZ413" s="119"/>
      <c r="BA413" s="119"/>
      <c r="BB413" s="119"/>
      <c r="BC413" s="119"/>
      <c r="BD413" s="119"/>
      <c r="BE413" s="119"/>
      <c r="BF413" s="119"/>
      <c r="BG413" s="119"/>
      <c r="BH413" s="119"/>
      <c r="BI413" s="119"/>
      <c r="BJ413" s="119"/>
      <c r="BK413" s="119"/>
      <c r="BL413" s="26"/>
      <c r="BM413" s="119"/>
      <c r="BN413" s="119"/>
      <c r="BO413" s="119"/>
      <c r="BP413" s="119"/>
      <c r="BQ413" s="119"/>
      <c r="BR413" s="119"/>
      <c r="BS413" s="119"/>
      <c r="BT413" s="119"/>
      <c r="BU413" s="119"/>
      <c r="BV413" s="119"/>
      <c r="BW413" s="119"/>
      <c r="BX413" s="119"/>
      <c r="BY413" s="119"/>
      <c r="BZ413" s="119"/>
      <c r="CA413" s="119"/>
      <c r="CB413" s="119"/>
      <c r="CC413" s="119"/>
      <c r="CD413" s="119"/>
      <c r="CE413" s="119"/>
      <c r="CF413" s="119"/>
      <c r="CG413" s="119"/>
      <c r="CH413" s="119"/>
      <c r="CI413" s="119"/>
      <c r="CJ413" s="119"/>
      <c r="CK413" s="119"/>
      <c r="CL413" s="119"/>
      <c r="CM413" s="119"/>
      <c r="CN413" s="119"/>
      <c r="CO413" s="119"/>
      <c r="CP413" s="119"/>
      <c r="CQ413" s="119"/>
      <c r="CR413" s="119"/>
      <c r="CS413" s="119"/>
      <c r="CT413" s="119"/>
      <c r="CU413" s="119"/>
      <c r="CV413" s="119"/>
      <c r="CW413" s="119"/>
      <c r="CX413" s="119"/>
      <c r="CY413" s="119"/>
      <c r="CZ413" s="119"/>
      <c r="DA413" s="119"/>
      <c r="DB413" s="119"/>
      <c r="DC413" s="119"/>
      <c r="DD413" s="119"/>
      <c r="DE413" s="119"/>
      <c r="DF413" s="119"/>
      <c r="DG413" s="119"/>
      <c r="DH413" s="119"/>
      <c r="DI413" s="119"/>
      <c r="DJ413" s="119"/>
      <c r="DK413" s="119"/>
      <c r="DL413" s="119"/>
      <c r="DM413" s="119"/>
      <c r="DN413" s="119"/>
      <c r="DO413" s="119"/>
      <c r="DP413" s="119"/>
      <c r="DQ413" s="119"/>
      <c r="DR413" s="119"/>
      <c r="DS413" s="119"/>
      <c r="DT413" s="119"/>
      <c r="DU413" s="119"/>
      <c r="DV413" s="119"/>
      <c r="DW413" s="119"/>
      <c r="DX413" s="119"/>
      <c r="DY413" s="119"/>
      <c r="DZ413" s="119"/>
      <c r="EA413" s="119"/>
      <c r="EB413" s="119"/>
      <c r="EC413" s="119"/>
      <c r="ED413" s="119"/>
      <c r="EE413" s="119"/>
      <c r="EF413" s="119"/>
      <c r="EG413" s="119"/>
      <c r="EH413" s="119"/>
      <c r="EI413" s="119"/>
      <c r="EJ413" s="119"/>
      <c r="EK413" s="119"/>
      <c r="EL413" s="119"/>
      <c r="EM413" s="119"/>
      <c r="EN413" s="119"/>
      <c r="EO413" s="119"/>
      <c r="EP413" s="119"/>
      <c r="EQ413" s="119"/>
      <c r="ER413" s="119"/>
      <c r="ES413" s="119"/>
      <c r="ET413" s="119"/>
      <c r="EU413" s="119"/>
      <c r="EV413" s="119"/>
      <c r="EW413" s="119"/>
      <c r="EX413" s="119"/>
      <c r="EY413" s="119"/>
      <c r="EZ413" s="119"/>
      <c r="FA413" s="119"/>
      <c r="FB413" s="119"/>
      <c r="FC413" s="119"/>
      <c r="FD413" s="119"/>
      <c r="FE413" s="119"/>
      <c r="FF413" s="119"/>
      <c r="FG413" s="119"/>
      <c r="FH413" s="119"/>
      <c r="FI413" s="119"/>
      <c r="FJ413" s="119"/>
      <c r="FK413" s="119"/>
      <c r="FL413" s="119"/>
      <c r="FM413" s="119"/>
      <c r="FN413" s="119"/>
      <c r="FO413" s="119"/>
      <c r="FP413" s="119"/>
      <c r="FQ413" s="119"/>
      <c r="FR413" s="119"/>
      <c r="FS413" s="119"/>
      <c r="FT413" s="119"/>
      <c r="FU413" s="119"/>
      <c r="FV413" s="119"/>
      <c r="FW413" s="119"/>
      <c r="FX413" s="119"/>
      <c r="FY413" s="119"/>
      <c r="FZ413" s="119"/>
      <c r="GA413" s="119"/>
      <c r="GB413" s="119"/>
      <c r="GC413" s="119"/>
      <c r="GD413" s="119"/>
      <c r="GE413" s="119"/>
      <c r="GF413" s="119"/>
      <c r="GG413" s="119"/>
      <c r="GH413" s="119"/>
      <c r="GI413" s="119"/>
      <c r="GJ413" s="119"/>
      <c r="GK413" s="119"/>
      <c r="GL413" s="119"/>
      <c r="GM413" s="119"/>
      <c r="GN413" s="119"/>
      <c r="GO413" s="119"/>
      <c r="GP413" s="119"/>
      <c r="GQ413" s="119"/>
      <c r="GR413" s="119"/>
      <c r="GS413" s="119"/>
      <c r="GT413" s="119"/>
      <c r="GU413" s="119"/>
      <c r="GV413" s="119"/>
      <c r="GW413" s="119"/>
      <c r="GX413" s="119"/>
      <c r="GY413" s="119"/>
      <c r="GZ413" s="119"/>
      <c r="HA413" s="119"/>
      <c r="HB413" s="119"/>
      <c r="HC413" s="119"/>
      <c r="HD413" s="119"/>
      <c r="HE413" s="119"/>
      <c r="HF413" s="119"/>
      <c r="HG413" s="119"/>
      <c r="HH413" s="119"/>
      <c r="HI413" s="119"/>
      <c r="HJ413" s="119"/>
      <c r="HK413" s="119"/>
      <c r="HL413" s="119"/>
      <c r="HM413" s="119"/>
      <c r="HN413" s="119"/>
      <c r="HO413" s="119"/>
      <c r="HP413" s="119"/>
      <c r="HQ413" s="119"/>
      <c r="HR413" s="119"/>
      <c r="HS413" s="119"/>
      <c r="HT413" s="119"/>
      <c r="HU413" s="119"/>
      <c r="HV413" s="119"/>
      <c r="HW413" s="119"/>
      <c r="HX413" s="119"/>
      <c r="HY413" s="119"/>
      <c r="HZ413" s="119"/>
      <c r="IA413" s="119"/>
      <c r="IB413" s="119"/>
      <c r="IC413" s="119"/>
      <c r="ID413" s="119"/>
      <c r="IE413" s="119"/>
      <c r="IF413" s="119"/>
      <c r="IG413" s="119"/>
      <c r="IH413" s="119"/>
      <c r="II413" s="119"/>
      <c r="IJ413" s="119"/>
      <c r="IK413" s="119"/>
      <c r="IL413" s="119"/>
      <c r="IM413" s="119"/>
      <c r="IN413" s="119"/>
      <c r="IO413" s="119"/>
      <c r="IP413" s="119"/>
      <c r="IQ413" s="119"/>
      <c r="IR413" s="119"/>
      <c r="IS413" s="119"/>
      <c r="IT413" s="119"/>
      <c r="IU413" s="119"/>
      <c r="IV413" s="119"/>
      <c r="IW413" s="119"/>
      <c r="IX413" s="119"/>
      <c r="IY413" s="119"/>
      <c r="IZ413" s="119"/>
      <c r="JA413" s="119"/>
      <c r="JB413" s="119"/>
      <c r="JC413" s="119"/>
      <c r="JD413" s="119"/>
      <c r="JE413" s="119"/>
      <c r="JF413" s="119"/>
      <c r="JG413" s="119"/>
      <c r="JH413" s="119"/>
      <c r="JI413" s="119"/>
      <c r="JJ413" s="119"/>
      <c r="JK413" s="119"/>
      <c r="JL413" s="119"/>
      <c r="JM413" s="119"/>
      <c r="JN413" s="119"/>
      <c r="JO413" s="119"/>
      <c r="JP413" s="119"/>
      <c r="JQ413" s="119"/>
      <c r="JR413" s="119"/>
      <c r="JS413" s="119"/>
      <c r="JT413" s="119"/>
      <c r="JU413" s="119"/>
      <c r="JV413" s="119"/>
      <c r="JW413" s="119"/>
      <c r="JX413" s="119"/>
      <c r="JY413" s="119"/>
      <c r="JZ413" s="119"/>
      <c r="KA413" s="119"/>
      <c r="KB413" s="119"/>
      <c r="KC413" s="119"/>
      <c r="KD413" s="119"/>
      <c r="KE413" s="119"/>
      <c r="KF413" s="119"/>
      <c r="KG413" s="119"/>
      <c r="KH413" s="119"/>
      <c r="KI413" s="119"/>
      <c r="KJ413" s="119"/>
      <c r="KK413" s="119"/>
      <c r="KL413" s="119"/>
      <c r="KM413" s="119"/>
      <c r="KN413" s="119"/>
      <c r="KO413" s="119"/>
      <c r="KP413" s="119"/>
      <c r="KQ413" s="119"/>
      <c r="KR413" s="119"/>
      <c r="KS413" s="119"/>
      <c r="KT413" s="119"/>
      <c r="KU413" s="119"/>
      <c r="KV413" s="119"/>
      <c r="KW413" s="119"/>
      <c r="KX413" s="119"/>
      <c r="KY413" s="119"/>
      <c r="KZ413" s="119"/>
      <c r="LA413" s="119"/>
      <c r="LB413" s="119"/>
      <c r="LC413" s="119"/>
      <c r="LD413" s="119"/>
      <c r="LE413" s="119"/>
      <c r="LF413" s="119"/>
      <c r="LG413" s="119"/>
      <c r="LH413" s="119"/>
      <c r="LI413" s="119"/>
      <c r="LJ413" s="119"/>
      <c r="LK413" s="119"/>
      <c r="LL413" s="119"/>
      <c r="LM413" s="119"/>
      <c r="LN413" s="119"/>
      <c r="LO413" s="119"/>
      <c r="LP413" s="119"/>
      <c r="LQ413" s="119"/>
      <c r="LR413" s="119"/>
      <c r="LS413" s="119"/>
      <c r="LT413" s="119"/>
      <c r="LU413" s="119"/>
      <c r="LV413" s="119"/>
      <c r="LW413" s="119"/>
      <c r="LX413" s="119"/>
      <c r="LY413" s="119"/>
      <c r="LZ413" s="119"/>
      <c r="MA413" s="119"/>
      <c r="MB413" s="119"/>
      <c r="MC413" s="119"/>
      <c r="MD413" s="119"/>
      <c r="ME413" s="119"/>
      <c r="MF413" s="119"/>
      <c r="MG413" s="119"/>
      <c r="MH413" s="119"/>
      <c r="MI413" s="119"/>
      <c r="MJ413" s="119"/>
      <c r="MK413" s="119"/>
      <c r="ML413" s="119"/>
      <c r="MM413" s="119"/>
      <c r="MN413" s="119"/>
      <c r="MO413" s="119"/>
      <c r="MP413" s="119"/>
      <c r="MQ413" s="119"/>
      <c r="MR413" s="119"/>
      <c r="MS413" s="119"/>
      <c r="MT413" s="119"/>
      <c r="MU413" s="119"/>
      <c r="MV413" s="119"/>
      <c r="MW413" s="119"/>
      <c r="MX413" s="119"/>
      <c r="MY413" s="119"/>
      <c r="MZ413" s="119"/>
    </row>
    <row r="414" spans="1:364" s="27" customFormat="1" x14ac:dyDescent="0.25">
      <c r="A414" s="135"/>
      <c r="B414" s="123"/>
      <c r="C414" s="126"/>
      <c r="D414" s="129"/>
      <c r="E414" s="109"/>
      <c r="F414" s="131"/>
      <c r="G414" s="132"/>
      <c r="H414" s="114" t="s">
        <v>149</v>
      </c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19"/>
      <c r="T414" s="119"/>
      <c r="U414" s="119"/>
      <c r="V414" s="119"/>
      <c r="W414" s="119"/>
      <c r="X414" s="119"/>
      <c r="Y414" s="119"/>
      <c r="Z414" s="119"/>
      <c r="AA414" s="119"/>
      <c r="AB414" s="119"/>
      <c r="AC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9"/>
      <c r="AT414" s="119"/>
      <c r="AU414" s="119"/>
      <c r="AV414" s="119"/>
      <c r="AW414" s="119"/>
      <c r="AX414" s="119"/>
      <c r="AY414" s="119"/>
      <c r="AZ414" s="119"/>
      <c r="BA414" s="119"/>
      <c r="BB414" s="119"/>
      <c r="BC414" s="119"/>
      <c r="BD414" s="119"/>
      <c r="BE414" s="119"/>
      <c r="BF414" s="119"/>
      <c r="BG414" s="119"/>
      <c r="BH414" s="119"/>
      <c r="BI414" s="119"/>
      <c r="BJ414" s="119"/>
      <c r="BK414" s="119"/>
      <c r="BL414" s="26"/>
      <c r="BM414" s="119"/>
      <c r="BN414" s="119"/>
      <c r="BO414" s="119"/>
      <c r="BP414" s="119"/>
      <c r="BQ414" s="119"/>
      <c r="BR414" s="119"/>
      <c r="BS414" s="119"/>
      <c r="BT414" s="119"/>
      <c r="BU414" s="119"/>
      <c r="BV414" s="119"/>
      <c r="BW414" s="119"/>
      <c r="BX414" s="119"/>
      <c r="BY414" s="119"/>
      <c r="BZ414" s="119"/>
      <c r="CA414" s="119"/>
      <c r="CB414" s="119"/>
      <c r="CC414" s="119"/>
      <c r="CD414" s="119"/>
      <c r="CE414" s="119"/>
      <c r="CF414" s="119"/>
      <c r="CG414" s="119"/>
      <c r="CH414" s="119"/>
      <c r="CI414" s="119"/>
      <c r="CJ414" s="119"/>
      <c r="CK414" s="119"/>
      <c r="CL414" s="119"/>
      <c r="CM414" s="119"/>
      <c r="CN414" s="119"/>
      <c r="CO414" s="119"/>
      <c r="CP414" s="119"/>
      <c r="CQ414" s="119"/>
      <c r="CR414" s="119"/>
      <c r="CS414" s="119"/>
      <c r="CT414" s="119"/>
      <c r="CU414" s="119"/>
      <c r="CV414" s="119"/>
      <c r="CW414" s="119"/>
      <c r="CX414" s="119"/>
      <c r="CY414" s="119"/>
      <c r="CZ414" s="119"/>
      <c r="DA414" s="119"/>
      <c r="DB414" s="119"/>
      <c r="DC414" s="119"/>
      <c r="DD414" s="119"/>
      <c r="DE414" s="119"/>
      <c r="DF414" s="119"/>
      <c r="DG414" s="119"/>
      <c r="DH414" s="119"/>
      <c r="DI414" s="119"/>
      <c r="DJ414" s="119"/>
      <c r="DK414" s="119"/>
      <c r="DL414" s="119"/>
      <c r="DM414" s="119"/>
      <c r="DN414" s="119"/>
      <c r="DO414" s="119"/>
      <c r="DP414" s="119"/>
      <c r="DQ414" s="119"/>
      <c r="DR414" s="119"/>
      <c r="DS414" s="119"/>
      <c r="DT414" s="119"/>
      <c r="DU414" s="119"/>
      <c r="DV414" s="119"/>
      <c r="DW414" s="119"/>
      <c r="DX414" s="119"/>
      <c r="DY414" s="119"/>
      <c r="DZ414" s="119"/>
      <c r="EA414" s="119"/>
      <c r="EB414" s="119"/>
      <c r="EC414" s="119"/>
      <c r="ED414" s="119"/>
      <c r="EE414" s="119"/>
      <c r="EF414" s="119"/>
      <c r="EG414" s="119"/>
      <c r="EH414" s="119"/>
      <c r="EI414" s="119"/>
      <c r="EJ414" s="119"/>
      <c r="EK414" s="119"/>
      <c r="EL414" s="119"/>
      <c r="EM414" s="119"/>
      <c r="EN414" s="119"/>
      <c r="EO414" s="119"/>
      <c r="EP414" s="119"/>
      <c r="EQ414" s="119"/>
      <c r="ER414" s="119"/>
      <c r="ES414" s="119"/>
      <c r="ET414" s="119"/>
      <c r="EU414" s="119"/>
      <c r="EV414" s="119"/>
      <c r="EW414" s="119"/>
      <c r="EX414" s="119"/>
      <c r="EY414" s="119"/>
      <c r="EZ414" s="119"/>
      <c r="FA414" s="119"/>
      <c r="FB414" s="119"/>
      <c r="FC414" s="119"/>
      <c r="FD414" s="119"/>
      <c r="FE414" s="119"/>
      <c r="FF414" s="119"/>
      <c r="FG414" s="119"/>
      <c r="FH414" s="119"/>
      <c r="FI414" s="119"/>
      <c r="FJ414" s="119"/>
      <c r="FK414" s="119"/>
      <c r="FL414" s="119"/>
      <c r="FM414" s="119"/>
      <c r="FN414" s="119"/>
      <c r="FO414" s="119"/>
      <c r="FP414" s="119"/>
      <c r="FQ414" s="119"/>
      <c r="FR414" s="119"/>
      <c r="FS414" s="119"/>
      <c r="FT414" s="119"/>
      <c r="FU414" s="119"/>
      <c r="FV414" s="119"/>
      <c r="FW414" s="119"/>
      <c r="FX414" s="119"/>
      <c r="FY414" s="119"/>
      <c r="FZ414" s="119"/>
      <c r="GA414" s="119"/>
      <c r="GB414" s="119"/>
      <c r="GC414" s="119"/>
      <c r="GD414" s="119"/>
      <c r="GE414" s="119"/>
      <c r="GF414" s="119"/>
      <c r="GG414" s="119"/>
      <c r="GH414" s="119"/>
      <c r="GI414" s="119"/>
      <c r="GJ414" s="119"/>
      <c r="GK414" s="119"/>
      <c r="GL414" s="119"/>
      <c r="GM414" s="119"/>
      <c r="GN414" s="119"/>
      <c r="GO414" s="119"/>
      <c r="GP414" s="119"/>
      <c r="GQ414" s="119"/>
      <c r="GR414" s="119"/>
      <c r="GS414" s="119"/>
      <c r="GT414" s="119"/>
      <c r="GU414" s="119"/>
      <c r="GV414" s="119"/>
      <c r="GW414" s="119"/>
      <c r="GX414" s="119"/>
      <c r="GY414" s="119"/>
      <c r="GZ414" s="119"/>
      <c r="HA414" s="119"/>
      <c r="HB414" s="119"/>
      <c r="HC414" s="119"/>
      <c r="HD414" s="119"/>
      <c r="HE414" s="119"/>
      <c r="HF414" s="119"/>
      <c r="HG414" s="119"/>
      <c r="HH414" s="119"/>
      <c r="HI414" s="119"/>
      <c r="HJ414" s="119"/>
      <c r="HK414" s="119"/>
      <c r="HL414" s="119"/>
      <c r="HM414" s="119"/>
      <c r="HN414" s="119"/>
      <c r="HO414" s="119"/>
      <c r="HP414" s="119"/>
      <c r="HQ414" s="119"/>
      <c r="HR414" s="119"/>
      <c r="HS414" s="119"/>
      <c r="HT414" s="119"/>
      <c r="HU414" s="119"/>
      <c r="HV414" s="119"/>
      <c r="HW414" s="119"/>
      <c r="HX414" s="119"/>
      <c r="HY414" s="119"/>
      <c r="HZ414" s="119"/>
      <c r="IA414" s="119"/>
      <c r="IB414" s="119"/>
      <c r="IC414" s="119"/>
      <c r="ID414" s="119"/>
      <c r="IE414" s="119"/>
      <c r="IF414" s="119"/>
      <c r="IG414" s="119"/>
      <c r="IH414" s="119"/>
      <c r="II414" s="119"/>
      <c r="IJ414" s="119"/>
      <c r="IK414" s="119"/>
      <c r="IL414" s="119"/>
      <c r="IM414" s="119"/>
      <c r="IN414" s="119"/>
      <c r="IO414" s="119"/>
      <c r="IP414" s="119"/>
      <c r="IQ414" s="119"/>
      <c r="IR414" s="119"/>
      <c r="IS414" s="119"/>
      <c r="IT414" s="119"/>
      <c r="IU414" s="119"/>
      <c r="IV414" s="119"/>
      <c r="IW414" s="119"/>
      <c r="IX414" s="119"/>
      <c r="IY414" s="119"/>
      <c r="IZ414" s="119"/>
      <c r="JA414" s="119"/>
      <c r="JB414" s="119"/>
      <c r="JC414" s="119"/>
      <c r="JD414" s="119"/>
      <c r="JE414" s="119"/>
      <c r="JF414" s="119"/>
      <c r="JG414" s="119"/>
      <c r="JH414" s="119"/>
      <c r="JI414" s="119"/>
      <c r="JJ414" s="119"/>
      <c r="JK414" s="119"/>
      <c r="JL414" s="119"/>
      <c r="JM414" s="119"/>
      <c r="JN414" s="119"/>
      <c r="JO414" s="119"/>
      <c r="JP414" s="119"/>
      <c r="JQ414" s="119"/>
      <c r="JR414" s="119"/>
      <c r="JS414" s="119"/>
      <c r="JT414" s="119"/>
      <c r="JU414" s="119"/>
      <c r="JV414" s="119"/>
      <c r="JW414" s="119"/>
      <c r="JX414" s="119"/>
      <c r="JY414" s="119"/>
      <c r="JZ414" s="119"/>
      <c r="KA414" s="119"/>
      <c r="KB414" s="119"/>
      <c r="KC414" s="119"/>
      <c r="KD414" s="119"/>
      <c r="KE414" s="119"/>
      <c r="KF414" s="119"/>
      <c r="KG414" s="119"/>
      <c r="KH414" s="119"/>
      <c r="KI414" s="119"/>
      <c r="KJ414" s="119"/>
      <c r="KK414" s="119"/>
      <c r="KL414" s="119"/>
      <c r="KM414" s="119"/>
      <c r="KN414" s="119"/>
      <c r="KO414" s="119"/>
      <c r="KP414" s="119"/>
      <c r="KQ414" s="119"/>
      <c r="KR414" s="119"/>
      <c r="KS414" s="119"/>
      <c r="KT414" s="119"/>
      <c r="KU414" s="119"/>
      <c r="KV414" s="119"/>
      <c r="KW414" s="119"/>
      <c r="KX414" s="119"/>
      <c r="KY414" s="119"/>
      <c r="KZ414" s="119"/>
      <c r="LA414" s="119"/>
      <c r="LB414" s="119"/>
      <c r="LC414" s="119"/>
      <c r="LD414" s="119"/>
      <c r="LE414" s="119"/>
      <c r="LF414" s="119"/>
      <c r="LG414" s="119"/>
      <c r="LH414" s="119"/>
      <c r="LI414" s="119"/>
      <c r="LJ414" s="119"/>
      <c r="LK414" s="119"/>
      <c r="LL414" s="119"/>
      <c r="LM414" s="119"/>
      <c r="LN414" s="119"/>
      <c r="LO414" s="119"/>
      <c r="LP414" s="119"/>
      <c r="LQ414" s="119"/>
      <c r="LR414" s="119"/>
      <c r="LS414" s="119"/>
      <c r="LT414" s="119"/>
      <c r="LU414" s="119"/>
      <c r="LV414" s="119"/>
      <c r="LW414" s="119"/>
      <c r="LX414" s="119"/>
      <c r="LY414" s="119"/>
      <c r="LZ414" s="119"/>
      <c r="MA414" s="119"/>
      <c r="MB414" s="119"/>
      <c r="MC414" s="119"/>
      <c r="MD414" s="119"/>
      <c r="ME414" s="119"/>
      <c r="MF414" s="119"/>
      <c r="MG414" s="119"/>
      <c r="MH414" s="119"/>
      <c r="MI414" s="119"/>
      <c r="MJ414" s="119"/>
      <c r="MK414" s="119"/>
      <c r="ML414" s="119"/>
      <c r="MM414" s="119"/>
      <c r="MN414" s="119"/>
      <c r="MO414" s="119"/>
      <c r="MP414" s="119"/>
      <c r="MQ414" s="119"/>
      <c r="MR414" s="119"/>
      <c r="MS414" s="119"/>
      <c r="MT414" s="119"/>
      <c r="MU414" s="119"/>
      <c r="MV414" s="119"/>
      <c r="MW414" s="119"/>
      <c r="MX414" s="119"/>
      <c r="MY414" s="119"/>
      <c r="MZ414" s="119"/>
    </row>
    <row r="415" spans="1:364" s="27" customFormat="1" x14ac:dyDescent="0.25">
      <c r="A415" s="121"/>
      <c r="B415" s="124" t="e">
        <f>VLOOKUP(A415,Rules!$B$8:$C$154,2,0)</f>
        <v>#N/A</v>
      </c>
      <c r="C415" s="125">
        <f t="shared" ref="C415" si="3">SUM(I416:XX416)</f>
        <v>0</v>
      </c>
      <c r="D415" s="127"/>
      <c r="E415" s="110" t="s">
        <v>492</v>
      </c>
      <c r="F415" s="130" t="e">
        <f>VLOOKUP(A415,Table2[],10,0)</f>
        <v>#N/A</v>
      </c>
      <c r="G415" s="130"/>
      <c r="H415" s="113" t="s">
        <v>440</v>
      </c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9"/>
      <c r="T415" s="119"/>
      <c r="U415" s="119"/>
      <c r="V415" s="119"/>
      <c r="W415" s="119"/>
      <c r="X415" s="119"/>
      <c r="Y415" s="119"/>
      <c r="Z415" s="119"/>
      <c r="AA415" s="119"/>
      <c r="AB415" s="119"/>
      <c r="AC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9"/>
      <c r="AT415" s="119"/>
      <c r="AU415" s="119"/>
      <c r="AV415" s="119"/>
      <c r="AW415" s="119"/>
      <c r="AX415" s="119"/>
      <c r="AY415" s="119"/>
      <c r="AZ415" s="119"/>
      <c r="BA415" s="119"/>
      <c r="BB415" s="119"/>
      <c r="BC415" s="119"/>
      <c r="BD415" s="119"/>
      <c r="BE415" s="119"/>
      <c r="BF415" s="119"/>
      <c r="BG415" s="119"/>
      <c r="BH415" s="119"/>
      <c r="BI415" s="119"/>
      <c r="BJ415" s="119"/>
      <c r="BK415" s="119"/>
      <c r="BL415" s="26"/>
      <c r="BM415" s="119"/>
      <c r="BN415" s="26"/>
      <c r="BO415" s="119"/>
      <c r="BP415" s="119"/>
      <c r="BQ415" s="119"/>
      <c r="BR415" s="119"/>
      <c r="BS415" s="119"/>
      <c r="BT415" s="119"/>
      <c r="BU415" s="119"/>
      <c r="BV415" s="119"/>
      <c r="BW415" s="119"/>
      <c r="BX415" s="119"/>
      <c r="BY415" s="119"/>
      <c r="BZ415" s="119"/>
      <c r="CA415" s="119"/>
      <c r="CB415" s="119"/>
      <c r="CC415" s="119"/>
      <c r="CD415" s="119"/>
      <c r="CE415" s="119"/>
      <c r="CF415" s="119"/>
      <c r="CG415" s="119"/>
      <c r="CH415" s="119"/>
      <c r="CI415" s="119"/>
      <c r="CJ415" s="119"/>
      <c r="CK415" s="119"/>
      <c r="CL415" s="119"/>
      <c r="CM415" s="119"/>
      <c r="CN415" s="119"/>
      <c r="CO415" s="119"/>
      <c r="CP415" s="119"/>
      <c r="CQ415" s="119"/>
      <c r="CR415" s="119"/>
      <c r="CS415" s="119"/>
      <c r="CT415" s="119"/>
      <c r="CU415" s="119"/>
      <c r="CV415" s="119"/>
      <c r="CW415" s="119"/>
      <c r="CX415" s="119"/>
      <c r="CY415" s="119"/>
      <c r="CZ415" s="119"/>
      <c r="DA415" s="119"/>
      <c r="DB415" s="119"/>
      <c r="DC415" s="119"/>
      <c r="DD415" s="119"/>
      <c r="DE415" s="119"/>
      <c r="DF415" s="119"/>
      <c r="DG415" s="119"/>
      <c r="DH415" s="119"/>
      <c r="DI415" s="119"/>
      <c r="DJ415" s="119"/>
      <c r="DK415" s="119"/>
      <c r="DL415" s="119"/>
      <c r="DM415" s="119"/>
      <c r="DN415" s="119"/>
      <c r="DO415" s="119"/>
      <c r="DP415" s="119"/>
      <c r="DQ415" s="119"/>
      <c r="DR415" s="119"/>
      <c r="DS415" s="119"/>
      <c r="DT415" s="119"/>
      <c r="DU415" s="119"/>
      <c r="DV415" s="119"/>
      <c r="DW415" s="119"/>
      <c r="DX415" s="119"/>
      <c r="DY415" s="119"/>
      <c r="DZ415" s="119"/>
      <c r="EA415" s="119"/>
      <c r="EB415" s="119"/>
      <c r="EC415" s="119"/>
      <c r="ED415" s="119"/>
      <c r="EE415" s="119"/>
      <c r="EF415" s="119"/>
      <c r="EG415" s="119"/>
      <c r="EH415" s="119"/>
      <c r="EI415" s="119"/>
      <c r="EJ415" s="119"/>
      <c r="EK415" s="119"/>
      <c r="EL415" s="119"/>
      <c r="EM415" s="119"/>
      <c r="EN415" s="119"/>
      <c r="EO415" s="119"/>
      <c r="EP415" s="119"/>
      <c r="EQ415" s="119"/>
      <c r="ER415" s="119"/>
      <c r="ES415" s="119"/>
      <c r="ET415" s="119"/>
      <c r="EU415" s="119"/>
      <c r="EV415" s="119"/>
      <c r="EW415" s="119"/>
      <c r="EX415" s="119"/>
      <c r="EY415" s="119"/>
      <c r="EZ415" s="119"/>
      <c r="FA415" s="119"/>
      <c r="FB415" s="119"/>
      <c r="FC415" s="119"/>
      <c r="FD415" s="119"/>
      <c r="FE415" s="119"/>
      <c r="FF415" s="119"/>
      <c r="FG415" s="119"/>
      <c r="FH415" s="119"/>
      <c r="FI415" s="119"/>
      <c r="FJ415" s="119"/>
      <c r="FK415" s="119"/>
      <c r="FL415" s="119"/>
      <c r="FM415" s="119"/>
      <c r="FN415" s="119"/>
      <c r="FO415" s="119"/>
      <c r="FP415" s="119"/>
      <c r="FQ415" s="119"/>
      <c r="FR415" s="119"/>
      <c r="FS415" s="119"/>
      <c r="FT415" s="119"/>
      <c r="FU415" s="119"/>
      <c r="FV415" s="119"/>
      <c r="FW415" s="119"/>
      <c r="FX415" s="119"/>
      <c r="FY415" s="119"/>
      <c r="FZ415" s="119"/>
      <c r="GA415" s="119"/>
      <c r="GB415" s="119"/>
      <c r="GC415" s="119"/>
      <c r="GD415" s="119"/>
      <c r="GE415" s="119"/>
      <c r="GF415" s="119"/>
      <c r="GG415" s="119"/>
      <c r="GH415" s="119"/>
      <c r="GI415" s="119"/>
      <c r="GJ415" s="119"/>
      <c r="GK415" s="119"/>
      <c r="GL415" s="119"/>
      <c r="GM415" s="119"/>
      <c r="GN415" s="119"/>
      <c r="GO415" s="119"/>
      <c r="GP415" s="119"/>
      <c r="GQ415" s="119"/>
      <c r="GR415" s="119"/>
      <c r="GS415" s="119"/>
      <c r="GT415" s="119"/>
      <c r="GU415" s="119"/>
      <c r="GV415" s="119"/>
      <c r="GW415" s="119"/>
      <c r="GX415" s="119"/>
      <c r="GY415" s="119"/>
      <c r="GZ415" s="119"/>
      <c r="HA415" s="119"/>
      <c r="HB415" s="119"/>
      <c r="HC415" s="119"/>
      <c r="HD415" s="119"/>
      <c r="HE415" s="119"/>
      <c r="HF415" s="119"/>
      <c r="HG415" s="119"/>
      <c r="HH415" s="119"/>
      <c r="HI415" s="119"/>
      <c r="HJ415" s="119"/>
      <c r="HK415" s="119"/>
      <c r="HL415" s="119"/>
      <c r="HM415" s="119"/>
      <c r="HN415" s="119"/>
      <c r="HO415" s="119"/>
      <c r="HP415" s="119"/>
      <c r="HQ415" s="119"/>
      <c r="HR415" s="119"/>
      <c r="HS415" s="119"/>
      <c r="HT415" s="119"/>
      <c r="HU415" s="119"/>
      <c r="HV415" s="119"/>
      <c r="HW415" s="119"/>
      <c r="HX415" s="119"/>
      <c r="HY415" s="119"/>
      <c r="HZ415" s="119"/>
      <c r="IA415" s="119"/>
      <c r="IB415" s="119"/>
      <c r="IC415" s="119"/>
      <c r="ID415" s="119"/>
      <c r="IE415" s="119"/>
      <c r="IF415" s="119"/>
      <c r="IG415" s="119"/>
      <c r="IH415" s="119"/>
      <c r="II415" s="119"/>
      <c r="IJ415" s="119"/>
      <c r="IK415" s="119"/>
      <c r="IL415" s="119"/>
      <c r="IM415" s="119"/>
      <c r="IN415" s="119"/>
      <c r="IO415" s="119"/>
      <c r="IP415" s="119"/>
      <c r="IQ415" s="119"/>
      <c r="IR415" s="119"/>
      <c r="IS415" s="119"/>
      <c r="IT415" s="119"/>
      <c r="IU415" s="119"/>
      <c r="IV415" s="119"/>
      <c r="IW415" s="119"/>
      <c r="IX415" s="119"/>
      <c r="IY415" s="119"/>
      <c r="IZ415" s="119"/>
      <c r="JA415" s="119"/>
      <c r="JB415" s="119"/>
      <c r="JC415" s="119"/>
      <c r="JD415" s="119"/>
      <c r="JE415" s="119"/>
      <c r="JF415" s="119"/>
      <c r="JG415" s="119"/>
      <c r="JH415" s="119"/>
      <c r="JI415" s="119"/>
      <c r="JJ415" s="119"/>
      <c r="JK415" s="119"/>
      <c r="JL415" s="119"/>
      <c r="JM415" s="119"/>
      <c r="JN415" s="119"/>
      <c r="JO415" s="119"/>
      <c r="JP415" s="119"/>
      <c r="JQ415" s="119"/>
      <c r="JR415" s="119"/>
      <c r="JS415" s="119"/>
      <c r="JT415" s="119"/>
      <c r="JU415" s="119"/>
      <c r="JV415" s="119"/>
      <c r="JW415" s="119"/>
      <c r="JX415" s="119"/>
      <c r="JY415" s="119"/>
      <c r="JZ415" s="119"/>
      <c r="KA415" s="119"/>
      <c r="KB415" s="119"/>
      <c r="KC415" s="119"/>
      <c r="KD415" s="119"/>
      <c r="KE415" s="119"/>
      <c r="KF415" s="119"/>
      <c r="KG415" s="119"/>
      <c r="KH415" s="119"/>
      <c r="KI415" s="119"/>
      <c r="KJ415" s="119"/>
      <c r="KK415" s="119"/>
      <c r="KL415" s="119"/>
      <c r="KM415" s="119"/>
      <c r="KN415" s="119"/>
      <c r="KO415" s="119"/>
      <c r="KP415" s="119"/>
      <c r="KQ415" s="119"/>
      <c r="KR415" s="119"/>
      <c r="KS415" s="119"/>
      <c r="KT415" s="119"/>
      <c r="KU415" s="119"/>
      <c r="KV415" s="119"/>
      <c r="KW415" s="119"/>
      <c r="KX415" s="119"/>
      <c r="KY415" s="119"/>
      <c r="KZ415" s="119"/>
      <c r="LA415" s="119"/>
      <c r="LB415" s="119"/>
      <c r="LC415" s="119"/>
      <c r="LD415" s="119"/>
      <c r="LE415" s="119"/>
      <c r="LF415" s="119"/>
      <c r="LG415" s="119"/>
      <c r="LH415" s="119"/>
      <c r="LI415" s="119"/>
      <c r="LJ415" s="119"/>
      <c r="LK415" s="119"/>
      <c r="LL415" s="119"/>
      <c r="LM415" s="119"/>
      <c r="LN415" s="119"/>
      <c r="LO415" s="119"/>
      <c r="LP415" s="119"/>
      <c r="LQ415" s="119"/>
      <c r="LR415" s="119"/>
      <c r="LS415" s="119"/>
      <c r="LT415" s="119"/>
      <c r="LU415" s="119"/>
      <c r="LV415" s="119"/>
      <c r="LW415" s="119"/>
      <c r="LX415" s="119"/>
      <c r="LY415" s="119"/>
      <c r="LZ415" s="119"/>
      <c r="MA415" s="119"/>
      <c r="MB415" s="119"/>
      <c r="MC415" s="119"/>
      <c r="MD415" s="119"/>
      <c r="ME415" s="119"/>
      <c r="MF415" s="119"/>
      <c r="MG415" s="119"/>
      <c r="MH415" s="119"/>
      <c r="MI415" s="119"/>
      <c r="MJ415" s="119"/>
      <c r="MK415" s="119"/>
      <c r="ML415" s="119"/>
      <c r="MM415" s="119"/>
      <c r="MN415" s="119"/>
      <c r="MO415" s="119"/>
      <c r="MP415" s="119"/>
      <c r="MQ415" s="119"/>
      <c r="MR415" s="119"/>
      <c r="MS415" s="119"/>
      <c r="MT415" s="119"/>
      <c r="MU415" s="119"/>
      <c r="MV415" s="119"/>
      <c r="MW415" s="119"/>
      <c r="MX415" s="119"/>
      <c r="MY415" s="119"/>
      <c r="MZ415" s="119"/>
    </row>
    <row r="416" spans="1:364" s="27" customFormat="1" x14ac:dyDescent="0.25">
      <c r="A416" s="122"/>
      <c r="B416" s="122"/>
      <c r="C416" s="126"/>
      <c r="D416" s="128"/>
      <c r="E416" s="109"/>
      <c r="F416" s="131"/>
      <c r="G416" s="131"/>
      <c r="H416" s="105" t="s">
        <v>439</v>
      </c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9"/>
      <c r="T416" s="119"/>
      <c r="U416" s="119"/>
      <c r="V416" s="119"/>
      <c r="W416" s="119"/>
      <c r="X416" s="119"/>
      <c r="Y416" s="119"/>
      <c r="Z416" s="119"/>
      <c r="AA416" s="119"/>
      <c r="AB416" s="119"/>
      <c r="AC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9"/>
      <c r="AT416" s="119"/>
      <c r="AU416" s="119"/>
      <c r="AV416" s="119"/>
      <c r="AW416" s="119"/>
      <c r="AX416" s="119"/>
      <c r="AY416" s="119"/>
      <c r="AZ416" s="119"/>
      <c r="BA416" s="119"/>
      <c r="BB416" s="119"/>
      <c r="BC416" s="119"/>
      <c r="BD416" s="119"/>
      <c r="BE416" s="119"/>
      <c r="BF416" s="119"/>
      <c r="BG416" s="119"/>
      <c r="BH416" s="119"/>
      <c r="BI416" s="119"/>
      <c r="BJ416" s="119"/>
      <c r="BK416" s="119"/>
      <c r="BL416" s="26"/>
      <c r="BM416" s="119"/>
      <c r="BN416" s="26"/>
      <c r="BO416" s="119"/>
      <c r="BP416" s="119"/>
      <c r="BQ416" s="119"/>
      <c r="BR416" s="119"/>
      <c r="BS416" s="119"/>
      <c r="BT416" s="119"/>
      <c r="BU416" s="119"/>
      <c r="BV416" s="119"/>
      <c r="BW416" s="119"/>
      <c r="BX416" s="119"/>
      <c r="BY416" s="119"/>
      <c r="BZ416" s="119"/>
      <c r="CA416" s="119"/>
      <c r="CB416" s="119"/>
      <c r="CC416" s="119"/>
      <c r="CD416" s="119"/>
      <c r="CE416" s="119"/>
      <c r="CF416" s="119"/>
      <c r="CG416" s="119"/>
      <c r="CH416" s="119"/>
      <c r="CI416" s="119"/>
      <c r="CJ416" s="119"/>
      <c r="CK416" s="119"/>
      <c r="CL416" s="119"/>
      <c r="CM416" s="119"/>
      <c r="CN416" s="119"/>
      <c r="CO416" s="119"/>
      <c r="CP416" s="119"/>
      <c r="CQ416" s="119"/>
      <c r="CR416" s="119"/>
      <c r="CS416" s="119"/>
      <c r="CT416" s="119"/>
      <c r="CU416" s="119"/>
      <c r="CV416" s="119"/>
      <c r="CW416" s="119"/>
      <c r="CX416" s="119"/>
      <c r="CY416" s="119"/>
      <c r="CZ416" s="119"/>
      <c r="DA416" s="119"/>
      <c r="DB416" s="119"/>
      <c r="DC416" s="119"/>
      <c r="DD416" s="119"/>
      <c r="DE416" s="119"/>
      <c r="DF416" s="119"/>
      <c r="DG416" s="119"/>
      <c r="DH416" s="119"/>
      <c r="DI416" s="119"/>
      <c r="DJ416" s="119"/>
      <c r="DK416" s="119"/>
      <c r="DL416" s="119"/>
      <c r="DM416" s="119"/>
      <c r="DN416" s="119"/>
      <c r="DO416" s="119"/>
      <c r="DP416" s="119"/>
      <c r="DQ416" s="119"/>
      <c r="DR416" s="119"/>
      <c r="DS416" s="119"/>
      <c r="DT416" s="119"/>
      <c r="DU416" s="119"/>
      <c r="DV416" s="119"/>
      <c r="DW416" s="119"/>
      <c r="DX416" s="119"/>
      <c r="DY416" s="119"/>
      <c r="DZ416" s="119"/>
      <c r="EA416" s="119"/>
      <c r="EB416" s="119"/>
      <c r="EC416" s="119"/>
      <c r="ED416" s="119"/>
      <c r="EE416" s="119"/>
      <c r="EF416" s="119"/>
      <c r="EG416" s="119"/>
      <c r="EH416" s="119"/>
      <c r="EI416" s="119"/>
      <c r="EJ416" s="119"/>
      <c r="EK416" s="119"/>
      <c r="EL416" s="119"/>
      <c r="EM416" s="119"/>
      <c r="EN416" s="119"/>
      <c r="EO416" s="119"/>
      <c r="EP416" s="119"/>
      <c r="EQ416" s="119"/>
      <c r="ER416" s="119"/>
      <c r="ES416" s="119"/>
      <c r="ET416" s="119"/>
      <c r="EU416" s="119"/>
      <c r="EV416" s="119"/>
      <c r="EW416" s="119"/>
      <c r="EX416" s="119"/>
      <c r="EY416" s="119"/>
      <c r="EZ416" s="119"/>
      <c r="FA416" s="119"/>
      <c r="FB416" s="119"/>
      <c r="FC416" s="119"/>
      <c r="FD416" s="119"/>
      <c r="FE416" s="119"/>
      <c r="FF416" s="119"/>
      <c r="FG416" s="119"/>
      <c r="FH416" s="119"/>
      <c r="FI416" s="119"/>
      <c r="FJ416" s="119"/>
      <c r="FK416" s="119"/>
      <c r="FL416" s="119"/>
      <c r="FM416" s="119"/>
      <c r="FN416" s="119"/>
      <c r="FO416" s="119"/>
      <c r="FP416" s="119"/>
      <c r="FQ416" s="119"/>
      <c r="FR416" s="119"/>
      <c r="FS416" s="119"/>
      <c r="FT416" s="119"/>
      <c r="FU416" s="119"/>
      <c r="FV416" s="119"/>
      <c r="FW416" s="119"/>
      <c r="FX416" s="119"/>
      <c r="FY416" s="119"/>
      <c r="FZ416" s="119"/>
      <c r="GA416" s="119"/>
      <c r="GB416" s="119"/>
      <c r="GC416" s="119"/>
      <c r="GD416" s="119"/>
      <c r="GE416" s="119"/>
      <c r="GF416" s="119"/>
      <c r="GG416" s="119"/>
      <c r="GH416" s="119"/>
      <c r="GI416" s="119"/>
      <c r="GJ416" s="119"/>
      <c r="GK416" s="119"/>
      <c r="GL416" s="119"/>
      <c r="GM416" s="119"/>
      <c r="GN416" s="119"/>
      <c r="GO416" s="119"/>
      <c r="GP416" s="119"/>
      <c r="GQ416" s="119"/>
      <c r="GR416" s="119"/>
      <c r="GS416" s="119"/>
      <c r="GT416" s="119"/>
      <c r="GU416" s="119"/>
      <c r="GV416" s="119"/>
      <c r="GW416" s="119"/>
      <c r="GX416" s="119"/>
      <c r="GY416" s="119"/>
      <c r="GZ416" s="119"/>
      <c r="HA416" s="119"/>
      <c r="HB416" s="119"/>
      <c r="HC416" s="119"/>
      <c r="HD416" s="119"/>
      <c r="HE416" s="119"/>
      <c r="HF416" s="119"/>
      <c r="HG416" s="119"/>
      <c r="HH416" s="119"/>
      <c r="HI416" s="119"/>
      <c r="HJ416" s="119"/>
      <c r="HK416" s="119"/>
      <c r="HL416" s="119"/>
      <c r="HM416" s="119"/>
      <c r="HN416" s="119"/>
      <c r="HO416" s="119"/>
      <c r="HP416" s="119"/>
      <c r="HQ416" s="119"/>
      <c r="HR416" s="119"/>
      <c r="HS416" s="119"/>
      <c r="HT416" s="119"/>
      <c r="HU416" s="119"/>
      <c r="HV416" s="119"/>
      <c r="HW416" s="119"/>
      <c r="HX416" s="119"/>
      <c r="HY416" s="119"/>
      <c r="HZ416" s="119"/>
      <c r="IA416" s="119"/>
      <c r="IB416" s="119"/>
      <c r="IC416" s="119"/>
      <c r="ID416" s="119"/>
      <c r="IE416" s="119"/>
      <c r="IF416" s="119"/>
      <c r="IG416" s="119"/>
      <c r="IH416" s="119"/>
      <c r="II416" s="119"/>
      <c r="IJ416" s="119"/>
      <c r="IK416" s="119"/>
      <c r="IL416" s="119"/>
      <c r="IM416" s="119"/>
      <c r="IN416" s="119"/>
      <c r="IO416" s="119"/>
      <c r="IP416" s="119"/>
      <c r="IQ416" s="119"/>
      <c r="IR416" s="119"/>
      <c r="IS416" s="119"/>
      <c r="IT416" s="119"/>
      <c r="IU416" s="119"/>
      <c r="IV416" s="119"/>
      <c r="IW416" s="119"/>
      <c r="IX416" s="119"/>
      <c r="IY416" s="119"/>
      <c r="IZ416" s="119"/>
      <c r="JA416" s="119"/>
      <c r="JB416" s="119"/>
      <c r="JC416" s="119"/>
      <c r="JD416" s="119"/>
      <c r="JE416" s="119"/>
      <c r="JF416" s="119"/>
      <c r="JG416" s="119"/>
      <c r="JH416" s="119"/>
      <c r="JI416" s="119"/>
      <c r="JJ416" s="119"/>
      <c r="JK416" s="119"/>
      <c r="JL416" s="119"/>
      <c r="JM416" s="119"/>
      <c r="JN416" s="119"/>
      <c r="JO416" s="119"/>
      <c r="JP416" s="119"/>
      <c r="JQ416" s="119"/>
      <c r="JR416" s="119"/>
      <c r="JS416" s="119"/>
      <c r="JT416" s="119"/>
      <c r="JU416" s="119"/>
      <c r="JV416" s="119"/>
      <c r="JW416" s="119"/>
      <c r="JX416" s="119"/>
      <c r="JY416" s="119"/>
      <c r="JZ416" s="119"/>
      <c r="KA416" s="119"/>
      <c r="KB416" s="119"/>
      <c r="KC416" s="119"/>
      <c r="KD416" s="119"/>
      <c r="KE416" s="119"/>
      <c r="KF416" s="119"/>
      <c r="KG416" s="119"/>
      <c r="KH416" s="119"/>
      <c r="KI416" s="119"/>
      <c r="KJ416" s="119"/>
      <c r="KK416" s="119"/>
      <c r="KL416" s="119"/>
      <c r="KM416" s="119"/>
      <c r="KN416" s="119"/>
      <c r="KO416" s="119"/>
      <c r="KP416" s="119"/>
      <c r="KQ416" s="119"/>
      <c r="KR416" s="119"/>
      <c r="KS416" s="119"/>
      <c r="KT416" s="119"/>
      <c r="KU416" s="119"/>
      <c r="KV416" s="119"/>
      <c r="KW416" s="119"/>
      <c r="KX416" s="119"/>
      <c r="KY416" s="119"/>
      <c r="KZ416" s="119"/>
      <c r="LA416" s="119"/>
      <c r="LB416" s="119"/>
      <c r="LC416" s="119"/>
      <c r="LD416" s="119"/>
      <c r="LE416" s="119"/>
      <c r="LF416" s="119"/>
      <c r="LG416" s="119"/>
      <c r="LH416" s="119"/>
      <c r="LI416" s="119"/>
      <c r="LJ416" s="119"/>
      <c r="LK416" s="119"/>
      <c r="LL416" s="119"/>
      <c r="LM416" s="119"/>
      <c r="LN416" s="119"/>
      <c r="LO416" s="119"/>
      <c r="LP416" s="119"/>
      <c r="LQ416" s="119"/>
      <c r="LR416" s="119"/>
      <c r="LS416" s="119"/>
      <c r="LT416" s="119"/>
      <c r="LU416" s="119"/>
      <c r="LV416" s="119"/>
      <c r="LW416" s="119"/>
      <c r="LX416" s="119"/>
      <c r="LY416" s="119"/>
      <c r="LZ416" s="119"/>
      <c r="MA416" s="119"/>
      <c r="MB416" s="119"/>
      <c r="MC416" s="119"/>
      <c r="MD416" s="119"/>
      <c r="ME416" s="119"/>
      <c r="MF416" s="119"/>
      <c r="MG416" s="119"/>
      <c r="MH416" s="119"/>
      <c r="MI416" s="119"/>
      <c r="MJ416" s="119"/>
      <c r="MK416" s="119"/>
      <c r="ML416" s="119"/>
      <c r="MM416" s="119"/>
      <c r="MN416" s="119"/>
      <c r="MO416" s="119"/>
      <c r="MP416" s="119"/>
      <c r="MQ416" s="119"/>
      <c r="MR416" s="119"/>
      <c r="MS416" s="119"/>
      <c r="MT416" s="119"/>
      <c r="MU416" s="119"/>
      <c r="MV416" s="119"/>
      <c r="MW416" s="119"/>
      <c r="MX416" s="119"/>
      <c r="MY416" s="119"/>
      <c r="MZ416" s="119"/>
    </row>
    <row r="417" spans="1:364" s="27" customFormat="1" x14ac:dyDescent="0.25">
      <c r="A417" s="122"/>
      <c r="B417" s="122"/>
      <c r="C417" s="126"/>
      <c r="D417" s="128"/>
      <c r="E417" s="109" t="s">
        <v>493</v>
      </c>
      <c r="F417" s="131"/>
      <c r="G417" s="131"/>
      <c r="H417" s="106" t="s">
        <v>438</v>
      </c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19"/>
      <c r="T417" s="119"/>
      <c r="U417" s="119"/>
      <c r="V417" s="119"/>
      <c r="W417" s="119"/>
      <c r="X417" s="119"/>
      <c r="Y417" s="119"/>
      <c r="Z417" s="119"/>
      <c r="AA417" s="119"/>
      <c r="AB417" s="119"/>
      <c r="AC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9"/>
      <c r="AT417" s="119"/>
      <c r="AU417" s="119"/>
      <c r="AV417" s="119"/>
      <c r="AW417" s="119"/>
      <c r="AX417" s="119"/>
      <c r="AY417" s="119"/>
      <c r="AZ417" s="119"/>
      <c r="BA417" s="119"/>
      <c r="BB417" s="119"/>
      <c r="BC417" s="119"/>
      <c r="BD417" s="119"/>
      <c r="BE417" s="119"/>
      <c r="BF417" s="119"/>
      <c r="BG417" s="119"/>
      <c r="BH417" s="119"/>
      <c r="BI417" s="119"/>
      <c r="BJ417" s="119"/>
      <c r="BK417" s="119"/>
      <c r="BL417" s="26"/>
      <c r="BM417" s="119"/>
      <c r="BN417" s="119"/>
      <c r="BO417" s="119"/>
      <c r="BP417" s="119"/>
      <c r="BQ417" s="119"/>
      <c r="BR417" s="119"/>
      <c r="BS417" s="119"/>
      <c r="BT417" s="119"/>
      <c r="BU417" s="119"/>
      <c r="BV417" s="119"/>
      <c r="BW417" s="119"/>
      <c r="BX417" s="119"/>
      <c r="BY417" s="119"/>
      <c r="BZ417" s="119"/>
      <c r="CA417" s="119"/>
      <c r="CB417" s="119"/>
      <c r="CC417" s="119"/>
      <c r="CD417" s="119"/>
      <c r="CE417" s="119"/>
      <c r="CF417" s="119"/>
      <c r="CG417" s="119"/>
      <c r="CH417" s="119"/>
      <c r="CI417" s="119"/>
      <c r="CJ417" s="119"/>
      <c r="CK417" s="119"/>
      <c r="CL417" s="119"/>
      <c r="CM417" s="119"/>
      <c r="CN417" s="119"/>
      <c r="CO417" s="119"/>
      <c r="CP417" s="119"/>
      <c r="CQ417" s="119"/>
      <c r="CR417" s="119"/>
      <c r="CS417" s="119"/>
      <c r="CT417" s="119"/>
      <c r="CU417" s="119"/>
      <c r="CV417" s="119"/>
      <c r="CW417" s="119"/>
      <c r="CX417" s="119"/>
      <c r="CY417" s="119"/>
      <c r="CZ417" s="119"/>
      <c r="DA417" s="119"/>
      <c r="DB417" s="119"/>
      <c r="DC417" s="119"/>
      <c r="DD417" s="119"/>
      <c r="DE417" s="119"/>
      <c r="DF417" s="119"/>
      <c r="DG417" s="119"/>
      <c r="DH417" s="119"/>
      <c r="DI417" s="119"/>
      <c r="DJ417" s="119"/>
      <c r="DK417" s="119"/>
      <c r="DL417" s="119"/>
      <c r="DM417" s="119"/>
      <c r="DN417" s="119"/>
      <c r="DO417" s="119"/>
      <c r="DP417" s="119"/>
      <c r="DQ417" s="119"/>
      <c r="DR417" s="119"/>
      <c r="DS417" s="119"/>
      <c r="DT417" s="119"/>
      <c r="DU417" s="119"/>
      <c r="DV417" s="119"/>
      <c r="DW417" s="119"/>
      <c r="DX417" s="119"/>
      <c r="DY417" s="119"/>
      <c r="DZ417" s="119"/>
      <c r="EA417" s="119"/>
      <c r="EB417" s="119"/>
      <c r="EC417" s="119"/>
      <c r="ED417" s="119"/>
      <c r="EE417" s="119"/>
      <c r="EF417" s="119"/>
      <c r="EG417" s="119"/>
      <c r="EH417" s="119"/>
      <c r="EI417" s="119"/>
      <c r="EJ417" s="119"/>
      <c r="EK417" s="119"/>
      <c r="EL417" s="119"/>
      <c r="EM417" s="119"/>
      <c r="EN417" s="119"/>
      <c r="EO417" s="119"/>
      <c r="EP417" s="119"/>
      <c r="EQ417" s="119"/>
      <c r="ER417" s="119"/>
      <c r="ES417" s="119"/>
      <c r="ET417" s="119"/>
      <c r="EU417" s="119"/>
      <c r="EV417" s="119"/>
      <c r="EW417" s="119"/>
      <c r="EX417" s="119"/>
      <c r="EY417" s="119"/>
      <c r="EZ417" s="119"/>
      <c r="FA417" s="119"/>
      <c r="FB417" s="119"/>
      <c r="FC417" s="119"/>
      <c r="FD417" s="119"/>
      <c r="FE417" s="119"/>
      <c r="FF417" s="119"/>
      <c r="FG417" s="119"/>
      <c r="FH417" s="119"/>
      <c r="FI417" s="119"/>
      <c r="FJ417" s="119"/>
      <c r="FK417" s="119"/>
      <c r="FL417" s="119"/>
      <c r="FM417" s="119"/>
      <c r="FN417" s="119"/>
      <c r="FO417" s="119"/>
      <c r="FP417" s="119"/>
      <c r="FQ417" s="119"/>
      <c r="FR417" s="119"/>
      <c r="FS417" s="119"/>
      <c r="FT417" s="119"/>
      <c r="FU417" s="119"/>
      <c r="FV417" s="119"/>
      <c r="FW417" s="119"/>
      <c r="FX417" s="119"/>
      <c r="FY417" s="119"/>
      <c r="FZ417" s="119"/>
      <c r="GA417" s="119"/>
      <c r="GB417" s="119"/>
      <c r="GC417" s="119"/>
      <c r="GD417" s="119"/>
      <c r="GE417" s="119"/>
      <c r="GF417" s="119"/>
      <c r="GG417" s="119"/>
      <c r="GH417" s="119"/>
      <c r="GI417" s="119"/>
      <c r="GJ417" s="119"/>
      <c r="GK417" s="119"/>
      <c r="GL417" s="119"/>
      <c r="GM417" s="119"/>
      <c r="GN417" s="119"/>
      <c r="GO417" s="119"/>
      <c r="GP417" s="119"/>
      <c r="GQ417" s="119"/>
      <c r="GR417" s="119"/>
      <c r="GS417" s="119"/>
      <c r="GT417" s="119"/>
      <c r="GU417" s="119"/>
      <c r="GV417" s="119"/>
      <c r="GW417" s="119"/>
      <c r="GX417" s="119"/>
      <c r="GY417" s="119"/>
      <c r="GZ417" s="119"/>
      <c r="HA417" s="119"/>
      <c r="HB417" s="119"/>
      <c r="HC417" s="119"/>
      <c r="HD417" s="119"/>
      <c r="HE417" s="119"/>
      <c r="HF417" s="119"/>
      <c r="HG417" s="119"/>
      <c r="HH417" s="119"/>
      <c r="HI417" s="119"/>
      <c r="HJ417" s="119"/>
      <c r="HK417" s="119"/>
      <c r="HL417" s="119"/>
      <c r="HM417" s="119"/>
      <c r="HN417" s="119"/>
      <c r="HO417" s="119"/>
      <c r="HP417" s="119"/>
      <c r="HQ417" s="119"/>
      <c r="HR417" s="119"/>
      <c r="HS417" s="119"/>
      <c r="HT417" s="119"/>
      <c r="HU417" s="119"/>
      <c r="HV417" s="119"/>
      <c r="HW417" s="119"/>
      <c r="HX417" s="119"/>
      <c r="HY417" s="119"/>
      <c r="HZ417" s="119"/>
      <c r="IA417" s="119"/>
      <c r="IB417" s="119"/>
      <c r="IC417" s="119"/>
      <c r="ID417" s="119"/>
      <c r="IE417" s="119"/>
      <c r="IF417" s="119"/>
      <c r="IG417" s="119"/>
      <c r="IH417" s="119"/>
      <c r="II417" s="119"/>
      <c r="IJ417" s="119"/>
      <c r="IK417" s="119"/>
      <c r="IL417" s="119"/>
      <c r="IM417" s="119"/>
      <c r="IN417" s="119"/>
      <c r="IO417" s="119"/>
      <c r="IP417" s="119"/>
      <c r="IQ417" s="119"/>
      <c r="IR417" s="119"/>
      <c r="IS417" s="119"/>
      <c r="IT417" s="119"/>
      <c r="IU417" s="119"/>
      <c r="IV417" s="119"/>
      <c r="IW417" s="119"/>
      <c r="IX417" s="119"/>
      <c r="IY417" s="119"/>
      <c r="IZ417" s="119"/>
      <c r="JA417" s="119"/>
      <c r="JB417" s="119"/>
      <c r="JC417" s="119"/>
      <c r="JD417" s="119"/>
      <c r="JE417" s="119"/>
      <c r="JF417" s="119"/>
      <c r="JG417" s="119"/>
      <c r="JH417" s="119"/>
      <c r="JI417" s="119"/>
      <c r="JJ417" s="119"/>
      <c r="JK417" s="119"/>
      <c r="JL417" s="119"/>
      <c r="JM417" s="119"/>
      <c r="JN417" s="119"/>
      <c r="JO417" s="119"/>
      <c r="JP417" s="119"/>
      <c r="JQ417" s="119"/>
      <c r="JR417" s="119"/>
      <c r="JS417" s="119"/>
      <c r="JT417" s="119"/>
      <c r="JU417" s="119"/>
      <c r="JV417" s="119"/>
      <c r="JW417" s="119"/>
      <c r="JX417" s="119"/>
      <c r="JY417" s="119"/>
      <c r="JZ417" s="119"/>
      <c r="KA417" s="119"/>
      <c r="KB417" s="119"/>
      <c r="KC417" s="119"/>
      <c r="KD417" s="119"/>
      <c r="KE417" s="119"/>
      <c r="KF417" s="119"/>
      <c r="KG417" s="119"/>
      <c r="KH417" s="119"/>
      <c r="KI417" s="119"/>
      <c r="KJ417" s="119"/>
      <c r="KK417" s="119"/>
      <c r="KL417" s="119"/>
      <c r="KM417" s="119"/>
      <c r="KN417" s="119"/>
      <c r="KO417" s="119"/>
      <c r="KP417" s="119"/>
      <c r="KQ417" s="119"/>
      <c r="KR417" s="119"/>
      <c r="KS417" s="119"/>
      <c r="KT417" s="119"/>
      <c r="KU417" s="119"/>
      <c r="KV417" s="119"/>
      <c r="KW417" s="119"/>
      <c r="KX417" s="119"/>
      <c r="KY417" s="119"/>
      <c r="KZ417" s="119"/>
      <c r="LA417" s="119"/>
      <c r="LB417" s="119"/>
      <c r="LC417" s="119"/>
      <c r="LD417" s="119"/>
      <c r="LE417" s="119"/>
      <c r="LF417" s="119"/>
      <c r="LG417" s="119"/>
      <c r="LH417" s="119"/>
      <c r="LI417" s="119"/>
      <c r="LJ417" s="119"/>
      <c r="LK417" s="119"/>
      <c r="LL417" s="119"/>
      <c r="LM417" s="119"/>
      <c r="LN417" s="119"/>
      <c r="LO417" s="119"/>
      <c r="LP417" s="119"/>
      <c r="LQ417" s="119"/>
      <c r="LR417" s="119"/>
      <c r="LS417" s="119"/>
      <c r="LT417" s="119"/>
      <c r="LU417" s="119"/>
      <c r="LV417" s="119"/>
      <c r="LW417" s="119"/>
      <c r="LX417" s="119"/>
      <c r="LY417" s="119"/>
      <c r="LZ417" s="119"/>
      <c r="MA417" s="119"/>
      <c r="MB417" s="119"/>
      <c r="MC417" s="119"/>
      <c r="MD417" s="119"/>
      <c r="ME417" s="119"/>
      <c r="MF417" s="119"/>
      <c r="MG417" s="119"/>
      <c r="MH417" s="119"/>
      <c r="MI417" s="119"/>
      <c r="MJ417" s="119"/>
      <c r="MK417" s="119"/>
      <c r="ML417" s="119"/>
      <c r="MM417" s="119"/>
      <c r="MN417" s="119"/>
      <c r="MO417" s="119"/>
      <c r="MP417" s="119"/>
      <c r="MQ417" s="119"/>
      <c r="MR417" s="119"/>
      <c r="MS417" s="119"/>
      <c r="MT417" s="119"/>
      <c r="MU417" s="119"/>
      <c r="MV417" s="119"/>
      <c r="MW417" s="119"/>
      <c r="MX417" s="119"/>
      <c r="MY417" s="119"/>
      <c r="MZ417" s="119"/>
    </row>
    <row r="418" spans="1:364" s="27" customFormat="1" x14ac:dyDescent="0.25">
      <c r="A418" s="123"/>
      <c r="B418" s="123"/>
      <c r="C418" s="126"/>
      <c r="D418" s="129"/>
      <c r="E418" s="109"/>
      <c r="F418" s="131"/>
      <c r="G418" s="132"/>
      <c r="H418" s="114" t="s">
        <v>149</v>
      </c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19"/>
      <c r="T418" s="119"/>
      <c r="U418" s="119"/>
      <c r="V418" s="119"/>
      <c r="W418" s="119"/>
      <c r="X418" s="119"/>
      <c r="Y418" s="119"/>
      <c r="Z418" s="119"/>
      <c r="AA418" s="119"/>
      <c r="AB418" s="119"/>
      <c r="AC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9"/>
      <c r="AT418" s="119"/>
      <c r="AU418" s="119"/>
      <c r="AV418" s="119"/>
      <c r="AW418" s="119"/>
      <c r="AX418" s="119"/>
      <c r="AY418" s="119"/>
      <c r="AZ418" s="119"/>
      <c r="BA418" s="119"/>
      <c r="BB418" s="119"/>
      <c r="BC418" s="119"/>
      <c r="BD418" s="119"/>
      <c r="BE418" s="119"/>
      <c r="BF418" s="119"/>
      <c r="BG418" s="119"/>
      <c r="BH418" s="119"/>
      <c r="BI418" s="119"/>
      <c r="BJ418" s="119"/>
      <c r="BK418" s="119"/>
      <c r="BL418" s="26"/>
      <c r="BM418" s="119"/>
      <c r="BN418" s="119"/>
      <c r="BO418" s="119"/>
      <c r="BP418" s="119"/>
      <c r="BQ418" s="119"/>
      <c r="BR418" s="119"/>
      <c r="BS418" s="119"/>
      <c r="BT418" s="119"/>
      <c r="BU418" s="119"/>
      <c r="BV418" s="119"/>
      <c r="BW418" s="119"/>
      <c r="BX418" s="119"/>
      <c r="BY418" s="119"/>
      <c r="BZ418" s="119"/>
      <c r="CA418" s="119"/>
      <c r="CB418" s="119"/>
      <c r="CC418" s="119"/>
      <c r="CD418" s="119"/>
      <c r="CE418" s="119"/>
      <c r="CF418" s="119"/>
      <c r="CG418" s="119"/>
      <c r="CH418" s="119"/>
      <c r="CI418" s="119"/>
      <c r="CJ418" s="119"/>
      <c r="CK418" s="119"/>
      <c r="CL418" s="119"/>
      <c r="CM418" s="119"/>
      <c r="CN418" s="119"/>
      <c r="CO418" s="119"/>
      <c r="CP418" s="119"/>
      <c r="CQ418" s="119"/>
      <c r="CR418" s="119"/>
      <c r="CS418" s="119"/>
      <c r="CT418" s="119"/>
      <c r="CU418" s="119"/>
      <c r="CV418" s="119"/>
      <c r="CW418" s="119"/>
      <c r="CX418" s="119"/>
      <c r="CY418" s="119"/>
      <c r="CZ418" s="119"/>
      <c r="DA418" s="119"/>
      <c r="DB418" s="119"/>
      <c r="DC418" s="119"/>
      <c r="DD418" s="119"/>
      <c r="DE418" s="119"/>
      <c r="DF418" s="119"/>
      <c r="DG418" s="119"/>
      <c r="DH418" s="119"/>
      <c r="DI418" s="119"/>
      <c r="DJ418" s="119"/>
      <c r="DK418" s="119"/>
      <c r="DL418" s="119"/>
      <c r="DM418" s="119"/>
      <c r="DN418" s="119"/>
      <c r="DO418" s="119"/>
      <c r="DP418" s="119"/>
      <c r="DQ418" s="119"/>
      <c r="DR418" s="119"/>
      <c r="DS418" s="119"/>
      <c r="DT418" s="119"/>
      <c r="DU418" s="119"/>
      <c r="DV418" s="119"/>
      <c r="DW418" s="119"/>
      <c r="DX418" s="119"/>
      <c r="DY418" s="119"/>
      <c r="DZ418" s="119"/>
      <c r="EA418" s="119"/>
      <c r="EB418" s="119"/>
      <c r="EC418" s="119"/>
      <c r="ED418" s="119"/>
      <c r="EE418" s="119"/>
      <c r="EF418" s="119"/>
      <c r="EG418" s="119"/>
      <c r="EH418" s="119"/>
      <c r="EI418" s="119"/>
      <c r="EJ418" s="119"/>
      <c r="EK418" s="119"/>
      <c r="EL418" s="119"/>
      <c r="EM418" s="119"/>
      <c r="EN418" s="119"/>
      <c r="EO418" s="119"/>
      <c r="EP418" s="119"/>
      <c r="EQ418" s="119"/>
      <c r="ER418" s="119"/>
      <c r="ES418" s="119"/>
      <c r="ET418" s="119"/>
      <c r="EU418" s="119"/>
      <c r="EV418" s="119"/>
      <c r="EW418" s="119"/>
      <c r="EX418" s="119"/>
      <c r="EY418" s="119"/>
      <c r="EZ418" s="119"/>
      <c r="FA418" s="119"/>
      <c r="FB418" s="119"/>
      <c r="FC418" s="119"/>
      <c r="FD418" s="119"/>
      <c r="FE418" s="119"/>
      <c r="FF418" s="119"/>
      <c r="FG418" s="119"/>
      <c r="FH418" s="119"/>
      <c r="FI418" s="119"/>
      <c r="FJ418" s="119"/>
      <c r="FK418" s="119"/>
      <c r="FL418" s="119"/>
      <c r="FM418" s="119"/>
      <c r="FN418" s="119"/>
      <c r="FO418" s="119"/>
      <c r="FP418" s="119"/>
      <c r="FQ418" s="119"/>
      <c r="FR418" s="119"/>
      <c r="FS418" s="119"/>
      <c r="FT418" s="119"/>
      <c r="FU418" s="119"/>
      <c r="FV418" s="119"/>
      <c r="FW418" s="119"/>
      <c r="FX418" s="119"/>
      <c r="FY418" s="119"/>
      <c r="FZ418" s="119"/>
      <c r="GA418" s="119"/>
      <c r="GB418" s="119"/>
      <c r="GC418" s="119"/>
      <c r="GD418" s="119"/>
      <c r="GE418" s="119"/>
      <c r="GF418" s="119"/>
      <c r="GG418" s="119"/>
      <c r="GH418" s="119"/>
      <c r="GI418" s="119"/>
      <c r="GJ418" s="119"/>
      <c r="GK418" s="119"/>
      <c r="GL418" s="119"/>
      <c r="GM418" s="119"/>
      <c r="GN418" s="119"/>
      <c r="GO418" s="119"/>
      <c r="GP418" s="119"/>
      <c r="GQ418" s="119"/>
      <c r="GR418" s="119"/>
      <c r="GS418" s="119"/>
      <c r="GT418" s="119"/>
      <c r="GU418" s="119"/>
      <c r="GV418" s="119"/>
      <c r="GW418" s="119"/>
      <c r="GX418" s="119"/>
      <c r="GY418" s="119"/>
      <c r="GZ418" s="119"/>
      <c r="HA418" s="119"/>
      <c r="HB418" s="119"/>
      <c r="HC418" s="119"/>
      <c r="HD418" s="119"/>
      <c r="HE418" s="119"/>
      <c r="HF418" s="119"/>
      <c r="HG418" s="119"/>
      <c r="HH418" s="119"/>
      <c r="HI418" s="119"/>
      <c r="HJ418" s="119"/>
      <c r="HK418" s="119"/>
      <c r="HL418" s="119"/>
      <c r="HM418" s="119"/>
      <c r="HN418" s="119"/>
      <c r="HO418" s="119"/>
      <c r="HP418" s="119"/>
      <c r="HQ418" s="119"/>
      <c r="HR418" s="119"/>
      <c r="HS418" s="119"/>
      <c r="HT418" s="119"/>
      <c r="HU418" s="119"/>
      <c r="HV418" s="119"/>
      <c r="HW418" s="119"/>
      <c r="HX418" s="119"/>
      <c r="HY418" s="119"/>
      <c r="HZ418" s="119"/>
      <c r="IA418" s="119"/>
      <c r="IB418" s="119"/>
      <c r="IC418" s="119"/>
      <c r="ID418" s="119"/>
      <c r="IE418" s="119"/>
      <c r="IF418" s="119"/>
      <c r="IG418" s="119"/>
      <c r="IH418" s="119"/>
      <c r="II418" s="119"/>
      <c r="IJ418" s="119"/>
      <c r="IK418" s="119"/>
      <c r="IL418" s="119"/>
      <c r="IM418" s="119"/>
      <c r="IN418" s="119"/>
      <c r="IO418" s="119"/>
      <c r="IP418" s="119"/>
      <c r="IQ418" s="119"/>
      <c r="IR418" s="119"/>
      <c r="IS418" s="119"/>
      <c r="IT418" s="119"/>
      <c r="IU418" s="119"/>
      <c r="IV418" s="119"/>
      <c r="IW418" s="119"/>
      <c r="IX418" s="119"/>
      <c r="IY418" s="119"/>
      <c r="IZ418" s="119"/>
      <c r="JA418" s="119"/>
      <c r="JB418" s="119"/>
      <c r="JC418" s="119"/>
      <c r="JD418" s="119"/>
      <c r="JE418" s="119"/>
      <c r="JF418" s="119"/>
      <c r="JG418" s="119"/>
      <c r="JH418" s="119"/>
      <c r="JI418" s="119"/>
      <c r="JJ418" s="119"/>
      <c r="JK418" s="119"/>
      <c r="JL418" s="119"/>
      <c r="JM418" s="119"/>
      <c r="JN418" s="119"/>
      <c r="JO418" s="119"/>
      <c r="JP418" s="119"/>
      <c r="JQ418" s="119"/>
      <c r="JR418" s="119"/>
      <c r="JS418" s="119"/>
      <c r="JT418" s="119"/>
      <c r="JU418" s="119"/>
      <c r="JV418" s="119"/>
      <c r="JW418" s="119"/>
      <c r="JX418" s="119"/>
      <c r="JY418" s="119"/>
      <c r="JZ418" s="119"/>
      <c r="KA418" s="119"/>
      <c r="KB418" s="119"/>
      <c r="KC418" s="119"/>
      <c r="KD418" s="119"/>
      <c r="KE418" s="119"/>
      <c r="KF418" s="119"/>
      <c r="KG418" s="119"/>
      <c r="KH418" s="119"/>
      <c r="KI418" s="119"/>
      <c r="KJ418" s="119"/>
      <c r="KK418" s="119"/>
      <c r="KL418" s="119"/>
      <c r="KM418" s="119"/>
      <c r="KN418" s="119"/>
      <c r="KO418" s="119"/>
      <c r="KP418" s="119"/>
      <c r="KQ418" s="119"/>
      <c r="KR418" s="119"/>
      <c r="KS418" s="119"/>
      <c r="KT418" s="119"/>
      <c r="KU418" s="119"/>
      <c r="KV418" s="119"/>
      <c r="KW418" s="119"/>
      <c r="KX418" s="119"/>
      <c r="KY418" s="119"/>
      <c r="KZ418" s="119"/>
      <c r="LA418" s="119"/>
      <c r="LB418" s="119"/>
      <c r="LC418" s="119"/>
      <c r="LD418" s="119"/>
      <c r="LE418" s="119"/>
      <c r="LF418" s="119"/>
      <c r="LG418" s="119"/>
      <c r="LH418" s="119"/>
      <c r="LI418" s="119"/>
      <c r="LJ418" s="119"/>
      <c r="LK418" s="119"/>
      <c r="LL418" s="119"/>
      <c r="LM418" s="119"/>
      <c r="LN418" s="119"/>
      <c r="LO418" s="119"/>
      <c r="LP418" s="119"/>
      <c r="LQ418" s="119"/>
      <c r="LR418" s="119"/>
      <c r="LS418" s="119"/>
      <c r="LT418" s="119"/>
      <c r="LU418" s="119"/>
      <c r="LV418" s="119"/>
      <c r="LW418" s="119"/>
      <c r="LX418" s="119"/>
      <c r="LY418" s="119"/>
      <c r="LZ418" s="119"/>
      <c r="MA418" s="119"/>
      <c r="MB418" s="119"/>
      <c r="MC418" s="119"/>
      <c r="MD418" s="119"/>
      <c r="ME418" s="119"/>
      <c r="MF418" s="119"/>
      <c r="MG418" s="119"/>
      <c r="MH418" s="119"/>
      <c r="MI418" s="119"/>
      <c r="MJ418" s="119"/>
      <c r="MK418" s="119"/>
      <c r="ML418" s="119"/>
      <c r="MM418" s="119"/>
      <c r="MN418" s="119"/>
      <c r="MO418" s="119"/>
      <c r="MP418" s="119"/>
      <c r="MQ418" s="119"/>
      <c r="MR418" s="119"/>
      <c r="MS418" s="119"/>
      <c r="MT418" s="119"/>
      <c r="MU418" s="119"/>
      <c r="MV418" s="119"/>
      <c r="MW418" s="119"/>
      <c r="MX418" s="119"/>
      <c r="MY418" s="119"/>
      <c r="MZ418" s="119"/>
    </row>
    <row r="419" spans="1:364" s="27" customFormat="1" x14ac:dyDescent="0.25">
      <c r="A419" s="121"/>
      <c r="B419" s="124" t="e">
        <f>VLOOKUP(A419,Rules!$B$8:$C$154,2,0)</f>
        <v>#N/A</v>
      </c>
      <c r="C419" s="125">
        <f t="shared" ref="C419" si="4">SUM(I420:XX420)</f>
        <v>0</v>
      </c>
      <c r="D419" s="127"/>
      <c r="E419" s="110" t="s">
        <v>492</v>
      </c>
      <c r="F419" s="130" t="e">
        <f>VLOOKUP(A419,Table2[],10,0)</f>
        <v>#N/A</v>
      </c>
      <c r="G419" s="130"/>
      <c r="H419" s="113" t="s">
        <v>440</v>
      </c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9"/>
      <c r="T419" s="119"/>
      <c r="U419" s="119"/>
      <c r="V419" s="119"/>
      <c r="W419" s="119"/>
      <c r="X419" s="119"/>
      <c r="Y419" s="119"/>
      <c r="Z419" s="119"/>
      <c r="AA419" s="119"/>
      <c r="AB419" s="119"/>
      <c r="AC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9"/>
      <c r="AT419" s="119"/>
      <c r="AU419" s="119"/>
      <c r="AV419" s="119"/>
      <c r="AW419" s="119"/>
      <c r="AX419" s="119"/>
      <c r="AY419" s="119"/>
      <c r="AZ419" s="119"/>
      <c r="BA419" s="119"/>
      <c r="BB419" s="119"/>
      <c r="BC419" s="119"/>
      <c r="BD419" s="119"/>
      <c r="BE419" s="119"/>
      <c r="BF419" s="119"/>
      <c r="BG419" s="119"/>
      <c r="BH419" s="119"/>
      <c r="BI419" s="119"/>
      <c r="BJ419" s="119"/>
      <c r="BK419" s="119"/>
      <c r="BL419" s="26"/>
      <c r="BM419" s="119"/>
      <c r="BN419" s="26"/>
      <c r="BO419" s="119"/>
      <c r="BP419" s="119"/>
      <c r="BQ419" s="119"/>
      <c r="BR419" s="119"/>
      <c r="BS419" s="119"/>
      <c r="BT419" s="119"/>
      <c r="BU419" s="119"/>
      <c r="BV419" s="119"/>
      <c r="BW419" s="119"/>
      <c r="BX419" s="119"/>
      <c r="BY419" s="119"/>
      <c r="BZ419" s="119"/>
      <c r="CA419" s="119"/>
      <c r="CB419" s="119"/>
      <c r="CC419" s="119"/>
      <c r="CD419" s="119"/>
      <c r="CE419" s="119"/>
      <c r="CF419" s="119"/>
      <c r="CG419" s="119"/>
      <c r="CH419" s="119"/>
      <c r="CI419" s="119"/>
      <c r="CJ419" s="119"/>
      <c r="CK419" s="119"/>
      <c r="CL419" s="119"/>
      <c r="CM419" s="119"/>
      <c r="CN419" s="119"/>
      <c r="CO419" s="119"/>
      <c r="CP419" s="119"/>
      <c r="CQ419" s="119"/>
      <c r="CR419" s="119"/>
      <c r="CS419" s="119"/>
      <c r="CT419" s="119"/>
      <c r="CU419" s="119"/>
      <c r="CV419" s="119"/>
      <c r="CW419" s="119"/>
      <c r="CX419" s="119"/>
      <c r="CY419" s="119"/>
      <c r="CZ419" s="119"/>
      <c r="DA419" s="119"/>
      <c r="DB419" s="119"/>
      <c r="DC419" s="119"/>
      <c r="DD419" s="119"/>
      <c r="DE419" s="119"/>
      <c r="DF419" s="119"/>
      <c r="DG419" s="119"/>
      <c r="DH419" s="119"/>
      <c r="DI419" s="119"/>
      <c r="DJ419" s="119"/>
      <c r="DK419" s="119"/>
      <c r="DL419" s="119"/>
      <c r="DM419" s="119"/>
      <c r="DN419" s="119"/>
      <c r="DO419" s="119"/>
      <c r="DP419" s="119"/>
      <c r="DQ419" s="119"/>
      <c r="DR419" s="119"/>
      <c r="DS419" s="119"/>
      <c r="DT419" s="119"/>
      <c r="DU419" s="119"/>
      <c r="DV419" s="119"/>
      <c r="DW419" s="119"/>
      <c r="DX419" s="119"/>
      <c r="DY419" s="119"/>
      <c r="DZ419" s="119"/>
      <c r="EA419" s="119"/>
      <c r="EB419" s="119"/>
      <c r="EC419" s="119"/>
      <c r="ED419" s="119"/>
      <c r="EE419" s="119"/>
      <c r="EF419" s="119"/>
      <c r="EG419" s="119"/>
      <c r="EH419" s="119"/>
      <c r="EI419" s="119"/>
      <c r="EJ419" s="119"/>
      <c r="EK419" s="119"/>
      <c r="EL419" s="119"/>
      <c r="EM419" s="119"/>
      <c r="EN419" s="119"/>
      <c r="EO419" s="119"/>
      <c r="EP419" s="119"/>
      <c r="EQ419" s="119"/>
      <c r="ER419" s="119"/>
      <c r="ES419" s="119"/>
      <c r="ET419" s="119"/>
      <c r="EU419" s="119"/>
      <c r="EV419" s="119"/>
      <c r="EW419" s="119"/>
      <c r="EX419" s="119"/>
      <c r="EY419" s="119"/>
      <c r="EZ419" s="119"/>
      <c r="FA419" s="119"/>
      <c r="FB419" s="119"/>
      <c r="FC419" s="119"/>
      <c r="FD419" s="119"/>
      <c r="FE419" s="119"/>
      <c r="FF419" s="119"/>
      <c r="FG419" s="119"/>
      <c r="FH419" s="119"/>
      <c r="FI419" s="119"/>
      <c r="FJ419" s="119"/>
      <c r="FK419" s="119"/>
      <c r="FL419" s="119"/>
      <c r="FM419" s="119"/>
      <c r="FN419" s="119"/>
      <c r="FO419" s="119"/>
      <c r="FP419" s="119"/>
      <c r="FQ419" s="119"/>
      <c r="FR419" s="119"/>
      <c r="FS419" s="119"/>
      <c r="FT419" s="119"/>
      <c r="FU419" s="119"/>
      <c r="FV419" s="119"/>
      <c r="FW419" s="119"/>
      <c r="FX419" s="119"/>
      <c r="FY419" s="119"/>
      <c r="FZ419" s="119"/>
      <c r="GA419" s="119"/>
      <c r="GB419" s="119"/>
      <c r="GC419" s="119"/>
      <c r="GD419" s="119"/>
      <c r="GE419" s="119"/>
      <c r="GF419" s="119"/>
      <c r="GG419" s="119"/>
      <c r="GH419" s="119"/>
      <c r="GI419" s="119"/>
      <c r="GJ419" s="119"/>
      <c r="GK419" s="119"/>
      <c r="GL419" s="119"/>
      <c r="GM419" s="119"/>
      <c r="GN419" s="119"/>
      <c r="GO419" s="119"/>
      <c r="GP419" s="119"/>
      <c r="GQ419" s="119"/>
      <c r="GR419" s="119"/>
      <c r="GS419" s="119"/>
      <c r="GT419" s="119"/>
      <c r="GU419" s="119"/>
      <c r="GV419" s="119"/>
      <c r="GW419" s="119"/>
      <c r="GX419" s="119"/>
      <c r="GY419" s="119"/>
      <c r="GZ419" s="119"/>
      <c r="HA419" s="119"/>
      <c r="HB419" s="119"/>
      <c r="HC419" s="119"/>
      <c r="HD419" s="119"/>
      <c r="HE419" s="119"/>
      <c r="HF419" s="119"/>
      <c r="HG419" s="119"/>
      <c r="HH419" s="119"/>
      <c r="HI419" s="119"/>
      <c r="HJ419" s="119"/>
      <c r="HK419" s="119"/>
      <c r="HL419" s="119"/>
      <c r="HM419" s="119"/>
      <c r="HN419" s="119"/>
      <c r="HO419" s="119"/>
      <c r="HP419" s="119"/>
      <c r="HQ419" s="119"/>
      <c r="HR419" s="119"/>
      <c r="HS419" s="119"/>
      <c r="HT419" s="119"/>
      <c r="HU419" s="119"/>
      <c r="HV419" s="119"/>
      <c r="HW419" s="119"/>
      <c r="HX419" s="119"/>
      <c r="HY419" s="119"/>
      <c r="HZ419" s="119"/>
      <c r="IA419" s="119"/>
      <c r="IB419" s="119"/>
      <c r="IC419" s="119"/>
      <c r="ID419" s="119"/>
      <c r="IE419" s="119"/>
      <c r="IF419" s="119"/>
      <c r="IG419" s="119"/>
      <c r="IH419" s="119"/>
      <c r="II419" s="119"/>
      <c r="IJ419" s="119"/>
      <c r="IK419" s="119"/>
      <c r="IL419" s="119"/>
      <c r="IM419" s="119"/>
      <c r="IN419" s="119"/>
      <c r="IO419" s="119"/>
      <c r="IP419" s="119"/>
      <c r="IQ419" s="119"/>
      <c r="IR419" s="119"/>
      <c r="IS419" s="119"/>
      <c r="IT419" s="119"/>
      <c r="IU419" s="119"/>
      <c r="IV419" s="119"/>
      <c r="IW419" s="119"/>
      <c r="IX419" s="119"/>
      <c r="IY419" s="119"/>
      <c r="IZ419" s="119"/>
      <c r="JA419" s="119"/>
      <c r="JB419" s="119"/>
      <c r="JC419" s="119"/>
      <c r="JD419" s="119"/>
      <c r="JE419" s="119"/>
      <c r="JF419" s="119"/>
      <c r="JG419" s="119"/>
      <c r="JH419" s="119"/>
      <c r="JI419" s="119"/>
      <c r="JJ419" s="119"/>
      <c r="JK419" s="119"/>
      <c r="JL419" s="119"/>
      <c r="JM419" s="119"/>
      <c r="JN419" s="119"/>
      <c r="JO419" s="119"/>
      <c r="JP419" s="119"/>
      <c r="JQ419" s="119"/>
      <c r="JR419" s="119"/>
      <c r="JS419" s="119"/>
      <c r="JT419" s="119"/>
      <c r="JU419" s="119"/>
      <c r="JV419" s="119"/>
      <c r="JW419" s="119"/>
      <c r="JX419" s="119"/>
      <c r="JY419" s="119"/>
      <c r="JZ419" s="119"/>
      <c r="KA419" s="119"/>
      <c r="KB419" s="119"/>
      <c r="KC419" s="119"/>
      <c r="KD419" s="119"/>
      <c r="KE419" s="119"/>
      <c r="KF419" s="119"/>
      <c r="KG419" s="119"/>
      <c r="KH419" s="119"/>
      <c r="KI419" s="119"/>
      <c r="KJ419" s="119"/>
      <c r="KK419" s="119"/>
      <c r="KL419" s="119"/>
      <c r="KM419" s="119"/>
      <c r="KN419" s="119"/>
      <c r="KO419" s="119"/>
      <c r="KP419" s="119"/>
      <c r="KQ419" s="119"/>
      <c r="KR419" s="119"/>
      <c r="KS419" s="119"/>
      <c r="KT419" s="119"/>
      <c r="KU419" s="119"/>
      <c r="KV419" s="119"/>
      <c r="KW419" s="119"/>
      <c r="KX419" s="119"/>
      <c r="KY419" s="119"/>
      <c r="KZ419" s="119"/>
      <c r="LA419" s="119"/>
      <c r="LB419" s="119"/>
      <c r="LC419" s="119"/>
      <c r="LD419" s="119"/>
      <c r="LE419" s="119"/>
      <c r="LF419" s="119"/>
      <c r="LG419" s="119"/>
      <c r="LH419" s="119"/>
      <c r="LI419" s="119"/>
      <c r="LJ419" s="119"/>
      <c r="LK419" s="119"/>
      <c r="LL419" s="119"/>
      <c r="LM419" s="119"/>
      <c r="LN419" s="119"/>
      <c r="LO419" s="119"/>
      <c r="LP419" s="119"/>
      <c r="LQ419" s="119"/>
      <c r="LR419" s="119"/>
      <c r="LS419" s="119"/>
      <c r="LT419" s="119"/>
      <c r="LU419" s="119"/>
      <c r="LV419" s="119"/>
      <c r="LW419" s="119"/>
      <c r="LX419" s="119"/>
      <c r="LY419" s="119"/>
      <c r="LZ419" s="119"/>
      <c r="MA419" s="119"/>
      <c r="MB419" s="119"/>
      <c r="MC419" s="119"/>
      <c r="MD419" s="119"/>
      <c r="ME419" s="119"/>
      <c r="MF419" s="119"/>
      <c r="MG419" s="119"/>
      <c r="MH419" s="119"/>
      <c r="MI419" s="119"/>
      <c r="MJ419" s="119"/>
      <c r="MK419" s="119"/>
      <c r="ML419" s="119"/>
      <c r="MM419" s="119"/>
      <c r="MN419" s="119"/>
      <c r="MO419" s="119"/>
      <c r="MP419" s="119"/>
      <c r="MQ419" s="119"/>
      <c r="MR419" s="119"/>
      <c r="MS419" s="119"/>
      <c r="MT419" s="119"/>
      <c r="MU419" s="119"/>
      <c r="MV419" s="119"/>
      <c r="MW419" s="119"/>
      <c r="MX419" s="119"/>
      <c r="MY419" s="119"/>
      <c r="MZ419" s="119"/>
    </row>
    <row r="420" spans="1:364" s="27" customFormat="1" x14ac:dyDescent="0.25">
      <c r="A420" s="122"/>
      <c r="B420" s="122"/>
      <c r="C420" s="126"/>
      <c r="D420" s="128"/>
      <c r="E420" s="109"/>
      <c r="F420" s="131"/>
      <c r="G420" s="131"/>
      <c r="H420" s="105" t="s">
        <v>439</v>
      </c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9"/>
      <c r="T420" s="119"/>
      <c r="U420" s="119"/>
      <c r="V420" s="119"/>
      <c r="W420" s="119"/>
      <c r="X420" s="119"/>
      <c r="Y420" s="119"/>
      <c r="Z420" s="119"/>
      <c r="AA420" s="119"/>
      <c r="AB420" s="119"/>
      <c r="AC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9"/>
      <c r="AT420" s="119"/>
      <c r="AU420" s="119"/>
      <c r="AV420" s="119"/>
      <c r="AW420" s="119"/>
      <c r="AX420" s="119"/>
      <c r="AY420" s="119"/>
      <c r="AZ420" s="119"/>
      <c r="BA420" s="119"/>
      <c r="BB420" s="119"/>
      <c r="BC420" s="119"/>
      <c r="BD420" s="119"/>
      <c r="BE420" s="119"/>
      <c r="BF420" s="119"/>
      <c r="BG420" s="119"/>
      <c r="BH420" s="119"/>
      <c r="BI420" s="119"/>
      <c r="BJ420" s="119"/>
      <c r="BK420" s="119"/>
      <c r="BL420" s="26"/>
      <c r="BM420" s="119"/>
      <c r="BN420" s="26"/>
      <c r="BO420" s="119"/>
      <c r="BP420" s="119"/>
      <c r="BQ420" s="119"/>
      <c r="BR420" s="119"/>
      <c r="BS420" s="119"/>
      <c r="BT420" s="119"/>
      <c r="BU420" s="119"/>
      <c r="BV420" s="119"/>
      <c r="BW420" s="119"/>
      <c r="BX420" s="119"/>
      <c r="BY420" s="119"/>
      <c r="BZ420" s="119"/>
      <c r="CA420" s="119"/>
      <c r="CB420" s="119"/>
      <c r="CC420" s="119"/>
      <c r="CD420" s="119"/>
      <c r="CE420" s="119"/>
      <c r="CF420" s="119"/>
      <c r="CG420" s="119"/>
      <c r="CH420" s="119"/>
      <c r="CI420" s="119"/>
      <c r="CJ420" s="119"/>
      <c r="CK420" s="119"/>
      <c r="CL420" s="119"/>
      <c r="CM420" s="119"/>
      <c r="CN420" s="119"/>
      <c r="CO420" s="119"/>
      <c r="CP420" s="119"/>
      <c r="CQ420" s="119"/>
      <c r="CR420" s="119"/>
      <c r="CS420" s="119"/>
      <c r="CT420" s="119"/>
      <c r="CU420" s="119"/>
      <c r="CV420" s="119"/>
      <c r="CW420" s="119"/>
      <c r="CX420" s="119"/>
      <c r="CY420" s="119"/>
      <c r="CZ420" s="119"/>
      <c r="DA420" s="119"/>
      <c r="DB420" s="119"/>
      <c r="DC420" s="119"/>
      <c r="DD420" s="119"/>
      <c r="DE420" s="119"/>
      <c r="DF420" s="119"/>
      <c r="DG420" s="119"/>
      <c r="DH420" s="119"/>
      <c r="DI420" s="119"/>
      <c r="DJ420" s="119"/>
      <c r="DK420" s="119"/>
      <c r="DL420" s="119"/>
      <c r="DM420" s="119"/>
      <c r="DN420" s="119"/>
      <c r="DO420" s="119"/>
      <c r="DP420" s="119"/>
      <c r="DQ420" s="119"/>
      <c r="DR420" s="119"/>
      <c r="DS420" s="119"/>
      <c r="DT420" s="119"/>
      <c r="DU420" s="119"/>
      <c r="DV420" s="119"/>
      <c r="DW420" s="119"/>
      <c r="DX420" s="119"/>
      <c r="DY420" s="119"/>
      <c r="DZ420" s="119"/>
      <c r="EA420" s="119"/>
      <c r="EB420" s="119"/>
      <c r="EC420" s="119"/>
      <c r="ED420" s="119"/>
      <c r="EE420" s="119"/>
      <c r="EF420" s="119"/>
      <c r="EG420" s="119"/>
      <c r="EH420" s="119"/>
      <c r="EI420" s="119"/>
      <c r="EJ420" s="119"/>
      <c r="EK420" s="119"/>
      <c r="EL420" s="119"/>
      <c r="EM420" s="119"/>
      <c r="EN420" s="119"/>
      <c r="EO420" s="119"/>
      <c r="EP420" s="119"/>
      <c r="EQ420" s="119"/>
      <c r="ER420" s="119"/>
      <c r="ES420" s="119"/>
      <c r="ET420" s="119"/>
      <c r="EU420" s="119"/>
      <c r="EV420" s="119"/>
      <c r="EW420" s="119"/>
      <c r="EX420" s="119"/>
      <c r="EY420" s="119"/>
      <c r="EZ420" s="119"/>
      <c r="FA420" s="119"/>
      <c r="FB420" s="119"/>
      <c r="FC420" s="119"/>
      <c r="FD420" s="119"/>
      <c r="FE420" s="119"/>
      <c r="FF420" s="119"/>
      <c r="FG420" s="119"/>
      <c r="FH420" s="119"/>
      <c r="FI420" s="119"/>
      <c r="FJ420" s="119"/>
      <c r="FK420" s="119"/>
      <c r="FL420" s="119"/>
      <c r="FM420" s="119"/>
      <c r="FN420" s="119"/>
      <c r="FO420" s="119"/>
      <c r="FP420" s="119"/>
      <c r="FQ420" s="119"/>
      <c r="FR420" s="119"/>
      <c r="FS420" s="119"/>
      <c r="FT420" s="119"/>
      <c r="FU420" s="119"/>
      <c r="FV420" s="119"/>
      <c r="FW420" s="119"/>
      <c r="FX420" s="119"/>
      <c r="FY420" s="119"/>
      <c r="FZ420" s="119"/>
      <c r="GA420" s="119"/>
      <c r="GB420" s="119"/>
      <c r="GC420" s="119"/>
      <c r="GD420" s="119"/>
      <c r="GE420" s="119"/>
      <c r="GF420" s="119"/>
      <c r="GG420" s="119"/>
      <c r="GH420" s="119"/>
      <c r="GI420" s="119"/>
      <c r="GJ420" s="119"/>
      <c r="GK420" s="119"/>
      <c r="GL420" s="119"/>
      <c r="GM420" s="119"/>
      <c r="GN420" s="119"/>
      <c r="GO420" s="119"/>
      <c r="GP420" s="119"/>
      <c r="GQ420" s="119"/>
      <c r="GR420" s="119"/>
      <c r="GS420" s="119"/>
      <c r="GT420" s="119"/>
      <c r="GU420" s="119"/>
      <c r="GV420" s="119"/>
      <c r="GW420" s="119"/>
      <c r="GX420" s="119"/>
      <c r="GY420" s="119"/>
      <c r="GZ420" s="119"/>
      <c r="HA420" s="119"/>
      <c r="HB420" s="119"/>
      <c r="HC420" s="119"/>
      <c r="HD420" s="119"/>
      <c r="HE420" s="119"/>
      <c r="HF420" s="119"/>
      <c r="HG420" s="119"/>
      <c r="HH420" s="119"/>
      <c r="HI420" s="119"/>
      <c r="HJ420" s="119"/>
      <c r="HK420" s="119"/>
      <c r="HL420" s="119"/>
      <c r="HM420" s="119"/>
      <c r="HN420" s="119"/>
      <c r="HO420" s="119"/>
      <c r="HP420" s="119"/>
      <c r="HQ420" s="119"/>
      <c r="HR420" s="119"/>
      <c r="HS420" s="119"/>
      <c r="HT420" s="119"/>
      <c r="HU420" s="119"/>
      <c r="HV420" s="119"/>
      <c r="HW420" s="119"/>
      <c r="HX420" s="119"/>
      <c r="HY420" s="119"/>
      <c r="HZ420" s="119"/>
      <c r="IA420" s="119"/>
      <c r="IB420" s="119"/>
      <c r="IC420" s="119"/>
      <c r="ID420" s="119"/>
      <c r="IE420" s="119"/>
      <c r="IF420" s="119"/>
      <c r="IG420" s="119"/>
      <c r="IH420" s="119"/>
      <c r="II420" s="119"/>
      <c r="IJ420" s="119"/>
      <c r="IK420" s="119"/>
      <c r="IL420" s="119"/>
      <c r="IM420" s="119"/>
      <c r="IN420" s="119"/>
      <c r="IO420" s="119"/>
      <c r="IP420" s="119"/>
      <c r="IQ420" s="119"/>
      <c r="IR420" s="119"/>
      <c r="IS420" s="119"/>
      <c r="IT420" s="119"/>
      <c r="IU420" s="119"/>
      <c r="IV420" s="119"/>
      <c r="IW420" s="119"/>
      <c r="IX420" s="119"/>
      <c r="IY420" s="119"/>
      <c r="IZ420" s="119"/>
      <c r="JA420" s="119"/>
      <c r="JB420" s="119"/>
      <c r="JC420" s="119"/>
      <c r="JD420" s="119"/>
      <c r="JE420" s="119"/>
      <c r="JF420" s="119"/>
      <c r="JG420" s="119"/>
      <c r="JH420" s="119"/>
      <c r="JI420" s="119"/>
      <c r="JJ420" s="119"/>
      <c r="JK420" s="119"/>
      <c r="JL420" s="119"/>
      <c r="JM420" s="119"/>
      <c r="JN420" s="119"/>
      <c r="JO420" s="119"/>
      <c r="JP420" s="119"/>
      <c r="JQ420" s="119"/>
      <c r="JR420" s="119"/>
      <c r="JS420" s="119"/>
      <c r="JT420" s="119"/>
      <c r="JU420" s="119"/>
      <c r="JV420" s="119"/>
      <c r="JW420" s="119"/>
      <c r="JX420" s="119"/>
      <c r="JY420" s="119"/>
      <c r="JZ420" s="119"/>
      <c r="KA420" s="119"/>
      <c r="KB420" s="119"/>
      <c r="KC420" s="119"/>
      <c r="KD420" s="119"/>
      <c r="KE420" s="119"/>
      <c r="KF420" s="119"/>
      <c r="KG420" s="119"/>
      <c r="KH420" s="119"/>
      <c r="KI420" s="119"/>
      <c r="KJ420" s="119"/>
      <c r="KK420" s="119"/>
      <c r="KL420" s="119"/>
      <c r="KM420" s="119"/>
      <c r="KN420" s="119"/>
      <c r="KO420" s="119"/>
      <c r="KP420" s="119"/>
      <c r="KQ420" s="119"/>
      <c r="KR420" s="119"/>
      <c r="KS420" s="119"/>
      <c r="KT420" s="119"/>
      <c r="KU420" s="119"/>
      <c r="KV420" s="119"/>
      <c r="KW420" s="119"/>
      <c r="KX420" s="119"/>
      <c r="KY420" s="119"/>
      <c r="KZ420" s="119"/>
      <c r="LA420" s="119"/>
      <c r="LB420" s="119"/>
      <c r="LC420" s="119"/>
      <c r="LD420" s="119"/>
      <c r="LE420" s="119"/>
      <c r="LF420" s="119"/>
      <c r="LG420" s="119"/>
      <c r="LH420" s="119"/>
      <c r="LI420" s="119"/>
      <c r="LJ420" s="119"/>
      <c r="LK420" s="119"/>
      <c r="LL420" s="119"/>
      <c r="LM420" s="119"/>
      <c r="LN420" s="119"/>
      <c r="LO420" s="119"/>
      <c r="LP420" s="119"/>
      <c r="LQ420" s="119"/>
      <c r="LR420" s="119"/>
      <c r="LS420" s="119"/>
      <c r="LT420" s="119"/>
      <c r="LU420" s="119"/>
      <c r="LV420" s="119"/>
      <c r="LW420" s="119"/>
      <c r="LX420" s="119"/>
      <c r="LY420" s="119"/>
      <c r="LZ420" s="119"/>
      <c r="MA420" s="119"/>
      <c r="MB420" s="119"/>
      <c r="MC420" s="119"/>
      <c r="MD420" s="119"/>
      <c r="ME420" s="119"/>
      <c r="MF420" s="119"/>
      <c r="MG420" s="119"/>
      <c r="MH420" s="119"/>
      <c r="MI420" s="119"/>
      <c r="MJ420" s="119"/>
      <c r="MK420" s="119"/>
      <c r="ML420" s="119"/>
      <c r="MM420" s="119"/>
      <c r="MN420" s="119"/>
      <c r="MO420" s="119"/>
      <c r="MP420" s="119"/>
      <c r="MQ420" s="119"/>
      <c r="MR420" s="119"/>
      <c r="MS420" s="119"/>
      <c r="MT420" s="119"/>
      <c r="MU420" s="119"/>
      <c r="MV420" s="119"/>
      <c r="MW420" s="119"/>
      <c r="MX420" s="119"/>
      <c r="MY420" s="119"/>
      <c r="MZ420" s="119"/>
    </row>
    <row r="421" spans="1:364" s="27" customFormat="1" x14ac:dyDescent="0.25">
      <c r="A421" s="122"/>
      <c r="B421" s="122"/>
      <c r="C421" s="126"/>
      <c r="D421" s="128"/>
      <c r="E421" s="109" t="s">
        <v>493</v>
      </c>
      <c r="F421" s="131"/>
      <c r="G421" s="131"/>
      <c r="H421" s="106" t="s">
        <v>438</v>
      </c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19"/>
      <c r="T421" s="119"/>
      <c r="U421" s="119"/>
      <c r="V421" s="119"/>
      <c r="W421" s="119"/>
      <c r="X421" s="119"/>
      <c r="Y421" s="119"/>
      <c r="Z421" s="119"/>
      <c r="AA421" s="119"/>
      <c r="AB421" s="119"/>
      <c r="AC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9"/>
      <c r="AT421" s="119"/>
      <c r="AU421" s="119"/>
      <c r="AV421" s="119"/>
      <c r="AW421" s="119"/>
      <c r="AX421" s="119"/>
      <c r="AY421" s="119"/>
      <c r="AZ421" s="119"/>
      <c r="BA421" s="119"/>
      <c r="BB421" s="119"/>
      <c r="BC421" s="119"/>
      <c r="BD421" s="119"/>
      <c r="BE421" s="119"/>
      <c r="BF421" s="119"/>
      <c r="BG421" s="119"/>
      <c r="BH421" s="119"/>
      <c r="BI421" s="119"/>
      <c r="BJ421" s="119"/>
      <c r="BK421" s="119"/>
      <c r="BL421" s="26"/>
      <c r="BM421" s="119"/>
      <c r="BN421" s="119"/>
      <c r="BO421" s="119"/>
      <c r="BP421" s="119"/>
      <c r="BQ421" s="119"/>
      <c r="BR421" s="119"/>
      <c r="BS421" s="119"/>
      <c r="BT421" s="119"/>
      <c r="BU421" s="119"/>
      <c r="BV421" s="119"/>
      <c r="BW421" s="119"/>
      <c r="BX421" s="119"/>
      <c r="BY421" s="119"/>
      <c r="BZ421" s="119"/>
      <c r="CA421" s="119"/>
      <c r="CB421" s="119"/>
      <c r="CC421" s="119"/>
      <c r="CD421" s="119"/>
      <c r="CE421" s="119"/>
      <c r="CF421" s="119"/>
      <c r="CG421" s="119"/>
      <c r="CH421" s="119"/>
      <c r="CI421" s="119"/>
      <c r="CJ421" s="119"/>
      <c r="CK421" s="119"/>
      <c r="CL421" s="119"/>
      <c r="CM421" s="119"/>
      <c r="CN421" s="119"/>
      <c r="CO421" s="119"/>
      <c r="CP421" s="119"/>
      <c r="CQ421" s="119"/>
      <c r="CR421" s="119"/>
      <c r="CS421" s="119"/>
      <c r="CT421" s="119"/>
      <c r="CU421" s="119"/>
      <c r="CV421" s="119"/>
      <c r="CW421" s="119"/>
      <c r="CX421" s="119"/>
      <c r="CY421" s="119"/>
      <c r="CZ421" s="119"/>
      <c r="DA421" s="119"/>
      <c r="DB421" s="119"/>
      <c r="DC421" s="119"/>
      <c r="DD421" s="119"/>
      <c r="DE421" s="119"/>
      <c r="DF421" s="119"/>
      <c r="DG421" s="119"/>
      <c r="DH421" s="119"/>
      <c r="DI421" s="119"/>
      <c r="DJ421" s="119"/>
      <c r="DK421" s="119"/>
      <c r="DL421" s="119"/>
      <c r="DM421" s="119"/>
      <c r="DN421" s="119"/>
      <c r="DO421" s="119"/>
      <c r="DP421" s="119"/>
      <c r="DQ421" s="119"/>
      <c r="DR421" s="119"/>
      <c r="DS421" s="119"/>
      <c r="DT421" s="119"/>
      <c r="DU421" s="119"/>
      <c r="DV421" s="119"/>
      <c r="DW421" s="119"/>
      <c r="DX421" s="119"/>
      <c r="DY421" s="119"/>
      <c r="DZ421" s="119"/>
      <c r="EA421" s="119"/>
      <c r="EB421" s="119"/>
      <c r="EC421" s="119"/>
      <c r="ED421" s="119"/>
      <c r="EE421" s="119"/>
      <c r="EF421" s="119"/>
      <c r="EG421" s="119"/>
      <c r="EH421" s="119"/>
      <c r="EI421" s="119"/>
      <c r="EJ421" s="119"/>
      <c r="EK421" s="119"/>
      <c r="EL421" s="119"/>
      <c r="EM421" s="119"/>
      <c r="EN421" s="119"/>
      <c r="EO421" s="119"/>
      <c r="EP421" s="119"/>
      <c r="EQ421" s="119"/>
      <c r="ER421" s="119"/>
      <c r="ES421" s="119"/>
      <c r="ET421" s="119"/>
      <c r="EU421" s="119"/>
      <c r="EV421" s="119"/>
      <c r="EW421" s="119"/>
      <c r="EX421" s="119"/>
      <c r="EY421" s="119"/>
      <c r="EZ421" s="119"/>
      <c r="FA421" s="119"/>
      <c r="FB421" s="119"/>
      <c r="FC421" s="119"/>
      <c r="FD421" s="119"/>
      <c r="FE421" s="119"/>
      <c r="FF421" s="119"/>
      <c r="FG421" s="119"/>
      <c r="FH421" s="119"/>
      <c r="FI421" s="119"/>
      <c r="FJ421" s="119"/>
      <c r="FK421" s="119"/>
      <c r="FL421" s="119"/>
      <c r="FM421" s="119"/>
      <c r="FN421" s="119"/>
      <c r="FO421" s="119"/>
      <c r="FP421" s="119"/>
      <c r="FQ421" s="119"/>
      <c r="FR421" s="119"/>
      <c r="FS421" s="119"/>
      <c r="FT421" s="119"/>
      <c r="FU421" s="119"/>
      <c r="FV421" s="119"/>
      <c r="FW421" s="119"/>
      <c r="FX421" s="119"/>
      <c r="FY421" s="119"/>
      <c r="FZ421" s="119"/>
      <c r="GA421" s="119"/>
      <c r="GB421" s="119"/>
      <c r="GC421" s="119"/>
      <c r="GD421" s="119"/>
      <c r="GE421" s="119"/>
      <c r="GF421" s="119"/>
      <c r="GG421" s="119"/>
      <c r="GH421" s="119"/>
      <c r="GI421" s="119"/>
      <c r="GJ421" s="119"/>
      <c r="GK421" s="119"/>
      <c r="GL421" s="119"/>
      <c r="GM421" s="119"/>
      <c r="GN421" s="119"/>
      <c r="GO421" s="119"/>
      <c r="GP421" s="119"/>
      <c r="GQ421" s="119"/>
      <c r="GR421" s="119"/>
      <c r="GS421" s="119"/>
      <c r="GT421" s="119"/>
      <c r="GU421" s="119"/>
      <c r="GV421" s="119"/>
      <c r="GW421" s="119"/>
      <c r="GX421" s="119"/>
      <c r="GY421" s="119"/>
      <c r="GZ421" s="119"/>
      <c r="HA421" s="119"/>
      <c r="HB421" s="119"/>
      <c r="HC421" s="119"/>
      <c r="HD421" s="119"/>
      <c r="HE421" s="119"/>
      <c r="HF421" s="119"/>
      <c r="HG421" s="119"/>
      <c r="HH421" s="119"/>
      <c r="HI421" s="119"/>
      <c r="HJ421" s="119"/>
      <c r="HK421" s="119"/>
      <c r="HL421" s="119"/>
      <c r="HM421" s="119"/>
      <c r="HN421" s="119"/>
      <c r="HO421" s="119"/>
      <c r="HP421" s="119"/>
      <c r="HQ421" s="119"/>
      <c r="HR421" s="119"/>
      <c r="HS421" s="119"/>
      <c r="HT421" s="119"/>
      <c r="HU421" s="119"/>
      <c r="HV421" s="119"/>
      <c r="HW421" s="119"/>
      <c r="HX421" s="119"/>
      <c r="HY421" s="119"/>
      <c r="HZ421" s="119"/>
      <c r="IA421" s="119"/>
      <c r="IB421" s="119"/>
      <c r="IC421" s="119"/>
      <c r="ID421" s="119"/>
      <c r="IE421" s="119"/>
      <c r="IF421" s="119"/>
      <c r="IG421" s="119"/>
      <c r="IH421" s="119"/>
      <c r="II421" s="119"/>
      <c r="IJ421" s="119"/>
      <c r="IK421" s="119"/>
      <c r="IL421" s="119"/>
      <c r="IM421" s="119"/>
      <c r="IN421" s="119"/>
      <c r="IO421" s="119"/>
      <c r="IP421" s="119"/>
      <c r="IQ421" s="119"/>
      <c r="IR421" s="119"/>
      <c r="IS421" s="119"/>
      <c r="IT421" s="119"/>
      <c r="IU421" s="119"/>
      <c r="IV421" s="119"/>
      <c r="IW421" s="119"/>
      <c r="IX421" s="119"/>
      <c r="IY421" s="119"/>
      <c r="IZ421" s="119"/>
      <c r="JA421" s="119"/>
      <c r="JB421" s="119"/>
      <c r="JC421" s="119"/>
      <c r="JD421" s="119"/>
      <c r="JE421" s="119"/>
      <c r="JF421" s="119"/>
      <c r="JG421" s="119"/>
      <c r="JH421" s="119"/>
      <c r="JI421" s="119"/>
      <c r="JJ421" s="119"/>
      <c r="JK421" s="119"/>
      <c r="JL421" s="119"/>
      <c r="JM421" s="119"/>
      <c r="JN421" s="119"/>
      <c r="JO421" s="119"/>
      <c r="JP421" s="119"/>
      <c r="JQ421" s="119"/>
      <c r="JR421" s="119"/>
      <c r="JS421" s="119"/>
      <c r="JT421" s="119"/>
      <c r="JU421" s="119"/>
      <c r="JV421" s="119"/>
      <c r="JW421" s="119"/>
      <c r="JX421" s="119"/>
      <c r="JY421" s="119"/>
      <c r="JZ421" s="119"/>
      <c r="KA421" s="119"/>
      <c r="KB421" s="119"/>
      <c r="KC421" s="119"/>
      <c r="KD421" s="119"/>
      <c r="KE421" s="119"/>
      <c r="KF421" s="119"/>
      <c r="KG421" s="119"/>
      <c r="KH421" s="119"/>
      <c r="KI421" s="119"/>
      <c r="KJ421" s="119"/>
      <c r="KK421" s="119"/>
      <c r="KL421" s="119"/>
      <c r="KM421" s="119"/>
      <c r="KN421" s="119"/>
      <c r="KO421" s="119"/>
      <c r="KP421" s="119"/>
      <c r="KQ421" s="119"/>
      <c r="KR421" s="119"/>
      <c r="KS421" s="119"/>
      <c r="KT421" s="119"/>
      <c r="KU421" s="119"/>
      <c r="KV421" s="119"/>
      <c r="KW421" s="119"/>
      <c r="KX421" s="119"/>
      <c r="KY421" s="119"/>
      <c r="KZ421" s="119"/>
      <c r="LA421" s="119"/>
      <c r="LB421" s="119"/>
      <c r="LC421" s="119"/>
      <c r="LD421" s="119"/>
      <c r="LE421" s="119"/>
      <c r="LF421" s="119"/>
      <c r="LG421" s="119"/>
      <c r="LH421" s="119"/>
      <c r="LI421" s="119"/>
      <c r="LJ421" s="119"/>
      <c r="LK421" s="119"/>
      <c r="LL421" s="119"/>
      <c r="LM421" s="119"/>
      <c r="LN421" s="119"/>
      <c r="LO421" s="119"/>
      <c r="LP421" s="119"/>
      <c r="LQ421" s="119"/>
      <c r="LR421" s="119"/>
      <c r="LS421" s="119"/>
      <c r="LT421" s="119"/>
      <c r="LU421" s="119"/>
      <c r="LV421" s="119"/>
      <c r="LW421" s="119"/>
      <c r="LX421" s="119"/>
      <c r="LY421" s="119"/>
      <c r="LZ421" s="119"/>
      <c r="MA421" s="119"/>
      <c r="MB421" s="119"/>
      <c r="MC421" s="119"/>
      <c r="MD421" s="119"/>
      <c r="ME421" s="119"/>
      <c r="MF421" s="119"/>
      <c r="MG421" s="119"/>
      <c r="MH421" s="119"/>
      <c r="MI421" s="119"/>
      <c r="MJ421" s="119"/>
      <c r="MK421" s="119"/>
      <c r="ML421" s="119"/>
      <c r="MM421" s="119"/>
      <c r="MN421" s="119"/>
      <c r="MO421" s="119"/>
      <c r="MP421" s="119"/>
      <c r="MQ421" s="119"/>
      <c r="MR421" s="119"/>
      <c r="MS421" s="119"/>
      <c r="MT421" s="119"/>
      <c r="MU421" s="119"/>
      <c r="MV421" s="119"/>
      <c r="MW421" s="119"/>
      <c r="MX421" s="119"/>
      <c r="MY421" s="119"/>
      <c r="MZ421" s="119"/>
    </row>
    <row r="422" spans="1:364" s="27" customFormat="1" x14ac:dyDescent="0.25">
      <c r="A422" s="123"/>
      <c r="B422" s="123"/>
      <c r="C422" s="126"/>
      <c r="D422" s="129"/>
      <c r="E422" s="109"/>
      <c r="F422" s="131"/>
      <c r="G422" s="132"/>
      <c r="H422" s="114" t="s">
        <v>149</v>
      </c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19"/>
      <c r="T422" s="119"/>
      <c r="U422" s="119"/>
      <c r="V422" s="119"/>
      <c r="W422" s="119"/>
      <c r="X422" s="119"/>
      <c r="Y422" s="119"/>
      <c r="Z422" s="119"/>
      <c r="AA422" s="119"/>
      <c r="AB422" s="119"/>
      <c r="AC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9"/>
      <c r="AT422" s="119"/>
      <c r="AU422" s="119"/>
      <c r="AV422" s="119"/>
      <c r="AW422" s="119"/>
      <c r="AX422" s="119"/>
      <c r="AY422" s="119"/>
      <c r="AZ422" s="119"/>
      <c r="BA422" s="119"/>
      <c r="BB422" s="119"/>
      <c r="BC422" s="119"/>
      <c r="BD422" s="119"/>
      <c r="BE422" s="119"/>
      <c r="BF422" s="119"/>
      <c r="BG422" s="119"/>
      <c r="BH422" s="119"/>
      <c r="BI422" s="119"/>
      <c r="BJ422" s="119"/>
      <c r="BK422" s="119"/>
      <c r="BL422" s="26"/>
      <c r="BM422" s="119"/>
      <c r="BN422" s="119"/>
      <c r="BO422" s="119"/>
      <c r="BP422" s="119"/>
      <c r="BQ422" s="119"/>
      <c r="BR422" s="119"/>
      <c r="BS422" s="119"/>
      <c r="BT422" s="119"/>
      <c r="BU422" s="119"/>
      <c r="BV422" s="119"/>
      <c r="BW422" s="119"/>
      <c r="BX422" s="119"/>
      <c r="BY422" s="119"/>
      <c r="BZ422" s="119"/>
      <c r="CA422" s="119"/>
      <c r="CB422" s="119"/>
      <c r="CC422" s="119"/>
      <c r="CD422" s="119"/>
      <c r="CE422" s="119"/>
      <c r="CF422" s="119"/>
      <c r="CG422" s="119"/>
      <c r="CH422" s="119"/>
      <c r="CI422" s="119"/>
      <c r="CJ422" s="119"/>
      <c r="CK422" s="119"/>
      <c r="CL422" s="119"/>
      <c r="CM422" s="119"/>
      <c r="CN422" s="119"/>
      <c r="CO422" s="119"/>
      <c r="CP422" s="119"/>
      <c r="CQ422" s="119"/>
      <c r="CR422" s="119"/>
      <c r="CS422" s="119"/>
      <c r="CT422" s="119"/>
      <c r="CU422" s="119"/>
      <c r="CV422" s="119"/>
      <c r="CW422" s="119"/>
      <c r="CX422" s="119"/>
      <c r="CY422" s="119"/>
      <c r="CZ422" s="119"/>
      <c r="DA422" s="119"/>
      <c r="DB422" s="119"/>
      <c r="DC422" s="119"/>
      <c r="DD422" s="119"/>
      <c r="DE422" s="119"/>
      <c r="DF422" s="119"/>
      <c r="DG422" s="119"/>
      <c r="DH422" s="119"/>
      <c r="DI422" s="119"/>
      <c r="DJ422" s="119"/>
      <c r="DK422" s="119"/>
      <c r="DL422" s="119"/>
      <c r="DM422" s="119"/>
      <c r="DN422" s="119"/>
      <c r="DO422" s="119"/>
      <c r="DP422" s="119"/>
      <c r="DQ422" s="119"/>
      <c r="DR422" s="119"/>
      <c r="DS422" s="119"/>
      <c r="DT422" s="119"/>
      <c r="DU422" s="119"/>
      <c r="DV422" s="119"/>
      <c r="DW422" s="119"/>
      <c r="DX422" s="119"/>
      <c r="DY422" s="119"/>
      <c r="DZ422" s="119"/>
      <c r="EA422" s="119"/>
      <c r="EB422" s="119"/>
      <c r="EC422" s="119"/>
      <c r="ED422" s="119"/>
      <c r="EE422" s="119"/>
      <c r="EF422" s="119"/>
      <c r="EG422" s="119"/>
      <c r="EH422" s="119"/>
      <c r="EI422" s="119"/>
      <c r="EJ422" s="119"/>
      <c r="EK422" s="119"/>
      <c r="EL422" s="119"/>
      <c r="EM422" s="119"/>
      <c r="EN422" s="119"/>
      <c r="EO422" s="119"/>
      <c r="EP422" s="119"/>
      <c r="EQ422" s="119"/>
      <c r="ER422" s="119"/>
      <c r="ES422" s="119"/>
      <c r="ET422" s="119"/>
      <c r="EU422" s="119"/>
      <c r="EV422" s="119"/>
      <c r="EW422" s="119"/>
      <c r="EX422" s="119"/>
      <c r="EY422" s="119"/>
      <c r="EZ422" s="119"/>
      <c r="FA422" s="119"/>
      <c r="FB422" s="119"/>
      <c r="FC422" s="119"/>
      <c r="FD422" s="119"/>
      <c r="FE422" s="119"/>
      <c r="FF422" s="119"/>
      <c r="FG422" s="119"/>
      <c r="FH422" s="119"/>
      <c r="FI422" s="119"/>
      <c r="FJ422" s="119"/>
      <c r="FK422" s="119"/>
      <c r="FL422" s="119"/>
      <c r="FM422" s="119"/>
      <c r="FN422" s="119"/>
      <c r="FO422" s="119"/>
      <c r="FP422" s="119"/>
      <c r="FQ422" s="119"/>
      <c r="FR422" s="119"/>
      <c r="FS422" s="119"/>
      <c r="FT422" s="119"/>
      <c r="FU422" s="119"/>
      <c r="FV422" s="119"/>
      <c r="FW422" s="119"/>
      <c r="FX422" s="119"/>
      <c r="FY422" s="119"/>
      <c r="FZ422" s="119"/>
      <c r="GA422" s="119"/>
      <c r="GB422" s="119"/>
      <c r="GC422" s="119"/>
      <c r="GD422" s="119"/>
      <c r="GE422" s="119"/>
      <c r="GF422" s="119"/>
      <c r="GG422" s="119"/>
      <c r="GH422" s="119"/>
      <c r="GI422" s="119"/>
      <c r="GJ422" s="119"/>
      <c r="GK422" s="119"/>
      <c r="GL422" s="119"/>
      <c r="GM422" s="119"/>
      <c r="GN422" s="119"/>
      <c r="GO422" s="119"/>
      <c r="GP422" s="119"/>
      <c r="GQ422" s="119"/>
      <c r="GR422" s="119"/>
      <c r="GS422" s="119"/>
      <c r="GT422" s="119"/>
      <c r="GU422" s="119"/>
      <c r="GV422" s="119"/>
      <c r="GW422" s="119"/>
      <c r="GX422" s="119"/>
      <c r="GY422" s="119"/>
      <c r="GZ422" s="119"/>
      <c r="HA422" s="119"/>
      <c r="HB422" s="119"/>
      <c r="HC422" s="119"/>
      <c r="HD422" s="119"/>
      <c r="HE422" s="119"/>
      <c r="HF422" s="119"/>
      <c r="HG422" s="119"/>
      <c r="HH422" s="119"/>
      <c r="HI422" s="119"/>
      <c r="HJ422" s="119"/>
      <c r="HK422" s="119"/>
      <c r="HL422" s="119"/>
      <c r="HM422" s="119"/>
      <c r="HN422" s="119"/>
      <c r="HO422" s="119"/>
      <c r="HP422" s="119"/>
      <c r="HQ422" s="119"/>
      <c r="HR422" s="119"/>
      <c r="HS422" s="119"/>
      <c r="HT422" s="119"/>
      <c r="HU422" s="119"/>
      <c r="HV422" s="119"/>
      <c r="HW422" s="119"/>
      <c r="HX422" s="119"/>
      <c r="HY422" s="119"/>
      <c r="HZ422" s="119"/>
      <c r="IA422" s="119"/>
      <c r="IB422" s="119"/>
      <c r="IC422" s="119"/>
      <c r="ID422" s="119"/>
      <c r="IE422" s="119"/>
      <c r="IF422" s="119"/>
      <c r="IG422" s="119"/>
      <c r="IH422" s="119"/>
      <c r="II422" s="119"/>
      <c r="IJ422" s="119"/>
      <c r="IK422" s="119"/>
      <c r="IL422" s="119"/>
      <c r="IM422" s="119"/>
      <c r="IN422" s="119"/>
      <c r="IO422" s="119"/>
      <c r="IP422" s="119"/>
      <c r="IQ422" s="119"/>
      <c r="IR422" s="119"/>
      <c r="IS422" s="119"/>
      <c r="IT422" s="119"/>
      <c r="IU422" s="119"/>
      <c r="IV422" s="119"/>
      <c r="IW422" s="119"/>
      <c r="IX422" s="119"/>
      <c r="IY422" s="119"/>
      <c r="IZ422" s="119"/>
      <c r="JA422" s="119"/>
      <c r="JB422" s="119"/>
      <c r="JC422" s="119"/>
      <c r="JD422" s="119"/>
      <c r="JE422" s="119"/>
      <c r="JF422" s="119"/>
      <c r="JG422" s="119"/>
      <c r="JH422" s="119"/>
      <c r="JI422" s="119"/>
      <c r="JJ422" s="119"/>
      <c r="JK422" s="119"/>
      <c r="JL422" s="119"/>
      <c r="JM422" s="119"/>
      <c r="JN422" s="119"/>
      <c r="JO422" s="119"/>
      <c r="JP422" s="119"/>
      <c r="JQ422" s="119"/>
      <c r="JR422" s="119"/>
      <c r="JS422" s="119"/>
      <c r="JT422" s="119"/>
      <c r="JU422" s="119"/>
      <c r="JV422" s="119"/>
      <c r="JW422" s="119"/>
      <c r="JX422" s="119"/>
      <c r="JY422" s="119"/>
      <c r="JZ422" s="119"/>
      <c r="KA422" s="119"/>
      <c r="KB422" s="119"/>
      <c r="KC422" s="119"/>
      <c r="KD422" s="119"/>
      <c r="KE422" s="119"/>
      <c r="KF422" s="119"/>
      <c r="KG422" s="119"/>
      <c r="KH422" s="119"/>
      <c r="KI422" s="119"/>
      <c r="KJ422" s="119"/>
      <c r="KK422" s="119"/>
      <c r="KL422" s="119"/>
      <c r="KM422" s="119"/>
      <c r="KN422" s="119"/>
      <c r="KO422" s="119"/>
      <c r="KP422" s="119"/>
      <c r="KQ422" s="119"/>
      <c r="KR422" s="119"/>
      <c r="KS422" s="119"/>
      <c r="KT422" s="119"/>
      <c r="KU422" s="119"/>
      <c r="KV422" s="119"/>
      <c r="KW422" s="119"/>
      <c r="KX422" s="119"/>
      <c r="KY422" s="119"/>
      <c r="KZ422" s="119"/>
      <c r="LA422" s="119"/>
      <c r="LB422" s="119"/>
      <c r="LC422" s="119"/>
      <c r="LD422" s="119"/>
      <c r="LE422" s="119"/>
      <c r="LF422" s="119"/>
      <c r="LG422" s="119"/>
      <c r="LH422" s="119"/>
      <c r="LI422" s="119"/>
      <c r="LJ422" s="119"/>
      <c r="LK422" s="119"/>
      <c r="LL422" s="119"/>
      <c r="LM422" s="119"/>
      <c r="LN422" s="119"/>
      <c r="LO422" s="119"/>
      <c r="LP422" s="119"/>
      <c r="LQ422" s="119"/>
      <c r="LR422" s="119"/>
      <c r="LS422" s="119"/>
      <c r="LT422" s="119"/>
      <c r="LU422" s="119"/>
      <c r="LV422" s="119"/>
      <c r="LW422" s="119"/>
      <c r="LX422" s="119"/>
      <c r="LY422" s="119"/>
      <c r="LZ422" s="119"/>
      <c r="MA422" s="119"/>
      <c r="MB422" s="119"/>
      <c r="MC422" s="119"/>
      <c r="MD422" s="119"/>
      <c r="ME422" s="119"/>
      <c r="MF422" s="119"/>
      <c r="MG422" s="119"/>
      <c r="MH422" s="119"/>
      <c r="MI422" s="119"/>
      <c r="MJ422" s="119"/>
      <c r="MK422" s="119"/>
      <c r="ML422" s="119"/>
      <c r="MM422" s="119"/>
      <c r="MN422" s="119"/>
      <c r="MO422" s="119"/>
      <c r="MP422" s="119"/>
      <c r="MQ422" s="119"/>
      <c r="MR422" s="119"/>
      <c r="MS422" s="119"/>
      <c r="MT422" s="119"/>
      <c r="MU422" s="119"/>
      <c r="MV422" s="119"/>
      <c r="MW422" s="119"/>
      <c r="MX422" s="119"/>
      <c r="MY422" s="119"/>
      <c r="MZ422" s="119"/>
    </row>
    <row r="423" spans="1:364" s="27" customFormat="1" x14ac:dyDescent="0.25">
      <c r="A423" s="121"/>
      <c r="B423" s="124" t="e">
        <f>VLOOKUP(A423,Rules!$B$8:$C$154,2,0)</f>
        <v>#N/A</v>
      </c>
      <c r="C423" s="125">
        <f t="shared" ref="C423" si="5">SUM(I424:XX424)</f>
        <v>0</v>
      </c>
      <c r="D423" s="127"/>
      <c r="E423" s="110" t="s">
        <v>492</v>
      </c>
      <c r="F423" s="130" t="e">
        <f>VLOOKUP(A423,Table2[],10,0)</f>
        <v>#N/A</v>
      </c>
      <c r="G423" s="130"/>
      <c r="H423" s="113" t="s">
        <v>440</v>
      </c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9"/>
      <c r="T423" s="119"/>
      <c r="U423" s="119"/>
      <c r="V423" s="119"/>
      <c r="W423" s="119"/>
      <c r="X423" s="119"/>
      <c r="Y423" s="119"/>
      <c r="Z423" s="119"/>
      <c r="AA423" s="119"/>
      <c r="AB423" s="119"/>
      <c r="AC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9"/>
      <c r="AT423" s="119"/>
      <c r="AU423" s="119"/>
      <c r="AV423" s="119"/>
      <c r="AW423" s="119"/>
      <c r="AX423" s="119"/>
      <c r="AY423" s="119"/>
      <c r="AZ423" s="119"/>
      <c r="BA423" s="119"/>
      <c r="BB423" s="119"/>
      <c r="BC423" s="119"/>
      <c r="BD423" s="119"/>
      <c r="BE423" s="119"/>
      <c r="BF423" s="119"/>
      <c r="BG423" s="119"/>
      <c r="BH423" s="119"/>
      <c r="BI423" s="119"/>
      <c r="BJ423" s="119"/>
      <c r="BK423" s="119"/>
      <c r="BL423" s="26"/>
      <c r="BM423" s="119"/>
      <c r="BN423" s="26"/>
      <c r="BO423" s="119"/>
      <c r="BP423" s="119"/>
      <c r="BQ423" s="119"/>
      <c r="BR423" s="119"/>
      <c r="BS423" s="119"/>
      <c r="BT423" s="119"/>
      <c r="BU423" s="119"/>
      <c r="BV423" s="119"/>
      <c r="BW423" s="119"/>
      <c r="BX423" s="119"/>
      <c r="BY423" s="119"/>
      <c r="BZ423" s="119"/>
      <c r="CA423" s="119"/>
      <c r="CB423" s="119"/>
      <c r="CC423" s="119"/>
      <c r="CD423" s="119"/>
      <c r="CE423" s="119"/>
      <c r="CF423" s="119"/>
      <c r="CG423" s="119"/>
      <c r="CH423" s="119"/>
      <c r="CI423" s="119"/>
      <c r="CJ423" s="119"/>
      <c r="CK423" s="119"/>
      <c r="CL423" s="119"/>
      <c r="CM423" s="119"/>
      <c r="CN423" s="119"/>
      <c r="CO423" s="119"/>
      <c r="CP423" s="119"/>
      <c r="CQ423" s="119"/>
      <c r="CR423" s="119"/>
      <c r="CS423" s="119"/>
      <c r="CT423" s="119"/>
      <c r="CU423" s="119"/>
      <c r="CV423" s="119"/>
      <c r="CW423" s="119"/>
      <c r="CX423" s="119"/>
      <c r="CY423" s="119"/>
      <c r="CZ423" s="119"/>
      <c r="DA423" s="119"/>
      <c r="DB423" s="119"/>
      <c r="DC423" s="119"/>
      <c r="DD423" s="119"/>
      <c r="DE423" s="119"/>
      <c r="DF423" s="119"/>
      <c r="DG423" s="119"/>
      <c r="DH423" s="119"/>
      <c r="DI423" s="119"/>
      <c r="DJ423" s="119"/>
      <c r="DK423" s="119"/>
      <c r="DL423" s="119"/>
      <c r="DM423" s="119"/>
      <c r="DN423" s="119"/>
      <c r="DO423" s="119"/>
      <c r="DP423" s="119"/>
      <c r="DQ423" s="119"/>
      <c r="DR423" s="119"/>
      <c r="DS423" s="119"/>
      <c r="DT423" s="119"/>
      <c r="DU423" s="119"/>
      <c r="DV423" s="119"/>
      <c r="DW423" s="119"/>
      <c r="DX423" s="119"/>
      <c r="DY423" s="119"/>
      <c r="DZ423" s="119"/>
      <c r="EA423" s="119"/>
      <c r="EB423" s="119"/>
      <c r="EC423" s="119"/>
      <c r="ED423" s="119"/>
      <c r="EE423" s="119"/>
      <c r="EF423" s="119"/>
      <c r="EG423" s="119"/>
      <c r="EH423" s="119"/>
      <c r="EI423" s="119"/>
      <c r="EJ423" s="119"/>
      <c r="EK423" s="119"/>
      <c r="EL423" s="119"/>
      <c r="EM423" s="119"/>
      <c r="EN423" s="119"/>
      <c r="EO423" s="119"/>
      <c r="EP423" s="119"/>
      <c r="EQ423" s="119"/>
      <c r="ER423" s="119"/>
      <c r="ES423" s="119"/>
      <c r="ET423" s="119"/>
      <c r="EU423" s="119"/>
      <c r="EV423" s="119"/>
      <c r="EW423" s="119"/>
      <c r="EX423" s="119"/>
      <c r="EY423" s="119"/>
      <c r="EZ423" s="119"/>
      <c r="FA423" s="119"/>
      <c r="FB423" s="119"/>
      <c r="FC423" s="119"/>
      <c r="FD423" s="119"/>
      <c r="FE423" s="119"/>
      <c r="FF423" s="119"/>
      <c r="FG423" s="119"/>
      <c r="FH423" s="119"/>
      <c r="FI423" s="119"/>
      <c r="FJ423" s="119"/>
      <c r="FK423" s="119"/>
      <c r="FL423" s="119"/>
      <c r="FM423" s="119"/>
      <c r="FN423" s="119"/>
      <c r="FO423" s="119"/>
      <c r="FP423" s="119"/>
      <c r="FQ423" s="119"/>
      <c r="FR423" s="119"/>
      <c r="FS423" s="119"/>
      <c r="FT423" s="119"/>
      <c r="FU423" s="119"/>
      <c r="FV423" s="119"/>
      <c r="FW423" s="119"/>
      <c r="FX423" s="119"/>
      <c r="FY423" s="119"/>
      <c r="FZ423" s="119"/>
      <c r="GA423" s="119"/>
      <c r="GB423" s="119"/>
      <c r="GC423" s="119"/>
      <c r="GD423" s="119"/>
      <c r="GE423" s="119"/>
      <c r="GF423" s="119"/>
      <c r="GG423" s="119"/>
      <c r="GH423" s="119"/>
      <c r="GI423" s="119"/>
      <c r="GJ423" s="119"/>
      <c r="GK423" s="119"/>
      <c r="GL423" s="119"/>
      <c r="GM423" s="119"/>
      <c r="GN423" s="119"/>
      <c r="GO423" s="119"/>
      <c r="GP423" s="119"/>
      <c r="GQ423" s="119"/>
      <c r="GR423" s="119"/>
      <c r="GS423" s="119"/>
      <c r="GT423" s="119"/>
      <c r="GU423" s="119"/>
      <c r="GV423" s="119"/>
      <c r="GW423" s="119"/>
      <c r="GX423" s="119"/>
      <c r="GY423" s="119"/>
      <c r="GZ423" s="119"/>
      <c r="HA423" s="119"/>
      <c r="HB423" s="119"/>
      <c r="HC423" s="119"/>
      <c r="HD423" s="119"/>
      <c r="HE423" s="119"/>
      <c r="HF423" s="119"/>
      <c r="HG423" s="119"/>
      <c r="HH423" s="119"/>
      <c r="HI423" s="119"/>
      <c r="HJ423" s="119"/>
      <c r="HK423" s="119"/>
      <c r="HL423" s="119"/>
      <c r="HM423" s="119"/>
      <c r="HN423" s="119"/>
      <c r="HO423" s="119"/>
      <c r="HP423" s="119"/>
      <c r="HQ423" s="119"/>
      <c r="HR423" s="119"/>
      <c r="HS423" s="119"/>
      <c r="HT423" s="119"/>
      <c r="HU423" s="119"/>
      <c r="HV423" s="119"/>
      <c r="HW423" s="119"/>
      <c r="HX423" s="119"/>
      <c r="HY423" s="119"/>
      <c r="HZ423" s="119"/>
      <c r="IA423" s="119"/>
      <c r="IB423" s="119"/>
      <c r="IC423" s="119"/>
      <c r="ID423" s="119"/>
      <c r="IE423" s="119"/>
      <c r="IF423" s="119"/>
      <c r="IG423" s="119"/>
      <c r="IH423" s="119"/>
      <c r="II423" s="119"/>
      <c r="IJ423" s="119"/>
      <c r="IK423" s="119"/>
      <c r="IL423" s="119"/>
      <c r="IM423" s="119"/>
      <c r="IN423" s="119"/>
      <c r="IO423" s="119"/>
      <c r="IP423" s="119"/>
      <c r="IQ423" s="119"/>
      <c r="IR423" s="119"/>
      <c r="IS423" s="119"/>
      <c r="IT423" s="119"/>
      <c r="IU423" s="119"/>
      <c r="IV423" s="119"/>
      <c r="IW423" s="119"/>
      <c r="IX423" s="119"/>
      <c r="IY423" s="119"/>
      <c r="IZ423" s="119"/>
      <c r="JA423" s="119"/>
      <c r="JB423" s="119"/>
      <c r="JC423" s="119"/>
      <c r="JD423" s="119"/>
      <c r="JE423" s="119"/>
      <c r="JF423" s="119"/>
      <c r="JG423" s="119"/>
      <c r="JH423" s="119"/>
      <c r="JI423" s="119"/>
      <c r="JJ423" s="119"/>
      <c r="JK423" s="119"/>
      <c r="JL423" s="119"/>
      <c r="JM423" s="119"/>
      <c r="JN423" s="119"/>
      <c r="JO423" s="119"/>
      <c r="JP423" s="119"/>
      <c r="JQ423" s="119"/>
      <c r="JR423" s="119"/>
      <c r="JS423" s="119"/>
      <c r="JT423" s="119"/>
      <c r="JU423" s="119"/>
      <c r="JV423" s="119"/>
      <c r="JW423" s="119"/>
      <c r="JX423" s="119"/>
      <c r="JY423" s="119"/>
      <c r="JZ423" s="119"/>
      <c r="KA423" s="119"/>
      <c r="KB423" s="119"/>
      <c r="KC423" s="119"/>
      <c r="KD423" s="119"/>
      <c r="KE423" s="119"/>
      <c r="KF423" s="119"/>
      <c r="KG423" s="119"/>
      <c r="KH423" s="119"/>
      <c r="KI423" s="119"/>
      <c r="KJ423" s="119"/>
      <c r="KK423" s="119"/>
      <c r="KL423" s="119"/>
      <c r="KM423" s="119"/>
      <c r="KN423" s="119"/>
      <c r="KO423" s="119"/>
      <c r="KP423" s="119"/>
      <c r="KQ423" s="119"/>
      <c r="KR423" s="119"/>
      <c r="KS423" s="119"/>
      <c r="KT423" s="119"/>
      <c r="KU423" s="119"/>
      <c r="KV423" s="119"/>
      <c r="KW423" s="119"/>
      <c r="KX423" s="119"/>
      <c r="KY423" s="119"/>
      <c r="KZ423" s="119"/>
      <c r="LA423" s="119"/>
      <c r="LB423" s="119"/>
      <c r="LC423" s="119"/>
      <c r="LD423" s="119"/>
      <c r="LE423" s="119"/>
      <c r="LF423" s="119"/>
      <c r="LG423" s="119"/>
      <c r="LH423" s="119"/>
      <c r="LI423" s="119"/>
      <c r="LJ423" s="119"/>
      <c r="LK423" s="119"/>
      <c r="LL423" s="119"/>
      <c r="LM423" s="119"/>
      <c r="LN423" s="119"/>
      <c r="LO423" s="119"/>
      <c r="LP423" s="119"/>
      <c r="LQ423" s="119"/>
      <c r="LR423" s="119"/>
      <c r="LS423" s="119"/>
      <c r="LT423" s="119"/>
      <c r="LU423" s="119"/>
      <c r="LV423" s="119"/>
      <c r="LW423" s="119"/>
      <c r="LX423" s="119"/>
      <c r="LY423" s="119"/>
      <c r="LZ423" s="119"/>
      <c r="MA423" s="119"/>
      <c r="MB423" s="119"/>
      <c r="MC423" s="119"/>
      <c r="MD423" s="119"/>
      <c r="ME423" s="119"/>
      <c r="MF423" s="119"/>
      <c r="MG423" s="119"/>
      <c r="MH423" s="119"/>
      <c r="MI423" s="119"/>
      <c r="MJ423" s="119"/>
      <c r="MK423" s="119"/>
      <c r="ML423" s="119"/>
      <c r="MM423" s="119"/>
      <c r="MN423" s="119"/>
      <c r="MO423" s="119"/>
      <c r="MP423" s="119"/>
      <c r="MQ423" s="119"/>
      <c r="MR423" s="119"/>
      <c r="MS423" s="119"/>
      <c r="MT423" s="119"/>
      <c r="MU423" s="119"/>
      <c r="MV423" s="119"/>
      <c r="MW423" s="119"/>
      <c r="MX423" s="119"/>
      <c r="MY423" s="119"/>
      <c r="MZ423" s="119"/>
    </row>
    <row r="424" spans="1:364" s="27" customFormat="1" x14ac:dyDescent="0.25">
      <c r="A424" s="122"/>
      <c r="B424" s="122"/>
      <c r="C424" s="126"/>
      <c r="D424" s="128"/>
      <c r="E424" s="109"/>
      <c r="F424" s="131"/>
      <c r="G424" s="131"/>
      <c r="H424" s="105" t="s">
        <v>439</v>
      </c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9"/>
      <c r="T424" s="119"/>
      <c r="U424" s="119"/>
      <c r="V424" s="119"/>
      <c r="W424" s="119"/>
      <c r="X424" s="119"/>
      <c r="Y424" s="119"/>
      <c r="Z424" s="119"/>
      <c r="AA424" s="119"/>
      <c r="AB424" s="119"/>
      <c r="AC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9"/>
      <c r="AT424" s="119"/>
      <c r="AU424" s="119"/>
      <c r="AV424" s="119"/>
      <c r="AW424" s="119"/>
      <c r="AX424" s="119"/>
      <c r="AY424" s="119"/>
      <c r="AZ424" s="119"/>
      <c r="BA424" s="119"/>
      <c r="BB424" s="119"/>
      <c r="BC424" s="119"/>
      <c r="BD424" s="119"/>
      <c r="BE424" s="119"/>
      <c r="BF424" s="119"/>
      <c r="BG424" s="119"/>
      <c r="BH424" s="119"/>
      <c r="BI424" s="119"/>
      <c r="BJ424" s="119"/>
      <c r="BK424" s="119"/>
      <c r="BL424" s="26"/>
      <c r="BM424" s="119"/>
      <c r="BN424" s="26"/>
      <c r="BO424" s="119"/>
      <c r="BP424" s="119"/>
      <c r="BQ424" s="119"/>
      <c r="BR424" s="119"/>
      <c r="BS424" s="119"/>
      <c r="BT424" s="119"/>
      <c r="BU424" s="119"/>
      <c r="BV424" s="119"/>
      <c r="BW424" s="119"/>
      <c r="BX424" s="119"/>
      <c r="BY424" s="119"/>
      <c r="BZ424" s="119"/>
      <c r="CA424" s="119"/>
      <c r="CB424" s="119"/>
      <c r="CC424" s="119"/>
      <c r="CD424" s="119"/>
      <c r="CE424" s="119"/>
      <c r="CF424" s="119"/>
      <c r="CG424" s="119"/>
      <c r="CH424" s="119"/>
      <c r="CI424" s="119"/>
      <c r="CJ424" s="119"/>
      <c r="CK424" s="119"/>
      <c r="CL424" s="119"/>
      <c r="CM424" s="119"/>
      <c r="CN424" s="119"/>
      <c r="CO424" s="119"/>
      <c r="CP424" s="119"/>
      <c r="CQ424" s="119"/>
      <c r="CR424" s="119"/>
      <c r="CS424" s="119"/>
      <c r="CT424" s="119"/>
      <c r="CU424" s="119"/>
      <c r="CV424" s="119"/>
      <c r="CW424" s="119"/>
      <c r="CX424" s="119"/>
      <c r="CY424" s="119"/>
      <c r="CZ424" s="119"/>
      <c r="DA424" s="119"/>
      <c r="DB424" s="119"/>
      <c r="DC424" s="119"/>
      <c r="DD424" s="119"/>
      <c r="DE424" s="119"/>
      <c r="DF424" s="119"/>
      <c r="DG424" s="119"/>
      <c r="DH424" s="119"/>
      <c r="DI424" s="119"/>
      <c r="DJ424" s="119"/>
      <c r="DK424" s="119"/>
      <c r="DL424" s="119"/>
      <c r="DM424" s="119"/>
      <c r="DN424" s="119"/>
      <c r="DO424" s="119"/>
      <c r="DP424" s="119"/>
      <c r="DQ424" s="119"/>
      <c r="DR424" s="119"/>
      <c r="DS424" s="119"/>
      <c r="DT424" s="119"/>
      <c r="DU424" s="119"/>
      <c r="DV424" s="119"/>
      <c r="DW424" s="119"/>
      <c r="DX424" s="119"/>
      <c r="DY424" s="119"/>
      <c r="DZ424" s="119"/>
      <c r="EA424" s="119"/>
      <c r="EB424" s="119"/>
      <c r="EC424" s="119"/>
      <c r="ED424" s="119"/>
      <c r="EE424" s="119"/>
      <c r="EF424" s="119"/>
      <c r="EG424" s="119"/>
      <c r="EH424" s="119"/>
      <c r="EI424" s="119"/>
      <c r="EJ424" s="119"/>
      <c r="EK424" s="119"/>
      <c r="EL424" s="119"/>
      <c r="EM424" s="119"/>
      <c r="EN424" s="119"/>
      <c r="EO424" s="119"/>
      <c r="EP424" s="119"/>
      <c r="EQ424" s="119"/>
      <c r="ER424" s="119"/>
      <c r="ES424" s="119"/>
      <c r="ET424" s="119"/>
      <c r="EU424" s="119"/>
      <c r="EV424" s="119"/>
      <c r="EW424" s="119"/>
      <c r="EX424" s="119"/>
      <c r="EY424" s="119"/>
      <c r="EZ424" s="119"/>
      <c r="FA424" s="119"/>
      <c r="FB424" s="119"/>
      <c r="FC424" s="119"/>
      <c r="FD424" s="119"/>
      <c r="FE424" s="119"/>
      <c r="FF424" s="119"/>
      <c r="FG424" s="119"/>
      <c r="FH424" s="119"/>
      <c r="FI424" s="119"/>
      <c r="FJ424" s="119"/>
      <c r="FK424" s="119"/>
      <c r="FL424" s="119"/>
      <c r="FM424" s="119"/>
      <c r="FN424" s="119"/>
      <c r="FO424" s="119"/>
      <c r="FP424" s="119"/>
      <c r="FQ424" s="119"/>
      <c r="FR424" s="119"/>
      <c r="FS424" s="119"/>
      <c r="FT424" s="119"/>
      <c r="FU424" s="119"/>
      <c r="FV424" s="119"/>
      <c r="FW424" s="119"/>
      <c r="FX424" s="119"/>
      <c r="FY424" s="119"/>
      <c r="FZ424" s="119"/>
      <c r="GA424" s="119"/>
      <c r="GB424" s="119"/>
      <c r="GC424" s="119"/>
      <c r="GD424" s="119"/>
      <c r="GE424" s="119"/>
      <c r="GF424" s="119"/>
      <c r="GG424" s="119"/>
      <c r="GH424" s="119"/>
      <c r="GI424" s="119"/>
      <c r="GJ424" s="119"/>
      <c r="GK424" s="119"/>
      <c r="GL424" s="119"/>
      <c r="GM424" s="119"/>
      <c r="GN424" s="119"/>
      <c r="GO424" s="119"/>
      <c r="GP424" s="119"/>
      <c r="GQ424" s="119"/>
      <c r="GR424" s="119"/>
      <c r="GS424" s="119"/>
      <c r="GT424" s="119"/>
      <c r="GU424" s="119"/>
      <c r="GV424" s="119"/>
      <c r="GW424" s="119"/>
      <c r="GX424" s="119"/>
      <c r="GY424" s="119"/>
      <c r="GZ424" s="119"/>
      <c r="HA424" s="119"/>
      <c r="HB424" s="119"/>
      <c r="HC424" s="119"/>
      <c r="HD424" s="119"/>
      <c r="HE424" s="119"/>
      <c r="HF424" s="119"/>
      <c r="HG424" s="119"/>
      <c r="HH424" s="119"/>
      <c r="HI424" s="119"/>
      <c r="HJ424" s="119"/>
      <c r="HK424" s="119"/>
      <c r="HL424" s="119"/>
      <c r="HM424" s="119"/>
      <c r="HN424" s="119"/>
      <c r="HO424" s="119"/>
      <c r="HP424" s="119"/>
      <c r="HQ424" s="119"/>
      <c r="HR424" s="119"/>
      <c r="HS424" s="119"/>
      <c r="HT424" s="119"/>
      <c r="HU424" s="119"/>
      <c r="HV424" s="119"/>
      <c r="HW424" s="119"/>
      <c r="HX424" s="119"/>
      <c r="HY424" s="119"/>
      <c r="HZ424" s="119"/>
      <c r="IA424" s="119"/>
      <c r="IB424" s="119"/>
      <c r="IC424" s="119"/>
      <c r="ID424" s="119"/>
      <c r="IE424" s="119"/>
      <c r="IF424" s="119"/>
      <c r="IG424" s="119"/>
      <c r="IH424" s="119"/>
      <c r="II424" s="119"/>
      <c r="IJ424" s="119"/>
      <c r="IK424" s="119"/>
      <c r="IL424" s="119"/>
      <c r="IM424" s="119"/>
      <c r="IN424" s="119"/>
      <c r="IO424" s="119"/>
      <c r="IP424" s="119"/>
      <c r="IQ424" s="119"/>
      <c r="IR424" s="119"/>
      <c r="IS424" s="119"/>
      <c r="IT424" s="119"/>
      <c r="IU424" s="119"/>
      <c r="IV424" s="119"/>
      <c r="IW424" s="119"/>
      <c r="IX424" s="119"/>
      <c r="IY424" s="119"/>
      <c r="IZ424" s="119"/>
      <c r="JA424" s="119"/>
      <c r="JB424" s="119"/>
      <c r="JC424" s="119"/>
      <c r="JD424" s="119"/>
      <c r="JE424" s="119"/>
      <c r="JF424" s="119"/>
      <c r="JG424" s="119"/>
      <c r="JH424" s="119"/>
      <c r="JI424" s="119"/>
      <c r="JJ424" s="119"/>
      <c r="JK424" s="119"/>
      <c r="JL424" s="119"/>
      <c r="JM424" s="119"/>
      <c r="JN424" s="119"/>
      <c r="JO424" s="119"/>
      <c r="JP424" s="119"/>
      <c r="JQ424" s="119"/>
      <c r="JR424" s="119"/>
      <c r="JS424" s="119"/>
      <c r="JT424" s="119"/>
      <c r="JU424" s="119"/>
      <c r="JV424" s="119"/>
      <c r="JW424" s="119"/>
      <c r="JX424" s="119"/>
      <c r="JY424" s="119"/>
      <c r="JZ424" s="119"/>
      <c r="KA424" s="119"/>
      <c r="KB424" s="119"/>
      <c r="KC424" s="119"/>
      <c r="KD424" s="119"/>
      <c r="KE424" s="119"/>
      <c r="KF424" s="119"/>
      <c r="KG424" s="119"/>
      <c r="KH424" s="119"/>
      <c r="KI424" s="119"/>
      <c r="KJ424" s="119"/>
      <c r="KK424" s="119"/>
      <c r="KL424" s="119"/>
      <c r="KM424" s="119"/>
      <c r="KN424" s="119"/>
      <c r="KO424" s="119"/>
      <c r="KP424" s="119"/>
      <c r="KQ424" s="119"/>
      <c r="KR424" s="119"/>
      <c r="KS424" s="119"/>
      <c r="KT424" s="119"/>
      <c r="KU424" s="119"/>
      <c r="KV424" s="119"/>
      <c r="KW424" s="119"/>
      <c r="KX424" s="119"/>
      <c r="KY424" s="119"/>
      <c r="KZ424" s="119"/>
      <c r="LA424" s="119"/>
      <c r="LB424" s="119"/>
      <c r="LC424" s="119"/>
      <c r="LD424" s="119"/>
      <c r="LE424" s="119"/>
      <c r="LF424" s="119"/>
      <c r="LG424" s="119"/>
      <c r="LH424" s="119"/>
      <c r="LI424" s="119"/>
      <c r="LJ424" s="119"/>
      <c r="LK424" s="119"/>
      <c r="LL424" s="119"/>
      <c r="LM424" s="119"/>
      <c r="LN424" s="119"/>
      <c r="LO424" s="119"/>
      <c r="LP424" s="119"/>
      <c r="LQ424" s="119"/>
      <c r="LR424" s="119"/>
      <c r="LS424" s="119"/>
      <c r="LT424" s="119"/>
      <c r="LU424" s="119"/>
      <c r="LV424" s="119"/>
      <c r="LW424" s="119"/>
      <c r="LX424" s="119"/>
      <c r="LY424" s="119"/>
      <c r="LZ424" s="119"/>
      <c r="MA424" s="119"/>
      <c r="MB424" s="119"/>
      <c r="MC424" s="119"/>
      <c r="MD424" s="119"/>
      <c r="ME424" s="119"/>
      <c r="MF424" s="119"/>
      <c r="MG424" s="119"/>
      <c r="MH424" s="119"/>
      <c r="MI424" s="119"/>
      <c r="MJ424" s="119"/>
      <c r="MK424" s="119"/>
      <c r="ML424" s="119"/>
      <c r="MM424" s="119"/>
      <c r="MN424" s="119"/>
      <c r="MO424" s="119"/>
      <c r="MP424" s="119"/>
      <c r="MQ424" s="119"/>
      <c r="MR424" s="119"/>
      <c r="MS424" s="119"/>
      <c r="MT424" s="119"/>
      <c r="MU424" s="119"/>
      <c r="MV424" s="119"/>
      <c r="MW424" s="119"/>
      <c r="MX424" s="119"/>
      <c r="MY424" s="119"/>
      <c r="MZ424" s="119"/>
    </row>
    <row r="425" spans="1:364" s="27" customFormat="1" x14ac:dyDescent="0.25">
      <c r="A425" s="122"/>
      <c r="B425" s="122"/>
      <c r="C425" s="126"/>
      <c r="D425" s="128"/>
      <c r="E425" s="109" t="s">
        <v>493</v>
      </c>
      <c r="F425" s="131"/>
      <c r="G425" s="131"/>
      <c r="H425" s="106" t="s">
        <v>438</v>
      </c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19"/>
      <c r="T425" s="119"/>
      <c r="U425" s="119"/>
      <c r="V425" s="119"/>
      <c r="W425" s="119"/>
      <c r="X425" s="119"/>
      <c r="Y425" s="119"/>
      <c r="Z425" s="119"/>
      <c r="AA425" s="119"/>
      <c r="AB425" s="119"/>
      <c r="AC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9"/>
      <c r="AT425" s="119"/>
      <c r="AU425" s="119"/>
      <c r="AV425" s="119"/>
      <c r="AW425" s="119"/>
      <c r="AX425" s="119"/>
      <c r="AY425" s="119"/>
      <c r="AZ425" s="119"/>
      <c r="BA425" s="119"/>
      <c r="BB425" s="119"/>
      <c r="BC425" s="119"/>
      <c r="BD425" s="119"/>
      <c r="BE425" s="119"/>
      <c r="BF425" s="119"/>
      <c r="BG425" s="119"/>
      <c r="BH425" s="119"/>
      <c r="BI425" s="119"/>
      <c r="BJ425" s="119"/>
      <c r="BK425" s="119"/>
      <c r="BL425" s="26"/>
      <c r="BM425" s="119"/>
      <c r="BN425" s="119"/>
      <c r="BO425" s="119"/>
      <c r="BP425" s="119"/>
      <c r="BQ425" s="119"/>
      <c r="BR425" s="119"/>
      <c r="BS425" s="119"/>
      <c r="BT425" s="119"/>
      <c r="BU425" s="119"/>
      <c r="BV425" s="119"/>
      <c r="BW425" s="119"/>
      <c r="BX425" s="119"/>
      <c r="BY425" s="119"/>
      <c r="BZ425" s="119"/>
      <c r="CA425" s="119"/>
      <c r="CB425" s="119"/>
      <c r="CC425" s="119"/>
      <c r="CD425" s="119"/>
      <c r="CE425" s="119"/>
      <c r="CF425" s="119"/>
      <c r="CG425" s="119"/>
      <c r="CH425" s="119"/>
      <c r="CI425" s="119"/>
      <c r="CJ425" s="119"/>
      <c r="CK425" s="119"/>
      <c r="CL425" s="119"/>
      <c r="CM425" s="119"/>
      <c r="CN425" s="119"/>
      <c r="CO425" s="119"/>
      <c r="CP425" s="119"/>
      <c r="CQ425" s="119"/>
      <c r="CR425" s="119"/>
      <c r="CS425" s="119"/>
      <c r="CT425" s="119"/>
      <c r="CU425" s="119"/>
      <c r="CV425" s="119"/>
      <c r="CW425" s="119"/>
      <c r="CX425" s="119"/>
      <c r="CY425" s="119"/>
      <c r="CZ425" s="119"/>
      <c r="DA425" s="119"/>
      <c r="DB425" s="119"/>
      <c r="DC425" s="119"/>
      <c r="DD425" s="119"/>
      <c r="DE425" s="119"/>
      <c r="DF425" s="119"/>
      <c r="DG425" s="119"/>
      <c r="DH425" s="119"/>
      <c r="DI425" s="119"/>
      <c r="DJ425" s="119"/>
      <c r="DK425" s="119"/>
      <c r="DL425" s="119"/>
      <c r="DM425" s="119"/>
      <c r="DN425" s="119"/>
      <c r="DO425" s="119"/>
      <c r="DP425" s="119"/>
      <c r="DQ425" s="119"/>
      <c r="DR425" s="119"/>
      <c r="DS425" s="119"/>
      <c r="DT425" s="119"/>
      <c r="DU425" s="119"/>
      <c r="DV425" s="119"/>
      <c r="DW425" s="119"/>
      <c r="DX425" s="119"/>
      <c r="DY425" s="119"/>
      <c r="DZ425" s="119"/>
      <c r="EA425" s="119"/>
      <c r="EB425" s="119"/>
      <c r="EC425" s="119"/>
      <c r="ED425" s="119"/>
      <c r="EE425" s="119"/>
      <c r="EF425" s="119"/>
      <c r="EG425" s="119"/>
      <c r="EH425" s="119"/>
      <c r="EI425" s="119"/>
      <c r="EJ425" s="119"/>
      <c r="EK425" s="119"/>
      <c r="EL425" s="119"/>
      <c r="EM425" s="119"/>
      <c r="EN425" s="119"/>
      <c r="EO425" s="119"/>
      <c r="EP425" s="119"/>
      <c r="EQ425" s="119"/>
      <c r="ER425" s="119"/>
      <c r="ES425" s="119"/>
      <c r="ET425" s="119"/>
      <c r="EU425" s="119"/>
      <c r="EV425" s="119"/>
      <c r="EW425" s="119"/>
      <c r="EX425" s="119"/>
      <c r="EY425" s="119"/>
      <c r="EZ425" s="119"/>
      <c r="FA425" s="119"/>
      <c r="FB425" s="119"/>
      <c r="FC425" s="119"/>
      <c r="FD425" s="119"/>
      <c r="FE425" s="119"/>
      <c r="FF425" s="119"/>
      <c r="FG425" s="119"/>
      <c r="FH425" s="119"/>
      <c r="FI425" s="119"/>
      <c r="FJ425" s="119"/>
      <c r="FK425" s="119"/>
      <c r="FL425" s="119"/>
      <c r="FM425" s="119"/>
      <c r="FN425" s="119"/>
      <c r="FO425" s="119"/>
      <c r="FP425" s="119"/>
      <c r="FQ425" s="119"/>
      <c r="FR425" s="119"/>
      <c r="FS425" s="119"/>
      <c r="FT425" s="119"/>
      <c r="FU425" s="119"/>
      <c r="FV425" s="119"/>
      <c r="FW425" s="119"/>
      <c r="FX425" s="119"/>
      <c r="FY425" s="119"/>
      <c r="FZ425" s="119"/>
      <c r="GA425" s="119"/>
      <c r="GB425" s="119"/>
      <c r="GC425" s="119"/>
      <c r="GD425" s="119"/>
      <c r="GE425" s="119"/>
      <c r="GF425" s="119"/>
      <c r="GG425" s="119"/>
      <c r="GH425" s="119"/>
      <c r="GI425" s="119"/>
      <c r="GJ425" s="119"/>
      <c r="GK425" s="119"/>
      <c r="GL425" s="119"/>
      <c r="GM425" s="119"/>
      <c r="GN425" s="119"/>
      <c r="GO425" s="119"/>
      <c r="GP425" s="119"/>
      <c r="GQ425" s="119"/>
      <c r="GR425" s="119"/>
      <c r="GS425" s="119"/>
      <c r="GT425" s="119"/>
      <c r="GU425" s="119"/>
      <c r="GV425" s="119"/>
      <c r="GW425" s="119"/>
      <c r="GX425" s="119"/>
      <c r="GY425" s="119"/>
      <c r="GZ425" s="119"/>
      <c r="HA425" s="119"/>
      <c r="HB425" s="119"/>
      <c r="HC425" s="119"/>
      <c r="HD425" s="119"/>
      <c r="HE425" s="119"/>
      <c r="HF425" s="119"/>
      <c r="HG425" s="119"/>
      <c r="HH425" s="119"/>
      <c r="HI425" s="119"/>
      <c r="HJ425" s="119"/>
      <c r="HK425" s="119"/>
      <c r="HL425" s="119"/>
      <c r="HM425" s="119"/>
      <c r="HN425" s="119"/>
      <c r="HO425" s="119"/>
      <c r="HP425" s="119"/>
      <c r="HQ425" s="119"/>
      <c r="HR425" s="119"/>
      <c r="HS425" s="119"/>
      <c r="HT425" s="119"/>
      <c r="HU425" s="119"/>
      <c r="HV425" s="119"/>
      <c r="HW425" s="119"/>
      <c r="HX425" s="119"/>
      <c r="HY425" s="119"/>
      <c r="HZ425" s="119"/>
      <c r="IA425" s="119"/>
      <c r="IB425" s="119"/>
      <c r="IC425" s="119"/>
      <c r="ID425" s="119"/>
      <c r="IE425" s="119"/>
      <c r="IF425" s="119"/>
      <c r="IG425" s="119"/>
      <c r="IH425" s="119"/>
      <c r="II425" s="119"/>
      <c r="IJ425" s="119"/>
      <c r="IK425" s="119"/>
      <c r="IL425" s="119"/>
      <c r="IM425" s="119"/>
      <c r="IN425" s="119"/>
      <c r="IO425" s="119"/>
      <c r="IP425" s="119"/>
      <c r="IQ425" s="119"/>
      <c r="IR425" s="119"/>
      <c r="IS425" s="119"/>
      <c r="IT425" s="119"/>
      <c r="IU425" s="119"/>
      <c r="IV425" s="119"/>
      <c r="IW425" s="119"/>
      <c r="IX425" s="119"/>
      <c r="IY425" s="119"/>
      <c r="IZ425" s="119"/>
      <c r="JA425" s="119"/>
      <c r="JB425" s="119"/>
      <c r="JC425" s="119"/>
      <c r="JD425" s="119"/>
      <c r="JE425" s="119"/>
      <c r="JF425" s="119"/>
      <c r="JG425" s="119"/>
      <c r="JH425" s="119"/>
      <c r="JI425" s="119"/>
      <c r="JJ425" s="119"/>
      <c r="JK425" s="119"/>
      <c r="JL425" s="119"/>
      <c r="JM425" s="119"/>
      <c r="JN425" s="119"/>
      <c r="JO425" s="119"/>
      <c r="JP425" s="119"/>
      <c r="JQ425" s="119"/>
      <c r="JR425" s="119"/>
      <c r="JS425" s="119"/>
      <c r="JT425" s="119"/>
      <c r="JU425" s="119"/>
      <c r="JV425" s="119"/>
      <c r="JW425" s="119"/>
      <c r="JX425" s="119"/>
      <c r="JY425" s="119"/>
      <c r="JZ425" s="119"/>
      <c r="KA425" s="119"/>
      <c r="KB425" s="119"/>
      <c r="KC425" s="119"/>
      <c r="KD425" s="119"/>
      <c r="KE425" s="119"/>
      <c r="KF425" s="119"/>
      <c r="KG425" s="119"/>
      <c r="KH425" s="119"/>
      <c r="KI425" s="119"/>
      <c r="KJ425" s="119"/>
      <c r="KK425" s="119"/>
      <c r="KL425" s="119"/>
      <c r="KM425" s="119"/>
      <c r="KN425" s="119"/>
      <c r="KO425" s="119"/>
      <c r="KP425" s="119"/>
      <c r="KQ425" s="119"/>
      <c r="KR425" s="119"/>
      <c r="KS425" s="119"/>
      <c r="KT425" s="119"/>
      <c r="KU425" s="119"/>
      <c r="KV425" s="119"/>
      <c r="KW425" s="119"/>
      <c r="KX425" s="119"/>
      <c r="KY425" s="119"/>
      <c r="KZ425" s="119"/>
      <c r="LA425" s="119"/>
      <c r="LB425" s="119"/>
      <c r="LC425" s="119"/>
      <c r="LD425" s="119"/>
      <c r="LE425" s="119"/>
      <c r="LF425" s="119"/>
      <c r="LG425" s="119"/>
      <c r="LH425" s="119"/>
      <c r="LI425" s="119"/>
      <c r="LJ425" s="119"/>
      <c r="LK425" s="119"/>
      <c r="LL425" s="119"/>
      <c r="LM425" s="119"/>
      <c r="LN425" s="119"/>
      <c r="LO425" s="119"/>
      <c r="LP425" s="119"/>
      <c r="LQ425" s="119"/>
      <c r="LR425" s="119"/>
      <c r="LS425" s="119"/>
      <c r="LT425" s="119"/>
      <c r="LU425" s="119"/>
      <c r="LV425" s="119"/>
      <c r="LW425" s="119"/>
      <c r="LX425" s="119"/>
      <c r="LY425" s="119"/>
      <c r="LZ425" s="119"/>
      <c r="MA425" s="119"/>
      <c r="MB425" s="119"/>
      <c r="MC425" s="119"/>
      <c r="MD425" s="119"/>
      <c r="ME425" s="119"/>
      <c r="MF425" s="119"/>
      <c r="MG425" s="119"/>
      <c r="MH425" s="119"/>
      <c r="MI425" s="119"/>
      <c r="MJ425" s="119"/>
      <c r="MK425" s="119"/>
      <c r="ML425" s="119"/>
      <c r="MM425" s="119"/>
      <c r="MN425" s="119"/>
      <c r="MO425" s="119"/>
      <c r="MP425" s="119"/>
      <c r="MQ425" s="119"/>
      <c r="MR425" s="119"/>
      <c r="MS425" s="119"/>
      <c r="MT425" s="119"/>
      <c r="MU425" s="119"/>
      <c r="MV425" s="119"/>
      <c r="MW425" s="119"/>
      <c r="MX425" s="119"/>
      <c r="MY425" s="119"/>
      <c r="MZ425" s="119"/>
    </row>
    <row r="426" spans="1:364" s="27" customFormat="1" x14ac:dyDescent="0.25">
      <c r="A426" s="123"/>
      <c r="B426" s="123"/>
      <c r="C426" s="126"/>
      <c r="D426" s="129"/>
      <c r="E426" s="109"/>
      <c r="F426" s="131"/>
      <c r="G426" s="132"/>
      <c r="H426" s="114" t="s">
        <v>149</v>
      </c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19"/>
      <c r="T426" s="119"/>
      <c r="U426" s="119"/>
      <c r="V426" s="119"/>
      <c r="W426" s="119"/>
      <c r="X426" s="119"/>
      <c r="Y426" s="119"/>
      <c r="Z426" s="119"/>
      <c r="AA426" s="119"/>
      <c r="AB426" s="119"/>
      <c r="AC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9"/>
      <c r="AT426" s="119"/>
      <c r="AU426" s="119"/>
      <c r="AV426" s="119"/>
      <c r="AW426" s="119"/>
      <c r="AX426" s="119"/>
      <c r="AY426" s="119"/>
      <c r="AZ426" s="119"/>
      <c r="BA426" s="119"/>
      <c r="BB426" s="119"/>
      <c r="BC426" s="119"/>
      <c r="BD426" s="119"/>
      <c r="BE426" s="119"/>
      <c r="BF426" s="119"/>
      <c r="BG426" s="119"/>
      <c r="BH426" s="119"/>
      <c r="BI426" s="119"/>
      <c r="BJ426" s="119"/>
      <c r="BK426" s="119"/>
      <c r="BL426" s="26"/>
      <c r="BM426" s="119"/>
      <c r="BN426" s="119"/>
      <c r="BO426" s="119"/>
      <c r="BP426" s="119"/>
      <c r="BQ426" s="119"/>
      <c r="BR426" s="119"/>
      <c r="BS426" s="119"/>
      <c r="BT426" s="119"/>
      <c r="BU426" s="119"/>
      <c r="BV426" s="119"/>
      <c r="BW426" s="119"/>
      <c r="BX426" s="119"/>
      <c r="BY426" s="119"/>
      <c r="BZ426" s="119"/>
      <c r="CA426" s="119"/>
      <c r="CB426" s="119"/>
      <c r="CC426" s="119"/>
      <c r="CD426" s="119"/>
      <c r="CE426" s="119"/>
      <c r="CF426" s="119"/>
      <c r="CG426" s="119"/>
      <c r="CH426" s="119"/>
      <c r="CI426" s="119"/>
      <c r="CJ426" s="119"/>
      <c r="CK426" s="119"/>
      <c r="CL426" s="119"/>
      <c r="CM426" s="119"/>
      <c r="CN426" s="119"/>
      <c r="CO426" s="119"/>
      <c r="CP426" s="119"/>
      <c r="CQ426" s="119"/>
      <c r="CR426" s="119"/>
      <c r="CS426" s="119"/>
      <c r="CT426" s="119"/>
      <c r="CU426" s="119"/>
      <c r="CV426" s="119"/>
      <c r="CW426" s="119"/>
      <c r="CX426" s="119"/>
      <c r="CY426" s="119"/>
      <c r="CZ426" s="119"/>
      <c r="DA426" s="119"/>
      <c r="DB426" s="119"/>
      <c r="DC426" s="119"/>
      <c r="DD426" s="119"/>
      <c r="DE426" s="119"/>
      <c r="DF426" s="119"/>
      <c r="DG426" s="119"/>
      <c r="DH426" s="119"/>
      <c r="DI426" s="119"/>
      <c r="DJ426" s="119"/>
      <c r="DK426" s="119"/>
      <c r="DL426" s="119"/>
      <c r="DM426" s="119"/>
      <c r="DN426" s="119"/>
      <c r="DO426" s="119"/>
      <c r="DP426" s="119"/>
      <c r="DQ426" s="119"/>
      <c r="DR426" s="119"/>
      <c r="DS426" s="119"/>
      <c r="DT426" s="119"/>
      <c r="DU426" s="119"/>
      <c r="DV426" s="119"/>
      <c r="DW426" s="119"/>
      <c r="DX426" s="119"/>
      <c r="DY426" s="119"/>
      <c r="DZ426" s="119"/>
      <c r="EA426" s="119"/>
      <c r="EB426" s="119"/>
      <c r="EC426" s="119"/>
      <c r="ED426" s="119"/>
      <c r="EE426" s="119"/>
      <c r="EF426" s="119"/>
      <c r="EG426" s="119"/>
      <c r="EH426" s="119"/>
      <c r="EI426" s="119"/>
      <c r="EJ426" s="119"/>
      <c r="EK426" s="119"/>
      <c r="EL426" s="119"/>
      <c r="EM426" s="119"/>
      <c r="EN426" s="119"/>
      <c r="EO426" s="119"/>
      <c r="EP426" s="119"/>
      <c r="EQ426" s="119"/>
      <c r="ER426" s="119"/>
      <c r="ES426" s="119"/>
      <c r="ET426" s="119"/>
      <c r="EU426" s="119"/>
      <c r="EV426" s="119"/>
      <c r="EW426" s="119"/>
      <c r="EX426" s="119"/>
      <c r="EY426" s="119"/>
      <c r="EZ426" s="119"/>
      <c r="FA426" s="119"/>
      <c r="FB426" s="119"/>
      <c r="FC426" s="119"/>
      <c r="FD426" s="119"/>
      <c r="FE426" s="119"/>
      <c r="FF426" s="119"/>
      <c r="FG426" s="119"/>
      <c r="FH426" s="119"/>
      <c r="FI426" s="119"/>
      <c r="FJ426" s="119"/>
      <c r="FK426" s="119"/>
      <c r="FL426" s="119"/>
      <c r="FM426" s="119"/>
      <c r="FN426" s="119"/>
      <c r="FO426" s="119"/>
      <c r="FP426" s="119"/>
      <c r="FQ426" s="119"/>
      <c r="FR426" s="119"/>
      <c r="FS426" s="119"/>
      <c r="FT426" s="119"/>
      <c r="FU426" s="119"/>
      <c r="FV426" s="119"/>
      <c r="FW426" s="119"/>
      <c r="FX426" s="119"/>
      <c r="FY426" s="119"/>
      <c r="FZ426" s="119"/>
      <c r="GA426" s="119"/>
      <c r="GB426" s="119"/>
      <c r="GC426" s="119"/>
      <c r="GD426" s="119"/>
      <c r="GE426" s="119"/>
      <c r="GF426" s="119"/>
      <c r="GG426" s="119"/>
      <c r="GH426" s="119"/>
      <c r="GI426" s="119"/>
      <c r="GJ426" s="119"/>
      <c r="GK426" s="119"/>
      <c r="GL426" s="119"/>
      <c r="GM426" s="119"/>
      <c r="GN426" s="119"/>
      <c r="GO426" s="119"/>
      <c r="GP426" s="119"/>
      <c r="GQ426" s="119"/>
      <c r="GR426" s="119"/>
      <c r="GS426" s="119"/>
      <c r="GT426" s="119"/>
      <c r="GU426" s="119"/>
      <c r="GV426" s="119"/>
      <c r="GW426" s="119"/>
      <c r="GX426" s="119"/>
      <c r="GY426" s="119"/>
      <c r="GZ426" s="119"/>
      <c r="HA426" s="119"/>
      <c r="HB426" s="119"/>
      <c r="HC426" s="119"/>
      <c r="HD426" s="119"/>
      <c r="HE426" s="119"/>
      <c r="HF426" s="119"/>
      <c r="HG426" s="119"/>
      <c r="HH426" s="119"/>
      <c r="HI426" s="119"/>
      <c r="HJ426" s="119"/>
      <c r="HK426" s="119"/>
      <c r="HL426" s="119"/>
      <c r="HM426" s="119"/>
      <c r="HN426" s="119"/>
      <c r="HO426" s="119"/>
      <c r="HP426" s="119"/>
      <c r="HQ426" s="119"/>
      <c r="HR426" s="119"/>
      <c r="HS426" s="119"/>
      <c r="HT426" s="119"/>
      <c r="HU426" s="119"/>
      <c r="HV426" s="119"/>
      <c r="HW426" s="119"/>
      <c r="HX426" s="119"/>
      <c r="HY426" s="119"/>
      <c r="HZ426" s="119"/>
      <c r="IA426" s="119"/>
      <c r="IB426" s="119"/>
      <c r="IC426" s="119"/>
      <c r="ID426" s="119"/>
      <c r="IE426" s="119"/>
      <c r="IF426" s="119"/>
      <c r="IG426" s="119"/>
      <c r="IH426" s="119"/>
      <c r="II426" s="119"/>
      <c r="IJ426" s="119"/>
      <c r="IK426" s="119"/>
      <c r="IL426" s="119"/>
      <c r="IM426" s="119"/>
      <c r="IN426" s="119"/>
      <c r="IO426" s="119"/>
      <c r="IP426" s="119"/>
      <c r="IQ426" s="119"/>
      <c r="IR426" s="119"/>
      <c r="IS426" s="119"/>
      <c r="IT426" s="119"/>
      <c r="IU426" s="119"/>
      <c r="IV426" s="119"/>
      <c r="IW426" s="119"/>
      <c r="IX426" s="119"/>
      <c r="IY426" s="119"/>
      <c r="IZ426" s="119"/>
      <c r="JA426" s="119"/>
      <c r="JB426" s="119"/>
      <c r="JC426" s="119"/>
      <c r="JD426" s="119"/>
      <c r="JE426" s="119"/>
      <c r="JF426" s="119"/>
      <c r="JG426" s="119"/>
      <c r="JH426" s="119"/>
      <c r="JI426" s="119"/>
      <c r="JJ426" s="119"/>
      <c r="JK426" s="119"/>
      <c r="JL426" s="119"/>
      <c r="JM426" s="119"/>
      <c r="JN426" s="119"/>
      <c r="JO426" s="119"/>
      <c r="JP426" s="119"/>
      <c r="JQ426" s="119"/>
      <c r="JR426" s="119"/>
      <c r="JS426" s="119"/>
      <c r="JT426" s="119"/>
      <c r="JU426" s="119"/>
      <c r="JV426" s="119"/>
      <c r="JW426" s="119"/>
      <c r="JX426" s="119"/>
      <c r="JY426" s="119"/>
      <c r="JZ426" s="119"/>
      <c r="KA426" s="119"/>
      <c r="KB426" s="119"/>
      <c r="KC426" s="119"/>
      <c r="KD426" s="119"/>
      <c r="KE426" s="119"/>
      <c r="KF426" s="119"/>
      <c r="KG426" s="119"/>
      <c r="KH426" s="119"/>
      <c r="KI426" s="119"/>
      <c r="KJ426" s="119"/>
      <c r="KK426" s="119"/>
      <c r="KL426" s="119"/>
      <c r="KM426" s="119"/>
      <c r="KN426" s="119"/>
      <c r="KO426" s="119"/>
      <c r="KP426" s="119"/>
      <c r="KQ426" s="119"/>
      <c r="KR426" s="119"/>
      <c r="KS426" s="119"/>
      <c r="KT426" s="119"/>
      <c r="KU426" s="119"/>
      <c r="KV426" s="119"/>
      <c r="KW426" s="119"/>
      <c r="KX426" s="119"/>
      <c r="KY426" s="119"/>
      <c r="KZ426" s="119"/>
      <c r="LA426" s="119"/>
      <c r="LB426" s="119"/>
      <c r="LC426" s="119"/>
      <c r="LD426" s="119"/>
      <c r="LE426" s="119"/>
      <c r="LF426" s="119"/>
      <c r="LG426" s="119"/>
      <c r="LH426" s="119"/>
      <c r="LI426" s="119"/>
      <c r="LJ426" s="119"/>
      <c r="LK426" s="119"/>
      <c r="LL426" s="119"/>
      <c r="LM426" s="119"/>
      <c r="LN426" s="119"/>
      <c r="LO426" s="119"/>
      <c r="LP426" s="119"/>
      <c r="LQ426" s="119"/>
      <c r="LR426" s="119"/>
      <c r="LS426" s="119"/>
      <c r="LT426" s="119"/>
      <c r="LU426" s="119"/>
      <c r="LV426" s="119"/>
      <c r="LW426" s="119"/>
      <c r="LX426" s="119"/>
      <c r="LY426" s="119"/>
      <c r="LZ426" s="119"/>
      <c r="MA426" s="119"/>
      <c r="MB426" s="119"/>
      <c r="MC426" s="119"/>
      <c r="MD426" s="119"/>
      <c r="ME426" s="119"/>
      <c r="MF426" s="119"/>
      <c r="MG426" s="119"/>
      <c r="MH426" s="119"/>
      <c r="MI426" s="119"/>
      <c r="MJ426" s="119"/>
      <c r="MK426" s="119"/>
      <c r="ML426" s="119"/>
      <c r="MM426" s="119"/>
      <c r="MN426" s="119"/>
      <c r="MO426" s="119"/>
      <c r="MP426" s="119"/>
      <c r="MQ426" s="119"/>
      <c r="MR426" s="119"/>
      <c r="MS426" s="119"/>
      <c r="MT426" s="119"/>
      <c r="MU426" s="119"/>
      <c r="MV426" s="119"/>
      <c r="MW426" s="119"/>
      <c r="MX426" s="119"/>
      <c r="MY426" s="119"/>
      <c r="MZ426" s="119"/>
    </row>
    <row r="427" spans="1:364" s="27" customFormat="1" x14ac:dyDescent="0.25">
      <c r="A427" s="121"/>
      <c r="B427" s="124" t="e">
        <f>VLOOKUP(A427,Rules!$B$8:$C$154,2,0)</f>
        <v>#N/A</v>
      </c>
      <c r="C427" s="125">
        <f t="shared" ref="C427" si="6">SUM(I428:XX428)</f>
        <v>0</v>
      </c>
      <c r="D427" s="127"/>
      <c r="E427" s="110" t="s">
        <v>492</v>
      </c>
      <c r="F427" s="130" t="e">
        <f>VLOOKUP(A427,Table2[],10,0)</f>
        <v>#N/A</v>
      </c>
      <c r="G427" s="130"/>
      <c r="H427" s="113" t="s">
        <v>440</v>
      </c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9"/>
      <c r="T427" s="119"/>
      <c r="U427" s="119"/>
      <c r="V427" s="119"/>
      <c r="W427" s="119"/>
      <c r="X427" s="119"/>
      <c r="Y427" s="119"/>
      <c r="Z427" s="119"/>
      <c r="AA427" s="119"/>
      <c r="AB427" s="119"/>
      <c r="AC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9"/>
      <c r="AT427" s="119"/>
      <c r="AU427" s="119"/>
      <c r="AV427" s="119"/>
      <c r="AW427" s="119"/>
      <c r="AX427" s="119"/>
      <c r="AY427" s="119"/>
      <c r="AZ427" s="119"/>
      <c r="BA427" s="119"/>
      <c r="BB427" s="119"/>
      <c r="BC427" s="119"/>
      <c r="BD427" s="119"/>
      <c r="BE427" s="119"/>
      <c r="BF427" s="119"/>
      <c r="BG427" s="119"/>
      <c r="BH427" s="119"/>
      <c r="BI427" s="119"/>
      <c r="BJ427" s="119"/>
      <c r="BK427" s="119"/>
      <c r="BL427" s="26"/>
      <c r="BM427" s="119"/>
      <c r="BN427" s="26"/>
      <c r="BO427" s="119"/>
      <c r="BP427" s="119"/>
      <c r="BQ427" s="119"/>
      <c r="BR427" s="119"/>
      <c r="BS427" s="119"/>
      <c r="BT427" s="119"/>
      <c r="BU427" s="119"/>
      <c r="BV427" s="119"/>
      <c r="BW427" s="119"/>
      <c r="BX427" s="119"/>
      <c r="BY427" s="119"/>
      <c r="BZ427" s="119"/>
      <c r="CA427" s="119"/>
      <c r="CB427" s="119"/>
      <c r="CC427" s="119"/>
      <c r="CD427" s="119"/>
      <c r="CE427" s="119"/>
      <c r="CF427" s="119"/>
      <c r="CG427" s="119"/>
      <c r="CH427" s="119"/>
      <c r="CI427" s="119"/>
      <c r="CJ427" s="119"/>
      <c r="CK427" s="119"/>
      <c r="CL427" s="119"/>
      <c r="CM427" s="119"/>
      <c r="CN427" s="119"/>
      <c r="CO427" s="119"/>
      <c r="CP427" s="119"/>
      <c r="CQ427" s="119"/>
      <c r="CR427" s="119"/>
      <c r="CS427" s="119"/>
      <c r="CT427" s="119"/>
      <c r="CU427" s="119"/>
      <c r="CV427" s="119"/>
      <c r="CW427" s="119"/>
      <c r="CX427" s="119"/>
      <c r="CY427" s="119"/>
      <c r="CZ427" s="119"/>
      <c r="DA427" s="119"/>
      <c r="DB427" s="119"/>
      <c r="DC427" s="119"/>
      <c r="DD427" s="119"/>
      <c r="DE427" s="119"/>
      <c r="DF427" s="119"/>
      <c r="DG427" s="119"/>
      <c r="DH427" s="119"/>
      <c r="DI427" s="119"/>
      <c r="DJ427" s="119"/>
      <c r="DK427" s="119"/>
      <c r="DL427" s="119"/>
      <c r="DM427" s="119"/>
      <c r="DN427" s="119"/>
      <c r="DO427" s="119"/>
      <c r="DP427" s="119"/>
      <c r="DQ427" s="119"/>
      <c r="DR427" s="119"/>
      <c r="DS427" s="119"/>
      <c r="DT427" s="119"/>
      <c r="DU427" s="119"/>
      <c r="DV427" s="119"/>
      <c r="DW427" s="119"/>
      <c r="DX427" s="119"/>
      <c r="DY427" s="119"/>
      <c r="DZ427" s="119"/>
      <c r="EA427" s="119"/>
      <c r="EB427" s="119"/>
      <c r="EC427" s="119"/>
      <c r="ED427" s="119"/>
      <c r="EE427" s="119"/>
      <c r="EF427" s="119"/>
      <c r="EG427" s="119"/>
      <c r="EH427" s="119"/>
      <c r="EI427" s="119"/>
      <c r="EJ427" s="119"/>
      <c r="EK427" s="119"/>
      <c r="EL427" s="119"/>
      <c r="EM427" s="119"/>
      <c r="EN427" s="119"/>
      <c r="EO427" s="119"/>
      <c r="EP427" s="119"/>
      <c r="EQ427" s="119"/>
      <c r="ER427" s="119"/>
      <c r="ES427" s="119"/>
      <c r="ET427" s="119"/>
      <c r="EU427" s="119"/>
      <c r="EV427" s="119"/>
      <c r="EW427" s="119"/>
      <c r="EX427" s="119"/>
      <c r="EY427" s="119"/>
      <c r="EZ427" s="119"/>
      <c r="FA427" s="119"/>
      <c r="FB427" s="119"/>
      <c r="FC427" s="119"/>
      <c r="FD427" s="119"/>
      <c r="FE427" s="119"/>
      <c r="FF427" s="119"/>
      <c r="FG427" s="119"/>
      <c r="FH427" s="119"/>
      <c r="FI427" s="119"/>
      <c r="FJ427" s="119"/>
      <c r="FK427" s="119"/>
      <c r="FL427" s="119"/>
      <c r="FM427" s="119"/>
      <c r="FN427" s="119"/>
      <c r="FO427" s="119"/>
      <c r="FP427" s="119"/>
      <c r="FQ427" s="119"/>
      <c r="FR427" s="119"/>
      <c r="FS427" s="119"/>
      <c r="FT427" s="119"/>
      <c r="FU427" s="119"/>
      <c r="FV427" s="119"/>
      <c r="FW427" s="119"/>
      <c r="FX427" s="119"/>
      <c r="FY427" s="119"/>
      <c r="FZ427" s="119"/>
      <c r="GA427" s="119"/>
      <c r="GB427" s="119"/>
      <c r="GC427" s="119"/>
      <c r="GD427" s="119"/>
      <c r="GE427" s="119"/>
      <c r="GF427" s="119"/>
      <c r="GG427" s="119"/>
      <c r="GH427" s="119"/>
      <c r="GI427" s="119"/>
      <c r="GJ427" s="119"/>
      <c r="GK427" s="119"/>
      <c r="GL427" s="119"/>
      <c r="GM427" s="119"/>
      <c r="GN427" s="119"/>
      <c r="GO427" s="119"/>
      <c r="GP427" s="119"/>
      <c r="GQ427" s="119"/>
      <c r="GR427" s="119"/>
      <c r="GS427" s="119"/>
      <c r="GT427" s="119"/>
      <c r="GU427" s="119"/>
      <c r="GV427" s="119"/>
      <c r="GW427" s="119"/>
      <c r="GX427" s="119"/>
      <c r="GY427" s="119"/>
      <c r="GZ427" s="119"/>
      <c r="HA427" s="119"/>
      <c r="HB427" s="119"/>
      <c r="HC427" s="119"/>
      <c r="HD427" s="119"/>
      <c r="HE427" s="119"/>
      <c r="HF427" s="119"/>
      <c r="HG427" s="119"/>
      <c r="HH427" s="119"/>
      <c r="HI427" s="119"/>
      <c r="HJ427" s="119"/>
      <c r="HK427" s="119"/>
      <c r="HL427" s="119"/>
      <c r="HM427" s="119"/>
      <c r="HN427" s="119"/>
      <c r="HO427" s="119"/>
      <c r="HP427" s="119"/>
      <c r="HQ427" s="119"/>
      <c r="HR427" s="119"/>
      <c r="HS427" s="119"/>
      <c r="HT427" s="119"/>
      <c r="HU427" s="119"/>
      <c r="HV427" s="119"/>
      <c r="HW427" s="119"/>
      <c r="HX427" s="119"/>
      <c r="HY427" s="119"/>
      <c r="HZ427" s="119"/>
      <c r="IA427" s="119"/>
      <c r="IB427" s="119"/>
      <c r="IC427" s="119"/>
      <c r="ID427" s="119"/>
      <c r="IE427" s="119"/>
      <c r="IF427" s="119"/>
      <c r="IG427" s="119"/>
      <c r="IH427" s="119"/>
      <c r="II427" s="119"/>
      <c r="IJ427" s="119"/>
      <c r="IK427" s="119"/>
      <c r="IL427" s="119"/>
      <c r="IM427" s="119"/>
      <c r="IN427" s="119"/>
      <c r="IO427" s="119"/>
      <c r="IP427" s="119"/>
      <c r="IQ427" s="119"/>
      <c r="IR427" s="119"/>
      <c r="IS427" s="119"/>
      <c r="IT427" s="119"/>
      <c r="IU427" s="119"/>
      <c r="IV427" s="119"/>
      <c r="IW427" s="119"/>
      <c r="IX427" s="119"/>
      <c r="IY427" s="119"/>
      <c r="IZ427" s="119"/>
      <c r="JA427" s="119"/>
      <c r="JB427" s="119"/>
      <c r="JC427" s="119"/>
      <c r="JD427" s="119"/>
      <c r="JE427" s="119"/>
      <c r="JF427" s="119"/>
      <c r="JG427" s="119"/>
      <c r="JH427" s="119"/>
      <c r="JI427" s="119"/>
      <c r="JJ427" s="119"/>
      <c r="JK427" s="119"/>
      <c r="JL427" s="119"/>
      <c r="JM427" s="119"/>
      <c r="JN427" s="119"/>
      <c r="JO427" s="119"/>
      <c r="JP427" s="119"/>
      <c r="JQ427" s="119"/>
      <c r="JR427" s="119"/>
      <c r="JS427" s="119"/>
      <c r="JT427" s="119"/>
      <c r="JU427" s="119"/>
      <c r="JV427" s="119"/>
      <c r="JW427" s="119"/>
      <c r="JX427" s="119"/>
      <c r="JY427" s="119"/>
      <c r="JZ427" s="119"/>
      <c r="KA427" s="119"/>
      <c r="KB427" s="119"/>
      <c r="KC427" s="119"/>
      <c r="KD427" s="119"/>
      <c r="KE427" s="119"/>
      <c r="KF427" s="119"/>
      <c r="KG427" s="119"/>
      <c r="KH427" s="119"/>
      <c r="KI427" s="119"/>
      <c r="KJ427" s="119"/>
      <c r="KK427" s="119"/>
      <c r="KL427" s="119"/>
      <c r="KM427" s="119"/>
      <c r="KN427" s="119"/>
      <c r="KO427" s="119"/>
      <c r="KP427" s="119"/>
      <c r="KQ427" s="119"/>
      <c r="KR427" s="119"/>
      <c r="KS427" s="119"/>
      <c r="KT427" s="119"/>
      <c r="KU427" s="119"/>
      <c r="KV427" s="119"/>
      <c r="KW427" s="119"/>
      <c r="KX427" s="119"/>
      <c r="KY427" s="119"/>
      <c r="KZ427" s="119"/>
      <c r="LA427" s="119"/>
      <c r="LB427" s="119"/>
      <c r="LC427" s="119"/>
      <c r="LD427" s="119"/>
      <c r="LE427" s="119"/>
      <c r="LF427" s="119"/>
      <c r="LG427" s="119"/>
      <c r="LH427" s="119"/>
      <c r="LI427" s="119"/>
      <c r="LJ427" s="119"/>
      <c r="LK427" s="119"/>
      <c r="LL427" s="119"/>
      <c r="LM427" s="119"/>
      <c r="LN427" s="119"/>
      <c r="LO427" s="119"/>
      <c r="LP427" s="119"/>
      <c r="LQ427" s="119"/>
      <c r="LR427" s="119"/>
      <c r="LS427" s="119"/>
      <c r="LT427" s="119"/>
      <c r="LU427" s="119"/>
      <c r="LV427" s="119"/>
      <c r="LW427" s="119"/>
      <c r="LX427" s="119"/>
      <c r="LY427" s="119"/>
      <c r="LZ427" s="119"/>
      <c r="MA427" s="119"/>
      <c r="MB427" s="119"/>
      <c r="MC427" s="119"/>
      <c r="MD427" s="119"/>
      <c r="ME427" s="119"/>
      <c r="MF427" s="119"/>
      <c r="MG427" s="119"/>
      <c r="MH427" s="119"/>
      <c r="MI427" s="119"/>
      <c r="MJ427" s="119"/>
      <c r="MK427" s="119"/>
      <c r="ML427" s="119"/>
      <c r="MM427" s="119"/>
      <c r="MN427" s="119"/>
      <c r="MO427" s="119"/>
      <c r="MP427" s="119"/>
      <c r="MQ427" s="119"/>
      <c r="MR427" s="119"/>
      <c r="MS427" s="119"/>
      <c r="MT427" s="119"/>
      <c r="MU427" s="119"/>
      <c r="MV427" s="119"/>
      <c r="MW427" s="119"/>
      <c r="MX427" s="119"/>
      <c r="MY427" s="119"/>
      <c r="MZ427" s="119"/>
    </row>
    <row r="428" spans="1:364" s="27" customFormat="1" x14ac:dyDescent="0.25">
      <c r="A428" s="122"/>
      <c r="B428" s="122"/>
      <c r="C428" s="126"/>
      <c r="D428" s="128"/>
      <c r="E428" s="109"/>
      <c r="F428" s="131"/>
      <c r="G428" s="131"/>
      <c r="H428" s="105" t="s">
        <v>439</v>
      </c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9"/>
      <c r="T428" s="119"/>
      <c r="U428" s="119"/>
      <c r="V428" s="119"/>
      <c r="W428" s="119"/>
      <c r="X428" s="119"/>
      <c r="Y428" s="119"/>
      <c r="Z428" s="119"/>
      <c r="AA428" s="119"/>
      <c r="AB428" s="119"/>
      <c r="AC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9"/>
      <c r="AT428" s="119"/>
      <c r="AU428" s="119"/>
      <c r="AV428" s="119"/>
      <c r="AW428" s="119"/>
      <c r="AX428" s="119"/>
      <c r="AY428" s="119"/>
      <c r="AZ428" s="119"/>
      <c r="BA428" s="119"/>
      <c r="BB428" s="119"/>
      <c r="BC428" s="119"/>
      <c r="BD428" s="119"/>
      <c r="BE428" s="119"/>
      <c r="BF428" s="119"/>
      <c r="BG428" s="119"/>
      <c r="BH428" s="119"/>
      <c r="BI428" s="119"/>
      <c r="BJ428" s="119"/>
      <c r="BK428" s="119"/>
      <c r="BL428" s="26"/>
      <c r="BM428" s="119"/>
      <c r="BN428" s="26"/>
      <c r="BO428" s="119"/>
      <c r="BP428" s="119"/>
      <c r="BQ428" s="119"/>
      <c r="BR428" s="119"/>
      <c r="BS428" s="119"/>
      <c r="BT428" s="119"/>
      <c r="BU428" s="119"/>
      <c r="BV428" s="119"/>
      <c r="BW428" s="119"/>
      <c r="BX428" s="119"/>
      <c r="BY428" s="119"/>
      <c r="BZ428" s="119"/>
      <c r="CA428" s="119"/>
      <c r="CB428" s="119"/>
      <c r="CC428" s="119"/>
      <c r="CD428" s="119"/>
      <c r="CE428" s="119"/>
      <c r="CF428" s="119"/>
      <c r="CG428" s="119"/>
      <c r="CH428" s="119"/>
      <c r="CI428" s="119"/>
      <c r="CJ428" s="119"/>
      <c r="CK428" s="119"/>
      <c r="CL428" s="119"/>
      <c r="CM428" s="119"/>
      <c r="CN428" s="119"/>
      <c r="CO428" s="119"/>
      <c r="CP428" s="119"/>
      <c r="CQ428" s="119"/>
      <c r="CR428" s="119"/>
      <c r="CS428" s="119"/>
      <c r="CT428" s="119"/>
      <c r="CU428" s="119"/>
      <c r="CV428" s="119"/>
      <c r="CW428" s="119"/>
      <c r="CX428" s="119"/>
      <c r="CY428" s="119"/>
      <c r="CZ428" s="119"/>
      <c r="DA428" s="119"/>
      <c r="DB428" s="119"/>
      <c r="DC428" s="119"/>
      <c r="DD428" s="119"/>
      <c r="DE428" s="119"/>
      <c r="DF428" s="119"/>
      <c r="DG428" s="119"/>
      <c r="DH428" s="119"/>
      <c r="DI428" s="119"/>
      <c r="DJ428" s="119"/>
      <c r="DK428" s="119"/>
      <c r="DL428" s="119"/>
      <c r="DM428" s="119"/>
      <c r="DN428" s="119"/>
      <c r="DO428" s="119"/>
      <c r="DP428" s="119"/>
      <c r="DQ428" s="119"/>
      <c r="DR428" s="119"/>
      <c r="DS428" s="119"/>
      <c r="DT428" s="119"/>
      <c r="DU428" s="119"/>
      <c r="DV428" s="119"/>
      <c r="DW428" s="119"/>
      <c r="DX428" s="119"/>
      <c r="DY428" s="119"/>
      <c r="DZ428" s="119"/>
      <c r="EA428" s="119"/>
      <c r="EB428" s="119"/>
      <c r="EC428" s="119"/>
      <c r="ED428" s="119"/>
      <c r="EE428" s="119"/>
      <c r="EF428" s="119"/>
      <c r="EG428" s="119"/>
      <c r="EH428" s="119"/>
      <c r="EI428" s="119"/>
      <c r="EJ428" s="119"/>
      <c r="EK428" s="119"/>
      <c r="EL428" s="119"/>
      <c r="EM428" s="119"/>
      <c r="EN428" s="119"/>
      <c r="EO428" s="119"/>
      <c r="EP428" s="119"/>
      <c r="EQ428" s="119"/>
      <c r="ER428" s="119"/>
      <c r="ES428" s="119"/>
      <c r="ET428" s="119"/>
      <c r="EU428" s="119"/>
      <c r="EV428" s="119"/>
      <c r="EW428" s="119"/>
      <c r="EX428" s="119"/>
      <c r="EY428" s="119"/>
      <c r="EZ428" s="119"/>
      <c r="FA428" s="119"/>
      <c r="FB428" s="119"/>
      <c r="FC428" s="119"/>
      <c r="FD428" s="119"/>
      <c r="FE428" s="119"/>
      <c r="FF428" s="119"/>
      <c r="FG428" s="119"/>
      <c r="FH428" s="119"/>
      <c r="FI428" s="119"/>
      <c r="FJ428" s="119"/>
      <c r="FK428" s="119"/>
      <c r="FL428" s="119"/>
      <c r="FM428" s="119"/>
      <c r="FN428" s="119"/>
      <c r="FO428" s="119"/>
      <c r="FP428" s="119"/>
      <c r="FQ428" s="119"/>
      <c r="FR428" s="119"/>
      <c r="FS428" s="119"/>
      <c r="FT428" s="119"/>
      <c r="FU428" s="119"/>
      <c r="FV428" s="119"/>
      <c r="FW428" s="119"/>
      <c r="FX428" s="119"/>
      <c r="FY428" s="119"/>
      <c r="FZ428" s="119"/>
      <c r="GA428" s="119"/>
      <c r="GB428" s="119"/>
      <c r="GC428" s="119"/>
      <c r="GD428" s="119"/>
      <c r="GE428" s="119"/>
      <c r="GF428" s="119"/>
      <c r="GG428" s="119"/>
      <c r="GH428" s="119"/>
      <c r="GI428" s="119"/>
      <c r="GJ428" s="119"/>
      <c r="GK428" s="119"/>
      <c r="GL428" s="119"/>
      <c r="GM428" s="119"/>
      <c r="GN428" s="119"/>
      <c r="GO428" s="119"/>
      <c r="GP428" s="119"/>
      <c r="GQ428" s="119"/>
      <c r="GR428" s="119"/>
      <c r="GS428" s="119"/>
      <c r="GT428" s="119"/>
      <c r="GU428" s="119"/>
      <c r="GV428" s="119"/>
      <c r="GW428" s="119"/>
      <c r="GX428" s="119"/>
      <c r="GY428" s="119"/>
      <c r="GZ428" s="119"/>
      <c r="HA428" s="119"/>
      <c r="HB428" s="119"/>
      <c r="HC428" s="119"/>
      <c r="HD428" s="119"/>
      <c r="HE428" s="119"/>
      <c r="HF428" s="119"/>
      <c r="HG428" s="119"/>
      <c r="HH428" s="119"/>
      <c r="HI428" s="119"/>
      <c r="HJ428" s="119"/>
      <c r="HK428" s="119"/>
      <c r="HL428" s="119"/>
      <c r="HM428" s="119"/>
      <c r="HN428" s="119"/>
      <c r="HO428" s="119"/>
      <c r="HP428" s="119"/>
      <c r="HQ428" s="119"/>
      <c r="HR428" s="119"/>
      <c r="HS428" s="119"/>
      <c r="HT428" s="119"/>
      <c r="HU428" s="119"/>
      <c r="HV428" s="119"/>
      <c r="HW428" s="119"/>
      <c r="HX428" s="119"/>
      <c r="HY428" s="119"/>
      <c r="HZ428" s="119"/>
      <c r="IA428" s="119"/>
      <c r="IB428" s="119"/>
      <c r="IC428" s="119"/>
      <c r="ID428" s="119"/>
      <c r="IE428" s="119"/>
      <c r="IF428" s="119"/>
      <c r="IG428" s="119"/>
      <c r="IH428" s="119"/>
      <c r="II428" s="119"/>
      <c r="IJ428" s="119"/>
      <c r="IK428" s="119"/>
      <c r="IL428" s="119"/>
      <c r="IM428" s="119"/>
      <c r="IN428" s="119"/>
      <c r="IO428" s="119"/>
      <c r="IP428" s="119"/>
      <c r="IQ428" s="119"/>
      <c r="IR428" s="119"/>
      <c r="IS428" s="119"/>
      <c r="IT428" s="119"/>
      <c r="IU428" s="119"/>
      <c r="IV428" s="119"/>
      <c r="IW428" s="119"/>
      <c r="IX428" s="119"/>
      <c r="IY428" s="119"/>
      <c r="IZ428" s="119"/>
      <c r="JA428" s="119"/>
      <c r="JB428" s="119"/>
      <c r="JC428" s="119"/>
      <c r="JD428" s="119"/>
      <c r="JE428" s="119"/>
      <c r="JF428" s="119"/>
      <c r="JG428" s="119"/>
      <c r="JH428" s="119"/>
      <c r="JI428" s="119"/>
      <c r="JJ428" s="119"/>
      <c r="JK428" s="119"/>
      <c r="JL428" s="119"/>
      <c r="JM428" s="119"/>
      <c r="JN428" s="119"/>
      <c r="JO428" s="119"/>
      <c r="JP428" s="119"/>
      <c r="JQ428" s="119"/>
      <c r="JR428" s="119"/>
      <c r="JS428" s="119"/>
      <c r="JT428" s="119"/>
      <c r="JU428" s="119"/>
      <c r="JV428" s="119"/>
      <c r="JW428" s="119"/>
      <c r="JX428" s="119"/>
      <c r="JY428" s="119"/>
      <c r="JZ428" s="119"/>
      <c r="KA428" s="119"/>
      <c r="KB428" s="119"/>
      <c r="KC428" s="119"/>
      <c r="KD428" s="119"/>
      <c r="KE428" s="119"/>
      <c r="KF428" s="119"/>
      <c r="KG428" s="119"/>
      <c r="KH428" s="119"/>
      <c r="KI428" s="119"/>
      <c r="KJ428" s="119"/>
      <c r="KK428" s="119"/>
      <c r="KL428" s="119"/>
      <c r="KM428" s="119"/>
      <c r="KN428" s="119"/>
      <c r="KO428" s="119"/>
      <c r="KP428" s="119"/>
      <c r="KQ428" s="119"/>
      <c r="KR428" s="119"/>
      <c r="KS428" s="119"/>
      <c r="KT428" s="119"/>
      <c r="KU428" s="119"/>
      <c r="KV428" s="119"/>
      <c r="KW428" s="119"/>
      <c r="KX428" s="119"/>
      <c r="KY428" s="119"/>
      <c r="KZ428" s="119"/>
      <c r="LA428" s="119"/>
      <c r="LB428" s="119"/>
      <c r="LC428" s="119"/>
      <c r="LD428" s="119"/>
      <c r="LE428" s="119"/>
      <c r="LF428" s="119"/>
      <c r="LG428" s="119"/>
      <c r="LH428" s="119"/>
      <c r="LI428" s="119"/>
      <c r="LJ428" s="119"/>
      <c r="LK428" s="119"/>
      <c r="LL428" s="119"/>
      <c r="LM428" s="119"/>
      <c r="LN428" s="119"/>
      <c r="LO428" s="119"/>
      <c r="LP428" s="119"/>
      <c r="LQ428" s="119"/>
      <c r="LR428" s="119"/>
      <c r="LS428" s="119"/>
      <c r="LT428" s="119"/>
      <c r="LU428" s="119"/>
      <c r="LV428" s="119"/>
      <c r="LW428" s="119"/>
      <c r="LX428" s="119"/>
      <c r="LY428" s="119"/>
      <c r="LZ428" s="119"/>
      <c r="MA428" s="119"/>
      <c r="MB428" s="119"/>
      <c r="MC428" s="119"/>
      <c r="MD428" s="119"/>
      <c r="ME428" s="119"/>
      <c r="MF428" s="119"/>
      <c r="MG428" s="119"/>
      <c r="MH428" s="119"/>
      <c r="MI428" s="119"/>
      <c r="MJ428" s="119"/>
      <c r="MK428" s="119"/>
      <c r="ML428" s="119"/>
      <c r="MM428" s="119"/>
      <c r="MN428" s="119"/>
      <c r="MO428" s="119"/>
      <c r="MP428" s="119"/>
      <c r="MQ428" s="119"/>
      <c r="MR428" s="119"/>
      <c r="MS428" s="119"/>
      <c r="MT428" s="119"/>
      <c r="MU428" s="119"/>
      <c r="MV428" s="119"/>
      <c r="MW428" s="119"/>
      <c r="MX428" s="119"/>
      <c r="MY428" s="119"/>
      <c r="MZ428" s="119"/>
    </row>
    <row r="429" spans="1:364" s="27" customFormat="1" x14ac:dyDescent="0.25">
      <c r="A429" s="122"/>
      <c r="B429" s="122"/>
      <c r="C429" s="126"/>
      <c r="D429" s="128"/>
      <c r="E429" s="109" t="s">
        <v>493</v>
      </c>
      <c r="F429" s="131"/>
      <c r="G429" s="131"/>
      <c r="H429" s="106" t="s">
        <v>438</v>
      </c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19"/>
      <c r="T429" s="119"/>
      <c r="U429" s="119"/>
      <c r="V429" s="119"/>
      <c r="W429" s="119"/>
      <c r="X429" s="119"/>
      <c r="Y429" s="119"/>
      <c r="Z429" s="119"/>
      <c r="AA429" s="119"/>
      <c r="AB429" s="119"/>
      <c r="AC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9"/>
      <c r="AT429" s="119"/>
      <c r="AU429" s="119"/>
      <c r="AV429" s="119"/>
      <c r="AW429" s="119"/>
      <c r="AX429" s="119"/>
      <c r="AY429" s="119"/>
      <c r="AZ429" s="119"/>
      <c r="BA429" s="119"/>
      <c r="BB429" s="119"/>
      <c r="BC429" s="119"/>
      <c r="BD429" s="119"/>
      <c r="BE429" s="119"/>
      <c r="BF429" s="119"/>
      <c r="BG429" s="119"/>
      <c r="BH429" s="119"/>
      <c r="BI429" s="119"/>
      <c r="BJ429" s="119"/>
      <c r="BK429" s="119"/>
      <c r="BL429" s="26"/>
      <c r="BM429" s="119"/>
      <c r="BN429" s="119"/>
      <c r="BO429" s="119"/>
      <c r="BP429" s="119"/>
      <c r="BQ429" s="119"/>
      <c r="BR429" s="119"/>
      <c r="BS429" s="119"/>
      <c r="BT429" s="119"/>
      <c r="BU429" s="119"/>
      <c r="BV429" s="119"/>
      <c r="BW429" s="119"/>
      <c r="BX429" s="119"/>
      <c r="BY429" s="119"/>
      <c r="BZ429" s="119"/>
      <c r="CA429" s="119"/>
      <c r="CB429" s="119"/>
      <c r="CC429" s="119"/>
      <c r="CD429" s="119"/>
      <c r="CE429" s="119"/>
      <c r="CF429" s="119"/>
      <c r="CG429" s="119"/>
      <c r="CH429" s="119"/>
      <c r="CI429" s="119"/>
      <c r="CJ429" s="119"/>
      <c r="CK429" s="119"/>
      <c r="CL429" s="119"/>
      <c r="CM429" s="119"/>
      <c r="CN429" s="119"/>
      <c r="CO429" s="119"/>
      <c r="CP429" s="119"/>
      <c r="CQ429" s="119"/>
      <c r="CR429" s="119"/>
      <c r="CS429" s="119"/>
      <c r="CT429" s="119"/>
      <c r="CU429" s="119"/>
      <c r="CV429" s="119"/>
      <c r="CW429" s="119"/>
      <c r="CX429" s="119"/>
      <c r="CY429" s="119"/>
      <c r="CZ429" s="119"/>
      <c r="DA429" s="119"/>
      <c r="DB429" s="119"/>
      <c r="DC429" s="119"/>
      <c r="DD429" s="119"/>
      <c r="DE429" s="119"/>
      <c r="DF429" s="119"/>
      <c r="DG429" s="119"/>
      <c r="DH429" s="119"/>
      <c r="DI429" s="119"/>
      <c r="DJ429" s="119"/>
      <c r="DK429" s="119"/>
      <c r="DL429" s="119"/>
      <c r="DM429" s="119"/>
      <c r="DN429" s="119"/>
      <c r="DO429" s="119"/>
      <c r="DP429" s="119"/>
      <c r="DQ429" s="119"/>
      <c r="DR429" s="119"/>
      <c r="DS429" s="119"/>
      <c r="DT429" s="119"/>
      <c r="DU429" s="119"/>
      <c r="DV429" s="119"/>
      <c r="DW429" s="119"/>
      <c r="DX429" s="119"/>
      <c r="DY429" s="119"/>
      <c r="DZ429" s="119"/>
      <c r="EA429" s="119"/>
      <c r="EB429" s="119"/>
      <c r="EC429" s="119"/>
      <c r="ED429" s="119"/>
      <c r="EE429" s="119"/>
      <c r="EF429" s="119"/>
      <c r="EG429" s="119"/>
      <c r="EH429" s="119"/>
      <c r="EI429" s="119"/>
      <c r="EJ429" s="119"/>
      <c r="EK429" s="119"/>
      <c r="EL429" s="119"/>
      <c r="EM429" s="119"/>
      <c r="EN429" s="119"/>
      <c r="EO429" s="119"/>
      <c r="EP429" s="119"/>
      <c r="EQ429" s="119"/>
      <c r="ER429" s="119"/>
      <c r="ES429" s="119"/>
      <c r="ET429" s="119"/>
      <c r="EU429" s="119"/>
      <c r="EV429" s="119"/>
      <c r="EW429" s="119"/>
      <c r="EX429" s="119"/>
      <c r="EY429" s="119"/>
      <c r="EZ429" s="119"/>
      <c r="FA429" s="119"/>
      <c r="FB429" s="119"/>
      <c r="FC429" s="119"/>
      <c r="FD429" s="119"/>
      <c r="FE429" s="119"/>
      <c r="FF429" s="119"/>
      <c r="FG429" s="119"/>
      <c r="FH429" s="119"/>
      <c r="FI429" s="119"/>
      <c r="FJ429" s="119"/>
      <c r="FK429" s="119"/>
      <c r="FL429" s="119"/>
      <c r="FM429" s="119"/>
      <c r="FN429" s="119"/>
      <c r="FO429" s="119"/>
      <c r="FP429" s="119"/>
      <c r="FQ429" s="119"/>
      <c r="FR429" s="119"/>
      <c r="FS429" s="119"/>
      <c r="FT429" s="119"/>
      <c r="FU429" s="119"/>
      <c r="FV429" s="119"/>
      <c r="FW429" s="119"/>
      <c r="FX429" s="119"/>
      <c r="FY429" s="119"/>
      <c r="FZ429" s="119"/>
      <c r="GA429" s="119"/>
      <c r="GB429" s="119"/>
      <c r="GC429" s="119"/>
      <c r="GD429" s="119"/>
      <c r="GE429" s="119"/>
      <c r="GF429" s="119"/>
      <c r="GG429" s="119"/>
      <c r="GH429" s="119"/>
      <c r="GI429" s="119"/>
      <c r="GJ429" s="119"/>
      <c r="GK429" s="119"/>
      <c r="GL429" s="119"/>
      <c r="GM429" s="119"/>
      <c r="GN429" s="119"/>
      <c r="GO429" s="119"/>
      <c r="GP429" s="119"/>
      <c r="GQ429" s="119"/>
      <c r="GR429" s="119"/>
      <c r="GS429" s="119"/>
      <c r="GT429" s="119"/>
      <c r="GU429" s="119"/>
      <c r="GV429" s="119"/>
      <c r="GW429" s="119"/>
      <c r="GX429" s="119"/>
      <c r="GY429" s="119"/>
      <c r="GZ429" s="119"/>
      <c r="HA429" s="119"/>
      <c r="HB429" s="119"/>
      <c r="HC429" s="119"/>
      <c r="HD429" s="119"/>
      <c r="HE429" s="119"/>
      <c r="HF429" s="119"/>
      <c r="HG429" s="119"/>
      <c r="HH429" s="119"/>
      <c r="HI429" s="119"/>
      <c r="HJ429" s="119"/>
      <c r="HK429" s="119"/>
      <c r="HL429" s="119"/>
      <c r="HM429" s="119"/>
      <c r="HN429" s="119"/>
      <c r="HO429" s="119"/>
      <c r="HP429" s="119"/>
      <c r="HQ429" s="119"/>
      <c r="HR429" s="119"/>
      <c r="HS429" s="119"/>
      <c r="HT429" s="119"/>
      <c r="HU429" s="119"/>
      <c r="HV429" s="119"/>
      <c r="HW429" s="119"/>
      <c r="HX429" s="119"/>
      <c r="HY429" s="119"/>
      <c r="HZ429" s="119"/>
      <c r="IA429" s="119"/>
      <c r="IB429" s="119"/>
      <c r="IC429" s="119"/>
      <c r="ID429" s="119"/>
      <c r="IE429" s="119"/>
      <c r="IF429" s="119"/>
      <c r="IG429" s="119"/>
      <c r="IH429" s="119"/>
      <c r="II429" s="119"/>
      <c r="IJ429" s="119"/>
      <c r="IK429" s="119"/>
      <c r="IL429" s="119"/>
      <c r="IM429" s="119"/>
      <c r="IN429" s="119"/>
      <c r="IO429" s="119"/>
      <c r="IP429" s="119"/>
      <c r="IQ429" s="119"/>
      <c r="IR429" s="119"/>
      <c r="IS429" s="119"/>
      <c r="IT429" s="119"/>
      <c r="IU429" s="119"/>
      <c r="IV429" s="119"/>
      <c r="IW429" s="119"/>
      <c r="IX429" s="119"/>
      <c r="IY429" s="119"/>
      <c r="IZ429" s="119"/>
      <c r="JA429" s="119"/>
      <c r="JB429" s="119"/>
      <c r="JC429" s="119"/>
      <c r="JD429" s="119"/>
      <c r="JE429" s="119"/>
      <c r="JF429" s="119"/>
      <c r="JG429" s="119"/>
      <c r="JH429" s="119"/>
      <c r="JI429" s="119"/>
      <c r="JJ429" s="119"/>
      <c r="JK429" s="119"/>
      <c r="JL429" s="119"/>
      <c r="JM429" s="119"/>
      <c r="JN429" s="119"/>
      <c r="JO429" s="119"/>
      <c r="JP429" s="119"/>
      <c r="JQ429" s="119"/>
      <c r="JR429" s="119"/>
      <c r="JS429" s="119"/>
      <c r="JT429" s="119"/>
      <c r="JU429" s="119"/>
      <c r="JV429" s="119"/>
      <c r="JW429" s="119"/>
      <c r="JX429" s="119"/>
      <c r="JY429" s="119"/>
      <c r="JZ429" s="119"/>
      <c r="KA429" s="119"/>
      <c r="KB429" s="119"/>
      <c r="KC429" s="119"/>
      <c r="KD429" s="119"/>
      <c r="KE429" s="119"/>
      <c r="KF429" s="119"/>
      <c r="KG429" s="119"/>
      <c r="KH429" s="119"/>
      <c r="KI429" s="119"/>
      <c r="KJ429" s="119"/>
      <c r="KK429" s="119"/>
      <c r="KL429" s="119"/>
      <c r="KM429" s="119"/>
      <c r="KN429" s="119"/>
      <c r="KO429" s="119"/>
      <c r="KP429" s="119"/>
      <c r="KQ429" s="119"/>
      <c r="KR429" s="119"/>
      <c r="KS429" s="119"/>
      <c r="KT429" s="119"/>
      <c r="KU429" s="119"/>
      <c r="KV429" s="119"/>
      <c r="KW429" s="119"/>
      <c r="KX429" s="119"/>
      <c r="KY429" s="119"/>
      <c r="KZ429" s="119"/>
      <c r="LA429" s="119"/>
      <c r="LB429" s="119"/>
      <c r="LC429" s="119"/>
      <c r="LD429" s="119"/>
      <c r="LE429" s="119"/>
      <c r="LF429" s="119"/>
      <c r="LG429" s="119"/>
      <c r="LH429" s="119"/>
      <c r="LI429" s="119"/>
      <c r="LJ429" s="119"/>
      <c r="LK429" s="119"/>
      <c r="LL429" s="119"/>
      <c r="LM429" s="119"/>
      <c r="LN429" s="119"/>
      <c r="LO429" s="119"/>
      <c r="LP429" s="119"/>
      <c r="LQ429" s="119"/>
      <c r="LR429" s="119"/>
      <c r="LS429" s="119"/>
      <c r="LT429" s="119"/>
      <c r="LU429" s="119"/>
      <c r="LV429" s="119"/>
      <c r="LW429" s="119"/>
      <c r="LX429" s="119"/>
      <c r="LY429" s="119"/>
      <c r="LZ429" s="119"/>
      <c r="MA429" s="119"/>
      <c r="MB429" s="119"/>
      <c r="MC429" s="119"/>
      <c r="MD429" s="119"/>
      <c r="ME429" s="119"/>
      <c r="MF429" s="119"/>
      <c r="MG429" s="119"/>
      <c r="MH429" s="119"/>
      <c r="MI429" s="119"/>
      <c r="MJ429" s="119"/>
      <c r="MK429" s="119"/>
      <c r="ML429" s="119"/>
      <c r="MM429" s="119"/>
      <c r="MN429" s="119"/>
      <c r="MO429" s="119"/>
      <c r="MP429" s="119"/>
      <c r="MQ429" s="119"/>
      <c r="MR429" s="119"/>
      <c r="MS429" s="119"/>
      <c r="MT429" s="119"/>
      <c r="MU429" s="119"/>
      <c r="MV429" s="119"/>
      <c r="MW429" s="119"/>
      <c r="MX429" s="119"/>
      <c r="MY429" s="119"/>
      <c r="MZ429" s="119"/>
    </row>
    <row r="430" spans="1:364" s="27" customFormat="1" x14ac:dyDescent="0.25">
      <c r="A430" s="123"/>
      <c r="B430" s="123"/>
      <c r="C430" s="126"/>
      <c r="D430" s="129"/>
      <c r="E430" s="109"/>
      <c r="F430" s="131"/>
      <c r="G430" s="132"/>
      <c r="H430" s="114" t="s">
        <v>149</v>
      </c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19"/>
      <c r="T430" s="119"/>
      <c r="U430" s="119"/>
      <c r="V430" s="119"/>
      <c r="W430" s="119"/>
      <c r="X430" s="119"/>
      <c r="Y430" s="119"/>
      <c r="Z430" s="119"/>
      <c r="AA430" s="119"/>
      <c r="AB430" s="119"/>
      <c r="AC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9"/>
      <c r="AT430" s="119"/>
      <c r="AU430" s="119"/>
      <c r="AV430" s="119"/>
      <c r="AW430" s="119"/>
      <c r="AX430" s="119"/>
      <c r="AY430" s="119"/>
      <c r="AZ430" s="119"/>
      <c r="BA430" s="119"/>
      <c r="BB430" s="119"/>
      <c r="BC430" s="119"/>
      <c r="BD430" s="119"/>
      <c r="BE430" s="119"/>
      <c r="BF430" s="119"/>
      <c r="BG430" s="119"/>
      <c r="BH430" s="119"/>
      <c r="BI430" s="119"/>
      <c r="BJ430" s="119"/>
      <c r="BK430" s="119"/>
      <c r="BL430" s="26"/>
      <c r="BM430" s="119"/>
      <c r="BN430" s="119"/>
      <c r="BO430" s="119"/>
      <c r="BP430" s="119"/>
      <c r="BQ430" s="119"/>
      <c r="BR430" s="119"/>
      <c r="BS430" s="119"/>
      <c r="BT430" s="119"/>
      <c r="BU430" s="119"/>
      <c r="BV430" s="119"/>
      <c r="BW430" s="119"/>
      <c r="BX430" s="119"/>
      <c r="BY430" s="119"/>
      <c r="BZ430" s="119"/>
      <c r="CA430" s="119"/>
      <c r="CB430" s="119"/>
      <c r="CC430" s="119"/>
      <c r="CD430" s="119"/>
      <c r="CE430" s="119"/>
      <c r="CF430" s="119"/>
      <c r="CG430" s="119"/>
      <c r="CH430" s="119"/>
      <c r="CI430" s="119"/>
      <c r="CJ430" s="119"/>
      <c r="CK430" s="119"/>
      <c r="CL430" s="119"/>
      <c r="CM430" s="119"/>
      <c r="CN430" s="119"/>
      <c r="CO430" s="119"/>
      <c r="CP430" s="119"/>
      <c r="CQ430" s="119"/>
      <c r="CR430" s="119"/>
      <c r="CS430" s="119"/>
      <c r="CT430" s="119"/>
      <c r="CU430" s="119"/>
      <c r="CV430" s="119"/>
      <c r="CW430" s="119"/>
      <c r="CX430" s="119"/>
      <c r="CY430" s="119"/>
      <c r="CZ430" s="119"/>
      <c r="DA430" s="119"/>
      <c r="DB430" s="119"/>
      <c r="DC430" s="119"/>
      <c r="DD430" s="119"/>
      <c r="DE430" s="119"/>
      <c r="DF430" s="119"/>
      <c r="DG430" s="119"/>
      <c r="DH430" s="119"/>
      <c r="DI430" s="119"/>
      <c r="DJ430" s="119"/>
      <c r="DK430" s="119"/>
      <c r="DL430" s="119"/>
      <c r="DM430" s="119"/>
      <c r="DN430" s="119"/>
      <c r="DO430" s="119"/>
      <c r="DP430" s="119"/>
      <c r="DQ430" s="119"/>
      <c r="DR430" s="119"/>
      <c r="DS430" s="119"/>
      <c r="DT430" s="119"/>
      <c r="DU430" s="119"/>
      <c r="DV430" s="119"/>
      <c r="DW430" s="119"/>
      <c r="DX430" s="119"/>
      <c r="DY430" s="119"/>
      <c r="DZ430" s="119"/>
      <c r="EA430" s="119"/>
      <c r="EB430" s="119"/>
      <c r="EC430" s="119"/>
      <c r="ED430" s="119"/>
      <c r="EE430" s="119"/>
      <c r="EF430" s="119"/>
      <c r="EG430" s="119"/>
      <c r="EH430" s="119"/>
      <c r="EI430" s="119"/>
      <c r="EJ430" s="119"/>
      <c r="EK430" s="119"/>
      <c r="EL430" s="119"/>
      <c r="EM430" s="119"/>
      <c r="EN430" s="119"/>
      <c r="EO430" s="119"/>
      <c r="EP430" s="119"/>
      <c r="EQ430" s="119"/>
      <c r="ER430" s="119"/>
      <c r="ES430" s="119"/>
      <c r="ET430" s="119"/>
      <c r="EU430" s="119"/>
      <c r="EV430" s="119"/>
      <c r="EW430" s="119"/>
      <c r="EX430" s="119"/>
      <c r="EY430" s="119"/>
      <c r="EZ430" s="119"/>
      <c r="FA430" s="119"/>
      <c r="FB430" s="119"/>
      <c r="FC430" s="119"/>
      <c r="FD430" s="119"/>
      <c r="FE430" s="119"/>
      <c r="FF430" s="119"/>
      <c r="FG430" s="119"/>
      <c r="FH430" s="119"/>
      <c r="FI430" s="119"/>
      <c r="FJ430" s="119"/>
      <c r="FK430" s="119"/>
      <c r="FL430" s="119"/>
      <c r="FM430" s="119"/>
      <c r="FN430" s="119"/>
      <c r="FO430" s="119"/>
      <c r="FP430" s="119"/>
      <c r="FQ430" s="119"/>
      <c r="FR430" s="119"/>
      <c r="FS430" s="119"/>
      <c r="FT430" s="119"/>
      <c r="FU430" s="119"/>
      <c r="FV430" s="119"/>
      <c r="FW430" s="119"/>
      <c r="FX430" s="119"/>
      <c r="FY430" s="119"/>
      <c r="FZ430" s="119"/>
      <c r="GA430" s="119"/>
      <c r="GB430" s="119"/>
      <c r="GC430" s="119"/>
      <c r="GD430" s="119"/>
      <c r="GE430" s="119"/>
      <c r="GF430" s="119"/>
      <c r="GG430" s="119"/>
      <c r="GH430" s="119"/>
      <c r="GI430" s="119"/>
      <c r="GJ430" s="119"/>
      <c r="GK430" s="119"/>
      <c r="GL430" s="119"/>
      <c r="GM430" s="119"/>
      <c r="GN430" s="119"/>
      <c r="GO430" s="119"/>
      <c r="GP430" s="119"/>
      <c r="GQ430" s="119"/>
      <c r="GR430" s="119"/>
      <c r="GS430" s="119"/>
      <c r="GT430" s="119"/>
      <c r="GU430" s="119"/>
      <c r="GV430" s="119"/>
      <c r="GW430" s="119"/>
      <c r="GX430" s="119"/>
      <c r="GY430" s="119"/>
      <c r="GZ430" s="119"/>
      <c r="HA430" s="119"/>
      <c r="HB430" s="119"/>
      <c r="HC430" s="119"/>
      <c r="HD430" s="119"/>
      <c r="HE430" s="119"/>
      <c r="HF430" s="119"/>
      <c r="HG430" s="119"/>
      <c r="HH430" s="119"/>
      <c r="HI430" s="119"/>
      <c r="HJ430" s="119"/>
      <c r="HK430" s="119"/>
      <c r="HL430" s="119"/>
      <c r="HM430" s="119"/>
      <c r="HN430" s="119"/>
      <c r="HO430" s="119"/>
      <c r="HP430" s="119"/>
      <c r="HQ430" s="119"/>
      <c r="HR430" s="119"/>
      <c r="HS430" s="119"/>
      <c r="HT430" s="119"/>
      <c r="HU430" s="119"/>
      <c r="HV430" s="119"/>
      <c r="HW430" s="119"/>
      <c r="HX430" s="119"/>
      <c r="HY430" s="119"/>
      <c r="HZ430" s="119"/>
      <c r="IA430" s="119"/>
      <c r="IB430" s="119"/>
      <c r="IC430" s="119"/>
      <c r="ID430" s="119"/>
      <c r="IE430" s="119"/>
      <c r="IF430" s="119"/>
      <c r="IG430" s="119"/>
      <c r="IH430" s="119"/>
      <c r="II430" s="119"/>
      <c r="IJ430" s="119"/>
      <c r="IK430" s="119"/>
      <c r="IL430" s="119"/>
      <c r="IM430" s="119"/>
      <c r="IN430" s="119"/>
      <c r="IO430" s="119"/>
      <c r="IP430" s="119"/>
      <c r="IQ430" s="119"/>
      <c r="IR430" s="119"/>
      <c r="IS430" s="119"/>
      <c r="IT430" s="119"/>
      <c r="IU430" s="119"/>
      <c r="IV430" s="119"/>
      <c r="IW430" s="119"/>
      <c r="IX430" s="119"/>
      <c r="IY430" s="119"/>
      <c r="IZ430" s="119"/>
      <c r="JA430" s="119"/>
      <c r="JB430" s="119"/>
      <c r="JC430" s="119"/>
      <c r="JD430" s="119"/>
      <c r="JE430" s="119"/>
      <c r="JF430" s="119"/>
      <c r="JG430" s="119"/>
      <c r="JH430" s="119"/>
      <c r="JI430" s="119"/>
      <c r="JJ430" s="119"/>
      <c r="JK430" s="119"/>
      <c r="JL430" s="119"/>
      <c r="JM430" s="119"/>
      <c r="JN430" s="119"/>
      <c r="JO430" s="119"/>
      <c r="JP430" s="119"/>
      <c r="JQ430" s="119"/>
      <c r="JR430" s="119"/>
      <c r="JS430" s="119"/>
      <c r="JT430" s="119"/>
      <c r="JU430" s="119"/>
      <c r="JV430" s="119"/>
      <c r="JW430" s="119"/>
      <c r="JX430" s="119"/>
      <c r="JY430" s="119"/>
      <c r="JZ430" s="119"/>
      <c r="KA430" s="119"/>
      <c r="KB430" s="119"/>
      <c r="KC430" s="119"/>
      <c r="KD430" s="119"/>
      <c r="KE430" s="119"/>
      <c r="KF430" s="119"/>
      <c r="KG430" s="119"/>
      <c r="KH430" s="119"/>
      <c r="KI430" s="119"/>
      <c r="KJ430" s="119"/>
      <c r="KK430" s="119"/>
      <c r="KL430" s="119"/>
      <c r="KM430" s="119"/>
      <c r="KN430" s="119"/>
      <c r="KO430" s="119"/>
      <c r="KP430" s="119"/>
      <c r="KQ430" s="119"/>
      <c r="KR430" s="119"/>
      <c r="KS430" s="119"/>
      <c r="KT430" s="119"/>
      <c r="KU430" s="119"/>
      <c r="KV430" s="119"/>
      <c r="KW430" s="119"/>
      <c r="KX430" s="119"/>
      <c r="KY430" s="119"/>
      <c r="KZ430" s="119"/>
      <c r="LA430" s="119"/>
      <c r="LB430" s="119"/>
      <c r="LC430" s="119"/>
      <c r="LD430" s="119"/>
      <c r="LE430" s="119"/>
      <c r="LF430" s="119"/>
      <c r="LG430" s="119"/>
      <c r="LH430" s="119"/>
      <c r="LI430" s="119"/>
      <c r="LJ430" s="119"/>
      <c r="LK430" s="119"/>
      <c r="LL430" s="119"/>
      <c r="LM430" s="119"/>
      <c r="LN430" s="119"/>
      <c r="LO430" s="119"/>
      <c r="LP430" s="119"/>
      <c r="LQ430" s="119"/>
      <c r="LR430" s="119"/>
      <c r="LS430" s="119"/>
      <c r="LT430" s="119"/>
      <c r="LU430" s="119"/>
      <c r="LV430" s="119"/>
      <c r="LW430" s="119"/>
      <c r="LX430" s="119"/>
      <c r="LY430" s="119"/>
      <c r="LZ430" s="119"/>
      <c r="MA430" s="119"/>
      <c r="MB430" s="119"/>
      <c r="MC430" s="119"/>
      <c r="MD430" s="119"/>
      <c r="ME430" s="119"/>
      <c r="MF430" s="119"/>
      <c r="MG430" s="119"/>
      <c r="MH430" s="119"/>
      <c r="MI430" s="119"/>
      <c r="MJ430" s="119"/>
      <c r="MK430" s="119"/>
      <c r="ML430" s="119"/>
      <c r="MM430" s="119"/>
      <c r="MN430" s="119"/>
      <c r="MO430" s="119"/>
      <c r="MP430" s="119"/>
      <c r="MQ430" s="119"/>
      <c r="MR430" s="119"/>
      <c r="MS430" s="119"/>
      <c r="MT430" s="119"/>
      <c r="MU430" s="119"/>
      <c r="MV430" s="119"/>
      <c r="MW430" s="119"/>
      <c r="MX430" s="119"/>
      <c r="MY430" s="119"/>
      <c r="MZ430" s="119"/>
    </row>
    <row r="431" spans="1:364" s="27" customFormat="1" x14ac:dyDescent="0.25">
      <c r="A431" s="121"/>
      <c r="B431" s="124" t="e">
        <f>VLOOKUP(A431,Rules!$B$8:$C$154,2,0)</f>
        <v>#N/A</v>
      </c>
      <c r="C431" s="125">
        <f t="shared" ref="C431" si="7">SUM(I432:XX432)</f>
        <v>0</v>
      </c>
      <c r="D431" s="127"/>
      <c r="E431" s="110" t="s">
        <v>492</v>
      </c>
      <c r="F431" s="130" t="e">
        <f>VLOOKUP(A431,Table2[],10,0)</f>
        <v>#N/A</v>
      </c>
      <c r="G431" s="130"/>
      <c r="H431" s="113" t="s">
        <v>440</v>
      </c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9"/>
      <c r="T431" s="119"/>
      <c r="U431" s="119"/>
      <c r="V431" s="119"/>
      <c r="W431" s="119"/>
      <c r="X431" s="119"/>
      <c r="Y431" s="119"/>
      <c r="Z431" s="119"/>
      <c r="AA431" s="119"/>
      <c r="AB431" s="119"/>
      <c r="AC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9"/>
      <c r="AT431" s="119"/>
      <c r="AU431" s="119"/>
      <c r="AV431" s="119"/>
      <c r="AW431" s="119"/>
      <c r="AX431" s="119"/>
      <c r="AY431" s="119"/>
      <c r="AZ431" s="119"/>
      <c r="BA431" s="119"/>
      <c r="BB431" s="119"/>
      <c r="BC431" s="119"/>
      <c r="BD431" s="119"/>
      <c r="BE431" s="119"/>
      <c r="BF431" s="119"/>
      <c r="BG431" s="119"/>
      <c r="BH431" s="119"/>
      <c r="BI431" s="119"/>
      <c r="BJ431" s="119"/>
      <c r="BK431" s="119"/>
      <c r="BL431" s="26"/>
      <c r="BM431" s="119"/>
      <c r="BN431" s="26"/>
      <c r="BO431" s="119"/>
      <c r="BP431" s="119"/>
      <c r="BQ431" s="119"/>
      <c r="BR431" s="119"/>
      <c r="BS431" s="119"/>
      <c r="BT431" s="119"/>
      <c r="BU431" s="119"/>
      <c r="BV431" s="119"/>
      <c r="BW431" s="119"/>
      <c r="BX431" s="119"/>
      <c r="BY431" s="119"/>
      <c r="BZ431" s="119"/>
      <c r="CA431" s="119"/>
      <c r="CB431" s="119"/>
      <c r="CC431" s="119"/>
      <c r="CD431" s="119"/>
      <c r="CE431" s="119"/>
      <c r="CF431" s="119"/>
      <c r="CG431" s="119"/>
      <c r="CH431" s="119"/>
      <c r="CI431" s="119"/>
      <c r="CJ431" s="119"/>
      <c r="CK431" s="119"/>
      <c r="CL431" s="119"/>
      <c r="CM431" s="119"/>
      <c r="CN431" s="119"/>
      <c r="CO431" s="119"/>
      <c r="CP431" s="119"/>
      <c r="CQ431" s="119"/>
      <c r="CR431" s="119"/>
      <c r="CS431" s="119"/>
      <c r="CT431" s="119"/>
      <c r="CU431" s="119"/>
      <c r="CV431" s="119"/>
      <c r="CW431" s="119"/>
      <c r="CX431" s="119"/>
      <c r="CY431" s="119"/>
      <c r="CZ431" s="119"/>
      <c r="DA431" s="119"/>
      <c r="DB431" s="119"/>
      <c r="DC431" s="119"/>
      <c r="DD431" s="119"/>
      <c r="DE431" s="119"/>
      <c r="DF431" s="119"/>
      <c r="DG431" s="119"/>
      <c r="DH431" s="119"/>
      <c r="DI431" s="119"/>
      <c r="DJ431" s="119"/>
      <c r="DK431" s="119"/>
      <c r="DL431" s="119"/>
      <c r="DM431" s="119"/>
      <c r="DN431" s="119"/>
      <c r="DO431" s="119"/>
      <c r="DP431" s="119"/>
      <c r="DQ431" s="119"/>
      <c r="DR431" s="119"/>
      <c r="DS431" s="119"/>
      <c r="DT431" s="119"/>
      <c r="DU431" s="119"/>
      <c r="DV431" s="119"/>
      <c r="DW431" s="119"/>
      <c r="DX431" s="119"/>
      <c r="DY431" s="119"/>
      <c r="DZ431" s="119"/>
      <c r="EA431" s="119"/>
      <c r="EB431" s="119"/>
      <c r="EC431" s="119"/>
      <c r="ED431" s="119"/>
      <c r="EE431" s="119"/>
      <c r="EF431" s="119"/>
      <c r="EG431" s="119"/>
      <c r="EH431" s="119"/>
      <c r="EI431" s="119"/>
      <c r="EJ431" s="119"/>
      <c r="EK431" s="119"/>
      <c r="EL431" s="119"/>
      <c r="EM431" s="119"/>
      <c r="EN431" s="119"/>
      <c r="EO431" s="119"/>
      <c r="EP431" s="119"/>
      <c r="EQ431" s="119"/>
      <c r="ER431" s="119"/>
      <c r="ES431" s="119"/>
      <c r="ET431" s="119"/>
      <c r="EU431" s="119"/>
      <c r="EV431" s="119"/>
      <c r="EW431" s="119"/>
      <c r="EX431" s="119"/>
      <c r="EY431" s="119"/>
      <c r="EZ431" s="119"/>
      <c r="FA431" s="119"/>
      <c r="FB431" s="119"/>
      <c r="FC431" s="119"/>
      <c r="FD431" s="119"/>
      <c r="FE431" s="119"/>
      <c r="FF431" s="119"/>
      <c r="FG431" s="119"/>
      <c r="FH431" s="119"/>
      <c r="FI431" s="119"/>
      <c r="FJ431" s="119"/>
      <c r="FK431" s="119"/>
      <c r="FL431" s="119"/>
      <c r="FM431" s="119"/>
      <c r="FN431" s="119"/>
      <c r="FO431" s="119"/>
      <c r="FP431" s="119"/>
      <c r="FQ431" s="119"/>
      <c r="FR431" s="119"/>
      <c r="FS431" s="119"/>
      <c r="FT431" s="119"/>
      <c r="FU431" s="119"/>
      <c r="FV431" s="119"/>
      <c r="FW431" s="119"/>
      <c r="FX431" s="119"/>
      <c r="FY431" s="119"/>
      <c r="FZ431" s="119"/>
      <c r="GA431" s="119"/>
      <c r="GB431" s="119"/>
      <c r="GC431" s="119"/>
      <c r="GD431" s="119"/>
      <c r="GE431" s="119"/>
      <c r="GF431" s="119"/>
      <c r="GG431" s="119"/>
      <c r="GH431" s="119"/>
      <c r="GI431" s="119"/>
      <c r="GJ431" s="119"/>
      <c r="GK431" s="119"/>
      <c r="GL431" s="119"/>
      <c r="GM431" s="119"/>
      <c r="GN431" s="119"/>
      <c r="GO431" s="119"/>
      <c r="GP431" s="119"/>
      <c r="GQ431" s="119"/>
      <c r="GR431" s="119"/>
      <c r="GS431" s="119"/>
      <c r="GT431" s="119"/>
      <c r="GU431" s="119"/>
      <c r="GV431" s="119"/>
      <c r="GW431" s="119"/>
      <c r="GX431" s="119"/>
      <c r="GY431" s="119"/>
      <c r="GZ431" s="119"/>
      <c r="HA431" s="119"/>
      <c r="HB431" s="119"/>
      <c r="HC431" s="119"/>
      <c r="HD431" s="119"/>
      <c r="HE431" s="119"/>
      <c r="HF431" s="119"/>
      <c r="HG431" s="119"/>
      <c r="HH431" s="119"/>
      <c r="HI431" s="119"/>
      <c r="HJ431" s="119"/>
      <c r="HK431" s="119"/>
      <c r="HL431" s="119"/>
      <c r="HM431" s="119"/>
      <c r="HN431" s="119"/>
      <c r="HO431" s="119"/>
      <c r="HP431" s="119"/>
      <c r="HQ431" s="119"/>
      <c r="HR431" s="119"/>
      <c r="HS431" s="119"/>
      <c r="HT431" s="119"/>
      <c r="HU431" s="119"/>
      <c r="HV431" s="119"/>
      <c r="HW431" s="119"/>
      <c r="HX431" s="119"/>
      <c r="HY431" s="119"/>
      <c r="HZ431" s="119"/>
      <c r="IA431" s="119"/>
      <c r="IB431" s="119"/>
      <c r="IC431" s="119"/>
      <c r="ID431" s="119"/>
      <c r="IE431" s="119"/>
      <c r="IF431" s="119"/>
      <c r="IG431" s="119"/>
      <c r="IH431" s="119"/>
      <c r="II431" s="119"/>
      <c r="IJ431" s="119"/>
      <c r="IK431" s="119"/>
      <c r="IL431" s="119"/>
      <c r="IM431" s="119"/>
      <c r="IN431" s="119"/>
      <c r="IO431" s="119"/>
      <c r="IP431" s="119"/>
      <c r="IQ431" s="119"/>
      <c r="IR431" s="119"/>
      <c r="IS431" s="119"/>
      <c r="IT431" s="119"/>
      <c r="IU431" s="119"/>
      <c r="IV431" s="119"/>
      <c r="IW431" s="119"/>
      <c r="IX431" s="119"/>
      <c r="IY431" s="119"/>
      <c r="IZ431" s="119"/>
      <c r="JA431" s="119"/>
      <c r="JB431" s="119"/>
      <c r="JC431" s="119"/>
      <c r="JD431" s="119"/>
      <c r="JE431" s="119"/>
      <c r="JF431" s="119"/>
      <c r="JG431" s="119"/>
      <c r="JH431" s="119"/>
      <c r="JI431" s="119"/>
      <c r="JJ431" s="119"/>
      <c r="JK431" s="119"/>
      <c r="JL431" s="119"/>
      <c r="JM431" s="119"/>
      <c r="JN431" s="119"/>
      <c r="JO431" s="119"/>
      <c r="JP431" s="119"/>
      <c r="JQ431" s="119"/>
      <c r="JR431" s="119"/>
      <c r="JS431" s="119"/>
      <c r="JT431" s="119"/>
      <c r="JU431" s="119"/>
      <c r="JV431" s="119"/>
      <c r="JW431" s="119"/>
      <c r="JX431" s="119"/>
      <c r="JY431" s="119"/>
      <c r="JZ431" s="119"/>
      <c r="KA431" s="119"/>
      <c r="KB431" s="119"/>
      <c r="KC431" s="119"/>
      <c r="KD431" s="119"/>
      <c r="KE431" s="119"/>
      <c r="KF431" s="119"/>
      <c r="KG431" s="119"/>
      <c r="KH431" s="119"/>
      <c r="KI431" s="119"/>
      <c r="KJ431" s="119"/>
      <c r="KK431" s="119"/>
      <c r="KL431" s="119"/>
      <c r="KM431" s="119"/>
      <c r="KN431" s="119"/>
      <c r="KO431" s="119"/>
      <c r="KP431" s="119"/>
      <c r="KQ431" s="119"/>
      <c r="KR431" s="119"/>
      <c r="KS431" s="119"/>
      <c r="KT431" s="119"/>
      <c r="KU431" s="119"/>
      <c r="KV431" s="119"/>
      <c r="KW431" s="119"/>
      <c r="KX431" s="119"/>
      <c r="KY431" s="119"/>
      <c r="KZ431" s="119"/>
      <c r="LA431" s="119"/>
      <c r="LB431" s="119"/>
      <c r="LC431" s="119"/>
      <c r="LD431" s="119"/>
      <c r="LE431" s="119"/>
      <c r="LF431" s="119"/>
      <c r="LG431" s="119"/>
      <c r="LH431" s="119"/>
      <c r="LI431" s="119"/>
      <c r="LJ431" s="119"/>
      <c r="LK431" s="119"/>
      <c r="LL431" s="119"/>
      <c r="LM431" s="119"/>
      <c r="LN431" s="119"/>
      <c r="LO431" s="119"/>
      <c r="LP431" s="119"/>
      <c r="LQ431" s="119"/>
      <c r="LR431" s="119"/>
      <c r="LS431" s="119"/>
      <c r="LT431" s="119"/>
      <c r="LU431" s="119"/>
      <c r="LV431" s="119"/>
      <c r="LW431" s="119"/>
      <c r="LX431" s="119"/>
      <c r="LY431" s="119"/>
      <c r="LZ431" s="119"/>
      <c r="MA431" s="119"/>
      <c r="MB431" s="119"/>
      <c r="MC431" s="119"/>
      <c r="MD431" s="119"/>
      <c r="ME431" s="119"/>
      <c r="MF431" s="119"/>
      <c r="MG431" s="119"/>
      <c r="MH431" s="119"/>
      <c r="MI431" s="119"/>
      <c r="MJ431" s="119"/>
      <c r="MK431" s="119"/>
      <c r="ML431" s="119"/>
      <c r="MM431" s="119"/>
      <c r="MN431" s="119"/>
      <c r="MO431" s="119"/>
      <c r="MP431" s="119"/>
      <c r="MQ431" s="119"/>
      <c r="MR431" s="119"/>
      <c r="MS431" s="119"/>
      <c r="MT431" s="119"/>
      <c r="MU431" s="119"/>
      <c r="MV431" s="119"/>
      <c r="MW431" s="119"/>
      <c r="MX431" s="119"/>
      <c r="MY431" s="119"/>
      <c r="MZ431" s="119"/>
    </row>
    <row r="432" spans="1:364" s="27" customFormat="1" x14ac:dyDescent="0.25">
      <c r="A432" s="122"/>
      <c r="B432" s="122"/>
      <c r="C432" s="126"/>
      <c r="D432" s="128"/>
      <c r="E432" s="109"/>
      <c r="F432" s="131"/>
      <c r="G432" s="131"/>
      <c r="H432" s="105" t="s">
        <v>439</v>
      </c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9"/>
      <c r="T432" s="119"/>
      <c r="U432" s="119"/>
      <c r="V432" s="119"/>
      <c r="W432" s="119"/>
      <c r="X432" s="119"/>
      <c r="Y432" s="119"/>
      <c r="Z432" s="119"/>
      <c r="AA432" s="119"/>
      <c r="AB432" s="119"/>
      <c r="AC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9"/>
      <c r="AT432" s="119"/>
      <c r="AU432" s="119"/>
      <c r="AV432" s="119"/>
      <c r="AW432" s="119"/>
      <c r="AX432" s="119"/>
      <c r="AY432" s="119"/>
      <c r="AZ432" s="119"/>
      <c r="BA432" s="119"/>
      <c r="BB432" s="119"/>
      <c r="BC432" s="119"/>
      <c r="BD432" s="119"/>
      <c r="BE432" s="119"/>
      <c r="BF432" s="119"/>
      <c r="BG432" s="119"/>
      <c r="BH432" s="119"/>
      <c r="BI432" s="119"/>
      <c r="BJ432" s="119"/>
      <c r="BK432" s="119"/>
      <c r="BL432" s="26"/>
      <c r="BM432" s="119"/>
      <c r="BN432" s="26"/>
      <c r="BO432" s="119"/>
      <c r="BP432" s="119"/>
      <c r="BQ432" s="119"/>
      <c r="BR432" s="119"/>
      <c r="BS432" s="119"/>
      <c r="BT432" s="119"/>
      <c r="BU432" s="119"/>
      <c r="BV432" s="119"/>
      <c r="BW432" s="119"/>
      <c r="BX432" s="119"/>
      <c r="BY432" s="119"/>
      <c r="BZ432" s="119"/>
      <c r="CA432" s="119"/>
      <c r="CB432" s="119"/>
      <c r="CC432" s="119"/>
      <c r="CD432" s="119"/>
      <c r="CE432" s="119"/>
      <c r="CF432" s="119"/>
      <c r="CG432" s="119"/>
      <c r="CH432" s="119"/>
      <c r="CI432" s="119"/>
      <c r="CJ432" s="119"/>
      <c r="CK432" s="119"/>
      <c r="CL432" s="119"/>
      <c r="CM432" s="119"/>
      <c r="CN432" s="119"/>
      <c r="CO432" s="119"/>
      <c r="CP432" s="119"/>
      <c r="CQ432" s="119"/>
      <c r="CR432" s="119"/>
      <c r="CS432" s="119"/>
      <c r="CT432" s="119"/>
      <c r="CU432" s="119"/>
      <c r="CV432" s="119"/>
      <c r="CW432" s="119"/>
      <c r="CX432" s="119"/>
      <c r="CY432" s="119"/>
      <c r="CZ432" s="119"/>
      <c r="DA432" s="119"/>
      <c r="DB432" s="119"/>
      <c r="DC432" s="119"/>
      <c r="DD432" s="119"/>
      <c r="DE432" s="119"/>
      <c r="DF432" s="119"/>
      <c r="DG432" s="119"/>
      <c r="DH432" s="119"/>
      <c r="DI432" s="119"/>
      <c r="DJ432" s="119"/>
      <c r="DK432" s="119"/>
      <c r="DL432" s="119"/>
      <c r="DM432" s="119"/>
      <c r="DN432" s="119"/>
      <c r="DO432" s="119"/>
      <c r="DP432" s="119"/>
      <c r="DQ432" s="119"/>
      <c r="DR432" s="119"/>
      <c r="DS432" s="119"/>
      <c r="DT432" s="119"/>
      <c r="DU432" s="119"/>
      <c r="DV432" s="119"/>
      <c r="DW432" s="119"/>
      <c r="DX432" s="119"/>
      <c r="DY432" s="119"/>
      <c r="DZ432" s="119"/>
      <c r="EA432" s="119"/>
      <c r="EB432" s="119"/>
      <c r="EC432" s="119"/>
      <c r="ED432" s="119"/>
      <c r="EE432" s="119"/>
      <c r="EF432" s="119"/>
      <c r="EG432" s="119"/>
      <c r="EH432" s="119"/>
      <c r="EI432" s="119"/>
      <c r="EJ432" s="119"/>
      <c r="EK432" s="119"/>
      <c r="EL432" s="119"/>
      <c r="EM432" s="119"/>
      <c r="EN432" s="119"/>
      <c r="EO432" s="119"/>
      <c r="EP432" s="119"/>
      <c r="EQ432" s="119"/>
      <c r="ER432" s="119"/>
      <c r="ES432" s="119"/>
      <c r="ET432" s="119"/>
      <c r="EU432" s="119"/>
      <c r="EV432" s="119"/>
      <c r="EW432" s="119"/>
      <c r="EX432" s="119"/>
      <c r="EY432" s="119"/>
      <c r="EZ432" s="119"/>
      <c r="FA432" s="119"/>
      <c r="FB432" s="119"/>
      <c r="FC432" s="119"/>
      <c r="FD432" s="119"/>
      <c r="FE432" s="119"/>
      <c r="FF432" s="119"/>
      <c r="FG432" s="119"/>
      <c r="FH432" s="119"/>
      <c r="FI432" s="119"/>
      <c r="FJ432" s="119"/>
      <c r="FK432" s="119"/>
      <c r="FL432" s="119"/>
      <c r="FM432" s="119"/>
      <c r="FN432" s="119"/>
      <c r="FO432" s="119"/>
      <c r="FP432" s="119"/>
      <c r="FQ432" s="119"/>
      <c r="FR432" s="119"/>
      <c r="FS432" s="119"/>
      <c r="FT432" s="119"/>
      <c r="FU432" s="119"/>
      <c r="FV432" s="119"/>
      <c r="FW432" s="119"/>
      <c r="FX432" s="119"/>
      <c r="FY432" s="119"/>
      <c r="FZ432" s="119"/>
      <c r="GA432" s="119"/>
      <c r="GB432" s="119"/>
      <c r="GC432" s="119"/>
      <c r="GD432" s="119"/>
      <c r="GE432" s="119"/>
      <c r="GF432" s="119"/>
      <c r="GG432" s="119"/>
      <c r="GH432" s="119"/>
      <c r="GI432" s="119"/>
      <c r="GJ432" s="119"/>
      <c r="GK432" s="119"/>
      <c r="GL432" s="119"/>
      <c r="GM432" s="119"/>
      <c r="GN432" s="119"/>
      <c r="GO432" s="119"/>
      <c r="GP432" s="119"/>
      <c r="GQ432" s="119"/>
      <c r="GR432" s="119"/>
      <c r="GS432" s="119"/>
      <c r="GT432" s="119"/>
      <c r="GU432" s="119"/>
      <c r="GV432" s="119"/>
      <c r="GW432" s="119"/>
      <c r="GX432" s="119"/>
      <c r="GY432" s="119"/>
      <c r="GZ432" s="119"/>
      <c r="HA432" s="119"/>
      <c r="HB432" s="119"/>
      <c r="HC432" s="119"/>
      <c r="HD432" s="119"/>
      <c r="HE432" s="119"/>
      <c r="HF432" s="119"/>
      <c r="HG432" s="119"/>
      <c r="HH432" s="119"/>
      <c r="HI432" s="119"/>
      <c r="HJ432" s="119"/>
      <c r="HK432" s="119"/>
      <c r="HL432" s="119"/>
      <c r="HM432" s="119"/>
      <c r="HN432" s="119"/>
      <c r="HO432" s="119"/>
      <c r="HP432" s="119"/>
      <c r="HQ432" s="119"/>
      <c r="HR432" s="119"/>
      <c r="HS432" s="119"/>
      <c r="HT432" s="119"/>
      <c r="HU432" s="119"/>
      <c r="HV432" s="119"/>
      <c r="HW432" s="119"/>
      <c r="HX432" s="119"/>
      <c r="HY432" s="119"/>
      <c r="HZ432" s="119"/>
      <c r="IA432" s="119"/>
      <c r="IB432" s="119"/>
      <c r="IC432" s="119"/>
      <c r="ID432" s="119"/>
      <c r="IE432" s="119"/>
      <c r="IF432" s="119"/>
      <c r="IG432" s="119"/>
      <c r="IH432" s="119"/>
      <c r="II432" s="119"/>
      <c r="IJ432" s="119"/>
      <c r="IK432" s="119"/>
      <c r="IL432" s="119"/>
      <c r="IM432" s="119"/>
      <c r="IN432" s="119"/>
      <c r="IO432" s="119"/>
      <c r="IP432" s="119"/>
      <c r="IQ432" s="119"/>
      <c r="IR432" s="119"/>
      <c r="IS432" s="119"/>
      <c r="IT432" s="119"/>
      <c r="IU432" s="119"/>
      <c r="IV432" s="119"/>
      <c r="IW432" s="119"/>
      <c r="IX432" s="119"/>
      <c r="IY432" s="119"/>
      <c r="IZ432" s="119"/>
      <c r="JA432" s="119"/>
      <c r="JB432" s="119"/>
      <c r="JC432" s="119"/>
      <c r="JD432" s="119"/>
      <c r="JE432" s="119"/>
      <c r="JF432" s="119"/>
      <c r="JG432" s="119"/>
      <c r="JH432" s="119"/>
      <c r="JI432" s="119"/>
      <c r="JJ432" s="119"/>
      <c r="JK432" s="119"/>
      <c r="JL432" s="119"/>
      <c r="JM432" s="119"/>
      <c r="JN432" s="119"/>
      <c r="JO432" s="119"/>
      <c r="JP432" s="119"/>
      <c r="JQ432" s="119"/>
      <c r="JR432" s="119"/>
      <c r="JS432" s="119"/>
      <c r="JT432" s="119"/>
      <c r="JU432" s="119"/>
      <c r="JV432" s="119"/>
      <c r="JW432" s="119"/>
      <c r="JX432" s="119"/>
      <c r="JY432" s="119"/>
      <c r="JZ432" s="119"/>
      <c r="KA432" s="119"/>
      <c r="KB432" s="119"/>
      <c r="KC432" s="119"/>
      <c r="KD432" s="119"/>
      <c r="KE432" s="119"/>
      <c r="KF432" s="119"/>
      <c r="KG432" s="119"/>
      <c r="KH432" s="119"/>
      <c r="KI432" s="119"/>
      <c r="KJ432" s="119"/>
      <c r="KK432" s="119"/>
      <c r="KL432" s="119"/>
      <c r="KM432" s="119"/>
      <c r="KN432" s="119"/>
      <c r="KO432" s="119"/>
      <c r="KP432" s="119"/>
      <c r="KQ432" s="119"/>
      <c r="KR432" s="119"/>
      <c r="KS432" s="119"/>
      <c r="KT432" s="119"/>
      <c r="KU432" s="119"/>
      <c r="KV432" s="119"/>
      <c r="KW432" s="119"/>
      <c r="KX432" s="119"/>
      <c r="KY432" s="119"/>
      <c r="KZ432" s="119"/>
      <c r="LA432" s="119"/>
      <c r="LB432" s="119"/>
      <c r="LC432" s="119"/>
      <c r="LD432" s="119"/>
      <c r="LE432" s="119"/>
      <c r="LF432" s="119"/>
      <c r="LG432" s="119"/>
      <c r="LH432" s="119"/>
      <c r="LI432" s="119"/>
      <c r="LJ432" s="119"/>
      <c r="LK432" s="119"/>
      <c r="LL432" s="119"/>
      <c r="LM432" s="119"/>
      <c r="LN432" s="119"/>
      <c r="LO432" s="119"/>
      <c r="LP432" s="119"/>
      <c r="LQ432" s="119"/>
      <c r="LR432" s="119"/>
      <c r="LS432" s="119"/>
      <c r="LT432" s="119"/>
      <c r="LU432" s="119"/>
      <c r="LV432" s="119"/>
      <c r="LW432" s="119"/>
      <c r="LX432" s="119"/>
      <c r="LY432" s="119"/>
      <c r="LZ432" s="119"/>
      <c r="MA432" s="119"/>
      <c r="MB432" s="119"/>
      <c r="MC432" s="119"/>
      <c r="MD432" s="119"/>
      <c r="ME432" s="119"/>
      <c r="MF432" s="119"/>
      <c r="MG432" s="119"/>
      <c r="MH432" s="119"/>
      <c r="MI432" s="119"/>
      <c r="MJ432" s="119"/>
      <c r="MK432" s="119"/>
      <c r="ML432" s="119"/>
      <c r="MM432" s="119"/>
      <c r="MN432" s="119"/>
      <c r="MO432" s="119"/>
      <c r="MP432" s="119"/>
      <c r="MQ432" s="119"/>
      <c r="MR432" s="119"/>
      <c r="MS432" s="119"/>
      <c r="MT432" s="119"/>
      <c r="MU432" s="119"/>
      <c r="MV432" s="119"/>
      <c r="MW432" s="119"/>
      <c r="MX432" s="119"/>
      <c r="MY432" s="119"/>
      <c r="MZ432" s="119"/>
    </row>
    <row r="433" spans="1:364" s="27" customFormat="1" x14ac:dyDescent="0.25">
      <c r="A433" s="122"/>
      <c r="B433" s="122"/>
      <c r="C433" s="126"/>
      <c r="D433" s="128"/>
      <c r="E433" s="109" t="s">
        <v>493</v>
      </c>
      <c r="F433" s="131"/>
      <c r="G433" s="131"/>
      <c r="H433" s="106" t="s">
        <v>438</v>
      </c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19"/>
      <c r="T433" s="119"/>
      <c r="U433" s="119"/>
      <c r="V433" s="119"/>
      <c r="W433" s="119"/>
      <c r="X433" s="119"/>
      <c r="Y433" s="119"/>
      <c r="Z433" s="119"/>
      <c r="AA433" s="119"/>
      <c r="AB433" s="119"/>
      <c r="AC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9"/>
      <c r="AT433" s="119"/>
      <c r="AU433" s="119"/>
      <c r="AV433" s="119"/>
      <c r="AW433" s="119"/>
      <c r="AX433" s="119"/>
      <c r="AY433" s="119"/>
      <c r="AZ433" s="119"/>
      <c r="BA433" s="119"/>
      <c r="BB433" s="119"/>
      <c r="BC433" s="119"/>
      <c r="BD433" s="119"/>
      <c r="BE433" s="119"/>
      <c r="BF433" s="119"/>
      <c r="BG433" s="119"/>
      <c r="BH433" s="119"/>
      <c r="BI433" s="119"/>
      <c r="BJ433" s="119"/>
      <c r="BK433" s="119"/>
      <c r="BL433" s="26"/>
      <c r="BM433" s="119"/>
      <c r="BN433" s="119"/>
      <c r="BO433" s="119"/>
      <c r="BP433" s="119"/>
      <c r="BQ433" s="119"/>
      <c r="BR433" s="119"/>
      <c r="BS433" s="119"/>
      <c r="BT433" s="119"/>
      <c r="BU433" s="119"/>
      <c r="BV433" s="119"/>
      <c r="BW433" s="119"/>
      <c r="BX433" s="119"/>
      <c r="BY433" s="119"/>
      <c r="BZ433" s="119"/>
      <c r="CA433" s="119"/>
      <c r="CB433" s="119"/>
      <c r="CC433" s="119"/>
      <c r="CD433" s="119"/>
      <c r="CE433" s="119"/>
      <c r="CF433" s="119"/>
      <c r="CG433" s="119"/>
      <c r="CH433" s="119"/>
      <c r="CI433" s="119"/>
      <c r="CJ433" s="119"/>
      <c r="CK433" s="119"/>
      <c r="CL433" s="119"/>
      <c r="CM433" s="119"/>
      <c r="CN433" s="119"/>
      <c r="CO433" s="119"/>
      <c r="CP433" s="119"/>
      <c r="CQ433" s="119"/>
      <c r="CR433" s="119"/>
      <c r="CS433" s="119"/>
      <c r="CT433" s="119"/>
      <c r="CU433" s="119"/>
      <c r="CV433" s="119"/>
      <c r="CW433" s="119"/>
      <c r="CX433" s="119"/>
      <c r="CY433" s="119"/>
      <c r="CZ433" s="119"/>
      <c r="DA433" s="119"/>
      <c r="DB433" s="119"/>
      <c r="DC433" s="119"/>
      <c r="DD433" s="119"/>
      <c r="DE433" s="119"/>
      <c r="DF433" s="119"/>
      <c r="DG433" s="119"/>
      <c r="DH433" s="119"/>
      <c r="DI433" s="119"/>
      <c r="DJ433" s="119"/>
      <c r="DK433" s="119"/>
      <c r="DL433" s="119"/>
      <c r="DM433" s="119"/>
      <c r="DN433" s="119"/>
      <c r="DO433" s="119"/>
      <c r="DP433" s="119"/>
      <c r="DQ433" s="119"/>
      <c r="DR433" s="119"/>
      <c r="DS433" s="119"/>
      <c r="DT433" s="119"/>
      <c r="DU433" s="119"/>
      <c r="DV433" s="119"/>
      <c r="DW433" s="119"/>
      <c r="DX433" s="119"/>
      <c r="DY433" s="119"/>
      <c r="DZ433" s="119"/>
      <c r="EA433" s="119"/>
      <c r="EB433" s="119"/>
      <c r="EC433" s="119"/>
      <c r="ED433" s="119"/>
      <c r="EE433" s="119"/>
      <c r="EF433" s="119"/>
      <c r="EG433" s="119"/>
      <c r="EH433" s="119"/>
      <c r="EI433" s="119"/>
      <c r="EJ433" s="119"/>
      <c r="EK433" s="119"/>
      <c r="EL433" s="119"/>
      <c r="EM433" s="119"/>
      <c r="EN433" s="119"/>
      <c r="EO433" s="119"/>
      <c r="EP433" s="119"/>
      <c r="EQ433" s="119"/>
      <c r="ER433" s="119"/>
      <c r="ES433" s="119"/>
      <c r="ET433" s="119"/>
      <c r="EU433" s="119"/>
      <c r="EV433" s="119"/>
      <c r="EW433" s="119"/>
      <c r="EX433" s="119"/>
      <c r="EY433" s="119"/>
      <c r="EZ433" s="119"/>
      <c r="FA433" s="119"/>
      <c r="FB433" s="119"/>
      <c r="FC433" s="119"/>
      <c r="FD433" s="119"/>
      <c r="FE433" s="119"/>
      <c r="FF433" s="119"/>
      <c r="FG433" s="119"/>
      <c r="FH433" s="119"/>
      <c r="FI433" s="119"/>
      <c r="FJ433" s="119"/>
      <c r="FK433" s="119"/>
      <c r="FL433" s="119"/>
      <c r="FM433" s="119"/>
      <c r="FN433" s="119"/>
      <c r="FO433" s="119"/>
      <c r="FP433" s="119"/>
      <c r="FQ433" s="119"/>
      <c r="FR433" s="119"/>
      <c r="FS433" s="119"/>
      <c r="FT433" s="119"/>
      <c r="FU433" s="119"/>
      <c r="FV433" s="119"/>
      <c r="FW433" s="119"/>
      <c r="FX433" s="119"/>
      <c r="FY433" s="119"/>
      <c r="FZ433" s="119"/>
      <c r="GA433" s="119"/>
      <c r="GB433" s="119"/>
      <c r="GC433" s="119"/>
      <c r="GD433" s="119"/>
      <c r="GE433" s="119"/>
      <c r="GF433" s="119"/>
      <c r="GG433" s="119"/>
      <c r="GH433" s="119"/>
      <c r="GI433" s="119"/>
      <c r="GJ433" s="119"/>
      <c r="GK433" s="119"/>
      <c r="GL433" s="119"/>
      <c r="GM433" s="119"/>
      <c r="GN433" s="119"/>
      <c r="GO433" s="119"/>
      <c r="GP433" s="119"/>
      <c r="GQ433" s="119"/>
      <c r="GR433" s="119"/>
      <c r="GS433" s="119"/>
      <c r="GT433" s="119"/>
      <c r="GU433" s="119"/>
      <c r="GV433" s="119"/>
      <c r="GW433" s="119"/>
      <c r="GX433" s="119"/>
      <c r="GY433" s="119"/>
      <c r="GZ433" s="119"/>
      <c r="HA433" s="119"/>
      <c r="HB433" s="119"/>
      <c r="HC433" s="119"/>
      <c r="HD433" s="119"/>
      <c r="HE433" s="119"/>
      <c r="HF433" s="119"/>
      <c r="HG433" s="119"/>
      <c r="HH433" s="119"/>
      <c r="HI433" s="119"/>
      <c r="HJ433" s="119"/>
      <c r="HK433" s="119"/>
      <c r="HL433" s="119"/>
      <c r="HM433" s="119"/>
      <c r="HN433" s="119"/>
      <c r="HO433" s="119"/>
      <c r="HP433" s="119"/>
      <c r="HQ433" s="119"/>
      <c r="HR433" s="119"/>
      <c r="HS433" s="119"/>
      <c r="HT433" s="119"/>
      <c r="HU433" s="119"/>
      <c r="HV433" s="119"/>
      <c r="HW433" s="119"/>
      <c r="HX433" s="119"/>
      <c r="HY433" s="119"/>
      <c r="HZ433" s="119"/>
      <c r="IA433" s="119"/>
      <c r="IB433" s="119"/>
      <c r="IC433" s="119"/>
      <c r="ID433" s="119"/>
      <c r="IE433" s="119"/>
      <c r="IF433" s="119"/>
      <c r="IG433" s="119"/>
      <c r="IH433" s="119"/>
      <c r="II433" s="119"/>
      <c r="IJ433" s="119"/>
      <c r="IK433" s="119"/>
      <c r="IL433" s="119"/>
      <c r="IM433" s="119"/>
      <c r="IN433" s="119"/>
      <c r="IO433" s="119"/>
      <c r="IP433" s="119"/>
      <c r="IQ433" s="119"/>
      <c r="IR433" s="119"/>
      <c r="IS433" s="119"/>
      <c r="IT433" s="119"/>
      <c r="IU433" s="119"/>
      <c r="IV433" s="119"/>
      <c r="IW433" s="119"/>
      <c r="IX433" s="119"/>
      <c r="IY433" s="119"/>
      <c r="IZ433" s="119"/>
      <c r="JA433" s="119"/>
      <c r="JB433" s="119"/>
      <c r="JC433" s="119"/>
      <c r="JD433" s="119"/>
      <c r="JE433" s="119"/>
      <c r="JF433" s="119"/>
      <c r="JG433" s="119"/>
      <c r="JH433" s="119"/>
      <c r="JI433" s="119"/>
      <c r="JJ433" s="119"/>
      <c r="JK433" s="119"/>
      <c r="JL433" s="119"/>
      <c r="JM433" s="119"/>
      <c r="JN433" s="119"/>
      <c r="JO433" s="119"/>
      <c r="JP433" s="119"/>
      <c r="JQ433" s="119"/>
      <c r="JR433" s="119"/>
      <c r="JS433" s="119"/>
      <c r="JT433" s="119"/>
      <c r="JU433" s="119"/>
      <c r="JV433" s="119"/>
      <c r="JW433" s="119"/>
      <c r="JX433" s="119"/>
      <c r="JY433" s="119"/>
      <c r="JZ433" s="119"/>
      <c r="KA433" s="119"/>
      <c r="KB433" s="119"/>
      <c r="KC433" s="119"/>
      <c r="KD433" s="119"/>
      <c r="KE433" s="119"/>
      <c r="KF433" s="119"/>
      <c r="KG433" s="119"/>
      <c r="KH433" s="119"/>
      <c r="KI433" s="119"/>
      <c r="KJ433" s="119"/>
      <c r="KK433" s="119"/>
      <c r="KL433" s="119"/>
      <c r="KM433" s="119"/>
      <c r="KN433" s="119"/>
      <c r="KO433" s="119"/>
      <c r="KP433" s="119"/>
      <c r="KQ433" s="119"/>
      <c r="KR433" s="119"/>
      <c r="KS433" s="119"/>
      <c r="KT433" s="119"/>
      <c r="KU433" s="119"/>
      <c r="KV433" s="119"/>
      <c r="KW433" s="119"/>
      <c r="KX433" s="119"/>
      <c r="KY433" s="119"/>
      <c r="KZ433" s="119"/>
      <c r="LA433" s="119"/>
      <c r="LB433" s="119"/>
      <c r="LC433" s="119"/>
      <c r="LD433" s="119"/>
      <c r="LE433" s="119"/>
      <c r="LF433" s="119"/>
      <c r="LG433" s="119"/>
      <c r="LH433" s="119"/>
      <c r="LI433" s="119"/>
      <c r="LJ433" s="119"/>
      <c r="LK433" s="119"/>
      <c r="LL433" s="119"/>
      <c r="LM433" s="119"/>
      <c r="LN433" s="119"/>
      <c r="LO433" s="119"/>
      <c r="LP433" s="119"/>
      <c r="LQ433" s="119"/>
      <c r="LR433" s="119"/>
      <c r="LS433" s="119"/>
      <c r="LT433" s="119"/>
      <c r="LU433" s="119"/>
      <c r="LV433" s="119"/>
      <c r="LW433" s="119"/>
      <c r="LX433" s="119"/>
      <c r="LY433" s="119"/>
      <c r="LZ433" s="119"/>
      <c r="MA433" s="119"/>
      <c r="MB433" s="119"/>
      <c r="MC433" s="119"/>
      <c r="MD433" s="119"/>
      <c r="ME433" s="119"/>
      <c r="MF433" s="119"/>
      <c r="MG433" s="119"/>
      <c r="MH433" s="119"/>
      <c r="MI433" s="119"/>
      <c r="MJ433" s="119"/>
      <c r="MK433" s="119"/>
      <c r="ML433" s="119"/>
      <c r="MM433" s="119"/>
      <c r="MN433" s="119"/>
      <c r="MO433" s="119"/>
      <c r="MP433" s="119"/>
      <c r="MQ433" s="119"/>
      <c r="MR433" s="119"/>
      <c r="MS433" s="119"/>
      <c r="MT433" s="119"/>
      <c r="MU433" s="119"/>
      <c r="MV433" s="119"/>
      <c r="MW433" s="119"/>
      <c r="MX433" s="119"/>
      <c r="MY433" s="119"/>
      <c r="MZ433" s="119"/>
    </row>
    <row r="434" spans="1:364" s="27" customFormat="1" x14ac:dyDescent="0.25">
      <c r="A434" s="123"/>
      <c r="B434" s="123"/>
      <c r="C434" s="126"/>
      <c r="D434" s="129"/>
      <c r="E434" s="109"/>
      <c r="F434" s="131"/>
      <c r="G434" s="132"/>
      <c r="H434" s="114" t="s">
        <v>149</v>
      </c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19"/>
      <c r="T434" s="119"/>
      <c r="U434" s="119"/>
      <c r="V434" s="119"/>
      <c r="W434" s="119"/>
      <c r="X434" s="119"/>
      <c r="Y434" s="119"/>
      <c r="Z434" s="119"/>
      <c r="AA434" s="119"/>
      <c r="AB434" s="119"/>
      <c r="AC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9"/>
      <c r="AT434" s="119"/>
      <c r="AU434" s="119"/>
      <c r="AV434" s="119"/>
      <c r="AW434" s="119"/>
      <c r="AX434" s="119"/>
      <c r="AY434" s="119"/>
      <c r="AZ434" s="119"/>
      <c r="BA434" s="119"/>
      <c r="BB434" s="119"/>
      <c r="BC434" s="119"/>
      <c r="BD434" s="119"/>
      <c r="BE434" s="119"/>
      <c r="BF434" s="119"/>
      <c r="BG434" s="119"/>
      <c r="BH434" s="119"/>
      <c r="BI434" s="119"/>
      <c r="BJ434" s="119"/>
      <c r="BK434" s="119"/>
      <c r="BL434" s="26"/>
      <c r="BM434" s="119"/>
      <c r="BN434" s="119"/>
      <c r="BO434" s="119"/>
      <c r="BP434" s="119"/>
      <c r="BQ434" s="119"/>
      <c r="BR434" s="119"/>
      <c r="BS434" s="119"/>
      <c r="BT434" s="119"/>
      <c r="BU434" s="119"/>
      <c r="BV434" s="119"/>
      <c r="BW434" s="119"/>
      <c r="BX434" s="119"/>
      <c r="BY434" s="119"/>
      <c r="BZ434" s="119"/>
      <c r="CA434" s="119"/>
      <c r="CB434" s="119"/>
      <c r="CC434" s="119"/>
      <c r="CD434" s="119"/>
      <c r="CE434" s="119"/>
      <c r="CF434" s="119"/>
      <c r="CG434" s="119"/>
      <c r="CH434" s="119"/>
      <c r="CI434" s="119"/>
      <c r="CJ434" s="119"/>
      <c r="CK434" s="119"/>
      <c r="CL434" s="119"/>
      <c r="CM434" s="119"/>
      <c r="CN434" s="119"/>
      <c r="CO434" s="119"/>
      <c r="CP434" s="119"/>
      <c r="CQ434" s="119"/>
      <c r="CR434" s="119"/>
      <c r="CS434" s="119"/>
      <c r="CT434" s="119"/>
      <c r="CU434" s="119"/>
      <c r="CV434" s="119"/>
      <c r="CW434" s="119"/>
      <c r="CX434" s="119"/>
      <c r="CY434" s="119"/>
      <c r="CZ434" s="119"/>
      <c r="DA434" s="119"/>
      <c r="DB434" s="119"/>
      <c r="DC434" s="119"/>
      <c r="DD434" s="119"/>
      <c r="DE434" s="119"/>
      <c r="DF434" s="119"/>
      <c r="DG434" s="119"/>
      <c r="DH434" s="119"/>
      <c r="DI434" s="119"/>
      <c r="DJ434" s="119"/>
      <c r="DK434" s="119"/>
      <c r="DL434" s="119"/>
      <c r="DM434" s="119"/>
      <c r="DN434" s="119"/>
      <c r="DO434" s="119"/>
      <c r="DP434" s="119"/>
      <c r="DQ434" s="119"/>
      <c r="DR434" s="119"/>
      <c r="DS434" s="119"/>
      <c r="DT434" s="119"/>
      <c r="DU434" s="119"/>
      <c r="DV434" s="119"/>
      <c r="DW434" s="119"/>
      <c r="DX434" s="119"/>
      <c r="DY434" s="119"/>
      <c r="DZ434" s="119"/>
      <c r="EA434" s="119"/>
      <c r="EB434" s="119"/>
      <c r="EC434" s="119"/>
      <c r="ED434" s="119"/>
      <c r="EE434" s="119"/>
      <c r="EF434" s="119"/>
      <c r="EG434" s="119"/>
      <c r="EH434" s="119"/>
      <c r="EI434" s="119"/>
      <c r="EJ434" s="119"/>
      <c r="EK434" s="119"/>
      <c r="EL434" s="119"/>
      <c r="EM434" s="119"/>
      <c r="EN434" s="119"/>
      <c r="EO434" s="119"/>
      <c r="EP434" s="119"/>
      <c r="EQ434" s="119"/>
      <c r="ER434" s="119"/>
      <c r="ES434" s="119"/>
      <c r="ET434" s="119"/>
      <c r="EU434" s="119"/>
      <c r="EV434" s="119"/>
      <c r="EW434" s="119"/>
      <c r="EX434" s="119"/>
      <c r="EY434" s="119"/>
      <c r="EZ434" s="119"/>
      <c r="FA434" s="119"/>
      <c r="FB434" s="119"/>
      <c r="FC434" s="119"/>
      <c r="FD434" s="119"/>
      <c r="FE434" s="119"/>
      <c r="FF434" s="119"/>
      <c r="FG434" s="119"/>
      <c r="FH434" s="119"/>
      <c r="FI434" s="119"/>
      <c r="FJ434" s="119"/>
      <c r="FK434" s="119"/>
      <c r="FL434" s="119"/>
      <c r="FM434" s="119"/>
      <c r="FN434" s="119"/>
      <c r="FO434" s="119"/>
      <c r="FP434" s="119"/>
      <c r="FQ434" s="119"/>
      <c r="FR434" s="119"/>
      <c r="FS434" s="119"/>
      <c r="FT434" s="119"/>
      <c r="FU434" s="119"/>
      <c r="FV434" s="119"/>
      <c r="FW434" s="119"/>
      <c r="FX434" s="119"/>
      <c r="FY434" s="119"/>
      <c r="FZ434" s="119"/>
      <c r="GA434" s="119"/>
      <c r="GB434" s="119"/>
      <c r="GC434" s="119"/>
      <c r="GD434" s="119"/>
      <c r="GE434" s="119"/>
      <c r="GF434" s="119"/>
      <c r="GG434" s="119"/>
      <c r="GH434" s="119"/>
      <c r="GI434" s="119"/>
      <c r="GJ434" s="119"/>
      <c r="GK434" s="119"/>
      <c r="GL434" s="119"/>
      <c r="GM434" s="119"/>
      <c r="GN434" s="119"/>
      <c r="GO434" s="119"/>
      <c r="GP434" s="119"/>
      <c r="GQ434" s="119"/>
      <c r="GR434" s="119"/>
      <c r="GS434" s="119"/>
      <c r="GT434" s="119"/>
      <c r="GU434" s="119"/>
      <c r="GV434" s="119"/>
      <c r="GW434" s="119"/>
      <c r="GX434" s="119"/>
      <c r="GY434" s="119"/>
      <c r="GZ434" s="119"/>
      <c r="HA434" s="119"/>
      <c r="HB434" s="119"/>
      <c r="HC434" s="119"/>
      <c r="HD434" s="119"/>
      <c r="HE434" s="119"/>
      <c r="HF434" s="119"/>
      <c r="HG434" s="119"/>
      <c r="HH434" s="119"/>
      <c r="HI434" s="119"/>
      <c r="HJ434" s="119"/>
      <c r="HK434" s="119"/>
      <c r="HL434" s="119"/>
      <c r="HM434" s="119"/>
      <c r="HN434" s="119"/>
      <c r="HO434" s="119"/>
      <c r="HP434" s="119"/>
      <c r="HQ434" s="119"/>
      <c r="HR434" s="119"/>
      <c r="HS434" s="119"/>
      <c r="HT434" s="119"/>
      <c r="HU434" s="119"/>
      <c r="HV434" s="119"/>
      <c r="HW434" s="119"/>
      <c r="HX434" s="119"/>
      <c r="HY434" s="119"/>
      <c r="HZ434" s="119"/>
      <c r="IA434" s="119"/>
      <c r="IB434" s="119"/>
      <c r="IC434" s="119"/>
      <c r="ID434" s="119"/>
      <c r="IE434" s="119"/>
      <c r="IF434" s="119"/>
      <c r="IG434" s="119"/>
      <c r="IH434" s="119"/>
      <c r="II434" s="119"/>
      <c r="IJ434" s="119"/>
      <c r="IK434" s="119"/>
      <c r="IL434" s="119"/>
      <c r="IM434" s="119"/>
      <c r="IN434" s="119"/>
      <c r="IO434" s="119"/>
      <c r="IP434" s="119"/>
      <c r="IQ434" s="119"/>
      <c r="IR434" s="119"/>
      <c r="IS434" s="119"/>
      <c r="IT434" s="119"/>
      <c r="IU434" s="119"/>
      <c r="IV434" s="119"/>
      <c r="IW434" s="119"/>
      <c r="IX434" s="119"/>
      <c r="IY434" s="119"/>
      <c r="IZ434" s="119"/>
      <c r="JA434" s="119"/>
      <c r="JB434" s="119"/>
      <c r="JC434" s="119"/>
      <c r="JD434" s="119"/>
      <c r="JE434" s="119"/>
      <c r="JF434" s="119"/>
      <c r="JG434" s="119"/>
      <c r="JH434" s="119"/>
      <c r="JI434" s="119"/>
      <c r="JJ434" s="119"/>
      <c r="JK434" s="119"/>
      <c r="JL434" s="119"/>
      <c r="JM434" s="119"/>
      <c r="JN434" s="119"/>
      <c r="JO434" s="119"/>
      <c r="JP434" s="119"/>
      <c r="JQ434" s="119"/>
      <c r="JR434" s="119"/>
      <c r="JS434" s="119"/>
      <c r="JT434" s="119"/>
      <c r="JU434" s="119"/>
      <c r="JV434" s="119"/>
      <c r="JW434" s="119"/>
      <c r="JX434" s="119"/>
      <c r="JY434" s="119"/>
      <c r="JZ434" s="119"/>
      <c r="KA434" s="119"/>
      <c r="KB434" s="119"/>
      <c r="KC434" s="119"/>
      <c r="KD434" s="119"/>
      <c r="KE434" s="119"/>
      <c r="KF434" s="119"/>
      <c r="KG434" s="119"/>
      <c r="KH434" s="119"/>
      <c r="KI434" s="119"/>
      <c r="KJ434" s="119"/>
      <c r="KK434" s="119"/>
      <c r="KL434" s="119"/>
      <c r="KM434" s="119"/>
      <c r="KN434" s="119"/>
      <c r="KO434" s="119"/>
      <c r="KP434" s="119"/>
      <c r="KQ434" s="119"/>
      <c r="KR434" s="119"/>
      <c r="KS434" s="119"/>
      <c r="KT434" s="119"/>
      <c r="KU434" s="119"/>
      <c r="KV434" s="119"/>
      <c r="KW434" s="119"/>
      <c r="KX434" s="119"/>
      <c r="KY434" s="119"/>
      <c r="KZ434" s="119"/>
      <c r="LA434" s="119"/>
      <c r="LB434" s="119"/>
      <c r="LC434" s="119"/>
      <c r="LD434" s="119"/>
      <c r="LE434" s="119"/>
      <c r="LF434" s="119"/>
      <c r="LG434" s="119"/>
      <c r="LH434" s="119"/>
      <c r="LI434" s="119"/>
      <c r="LJ434" s="119"/>
      <c r="LK434" s="119"/>
      <c r="LL434" s="119"/>
      <c r="LM434" s="119"/>
      <c r="LN434" s="119"/>
      <c r="LO434" s="119"/>
      <c r="LP434" s="119"/>
      <c r="LQ434" s="119"/>
      <c r="LR434" s="119"/>
      <c r="LS434" s="119"/>
      <c r="LT434" s="119"/>
      <c r="LU434" s="119"/>
      <c r="LV434" s="119"/>
      <c r="LW434" s="119"/>
      <c r="LX434" s="119"/>
      <c r="LY434" s="119"/>
      <c r="LZ434" s="119"/>
      <c r="MA434" s="119"/>
      <c r="MB434" s="119"/>
      <c r="MC434" s="119"/>
      <c r="MD434" s="119"/>
      <c r="ME434" s="119"/>
      <c r="MF434" s="119"/>
      <c r="MG434" s="119"/>
      <c r="MH434" s="119"/>
      <c r="MI434" s="119"/>
      <c r="MJ434" s="119"/>
      <c r="MK434" s="119"/>
      <c r="ML434" s="119"/>
      <c r="MM434" s="119"/>
      <c r="MN434" s="119"/>
      <c r="MO434" s="119"/>
      <c r="MP434" s="119"/>
      <c r="MQ434" s="119"/>
      <c r="MR434" s="119"/>
      <c r="MS434" s="119"/>
      <c r="MT434" s="119"/>
      <c r="MU434" s="119"/>
      <c r="MV434" s="119"/>
      <c r="MW434" s="119"/>
      <c r="MX434" s="119"/>
      <c r="MY434" s="119"/>
      <c r="MZ434" s="119"/>
    </row>
    <row r="435" spans="1:364" s="27" customFormat="1" x14ac:dyDescent="0.25">
      <c r="A435" s="121"/>
      <c r="B435" s="124" t="e">
        <f>VLOOKUP(A435,Rules!$B$8:$C$154,2,0)</f>
        <v>#N/A</v>
      </c>
      <c r="C435" s="125">
        <f t="shared" ref="C435" si="8">SUM(I436:XX436)</f>
        <v>0</v>
      </c>
      <c r="D435" s="127"/>
      <c r="E435" s="110" t="s">
        <v>492</v>
      </c>
      <c r="F435" s="130" t="e">
        <f>VLOOKUP(A435,Table2[],10,0)</f>
        <v>#N/A</v>
      </c>
      <c r="G435" s="130"/>
      <c r="H435" s="113" t="s">
        <v>440</v>
      </c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9"/>
      <c r="T435" s="119"/>
      <c r="U435" s="119"/>
      <c r="V435" s="119"/>
      <c r="W435" s="119"/>
      <c r="X435" s="119"/>
      <c r="Y435" s="119"/>
      <c r="Z435" s="119"/>
      <c r="AA435" s="119"/>
      <c r="AB435" s="119"/>
      <c r="AC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9"/>
      <c r="AT435" s="119"/>
      <c r="AU435" s="119"/>
      <c r="AV435" s="119"/>
      <c r="AW435" s="119"/>
      <c r="AX435" s="119"/>
      <c r="AY435" s="119"/>
      <c r="AZ435" s="119"/>
      <c r="BA435" s="119"/>
      <c r="BB435" s="119"/>
      <c r="BC435" s="119"/>
      <c r="BD435" s="119"/>
      <c r="BE435" s="119"/>
      <c r="BF435" s="119"/>
      <c r="BG435" s="119"/>
      <c r="BH435" s="119"/>
      <c r="BI435" s="119"/>
      <c r="BJ435" s="119"/>
      <c r="BK435" s="119"/>
      <c r="BL435" s="26"/>
      <c r="BM435" s="119"/>
      <c r="BN435" s="26"/>
      <c r="BO435" s="119"/>
      <c r="BP435" s="119"/>
      <c r="BQ435" s="119"/>
      <c r="BR435" s="119"/>
      <c r="BS435" s="119"/>
      <c r="BT435" s="119"/>
      <c r="BU435" s="119"/>
      <c r="BV435" s="119"/>
      <c r="BW435" s="119"/>
      <c r="BX435" s="119"/>
      <c r="BY435" s="119"/>
      <c r="BZ435" s="119"/>
      <c r="CA435" s="119"/>
      <c r="CB435" s="119"/>
      <c r="CC435" s="119"/>
      <c r="CD435" s="119"/>
      <c r="CE435" s="119"/>
      <c r="CF435" s="119"/>
      <c r="CG435" s="119"/>
      <c r="CH435" s="119"/>
      <c r="CI435" s="119"/>
      <c r="CJ435" s="119"/>
      <c r="CK435" s="119"/>
      <c r="CL435" s="119"/>
      <c r="CM435" s="119"/>
      <c r="CN435" s="119"/>
      <c r="CO435" s="119"/>
      <c r="CP435" s="119"/>
      <c r="CQ435" s="119"/>
      <c r="CR435" s="119"/>
      <c r="CS435" s="119"/>
      <c r="CT435" s="119"/>
      <c r="CU435" s="119"/>
      <c r="CV435" s="119"/>
      <c r="CW435" s="119"/>
      <c r="CX435" s="119"/>
      <c r="CY435" s="119"/>
      <c r="CZ435" s="119"/>
      <c r="DA435" s="119"/>
      <c r="DB435" s="119"/>
      <c r="DC435" s="119"/>
      <c r="DD435" s="119"/>
      <c r="DE435" s="119"/>
      <c r="DF435" s="119"/>
      <c r="DG435" s="119"/>
      <c r="DH435" s="119"/>
      <c r="DI435" s="119"/>
      <c r="DJ435" s="119"/>
      <c r="DK435" s="119"/>
      <c r="DL435" s="119"/>
      <c r="DM435" s="119"/>
      <c r="DN435" s="119"/>
      <c r="DO435" s="119"/>
      <c r="DP435" s="119"/>
      <c r="DQ435" s="119"/>
      <c r="DR435" s="119"/>
      <c r="DS435" s="119"/>
      <c r="DT435" s="119"/>
      <c r="DU435" s="119"/>
      <c r="DV435" s="119"/>
      <c r="DW435" s="119"/>
      <c r="DX435" s="119"/>
      <c r="DY435" s="119"/>
      <c r="DZ435" s="119"/>
      <c r="EA435" s="119"/>
      <c r="EB435" s="119"/>
      <c r="EC435" s="119"/>
      <c r="ED435" s="119"/>
      <c r="EE435" s="119"/>
      <c r="EF435" s="119"/>
      <c r="EG435" s="119"/>
      <c r="EH435" s="119"/>
      <c r="EI435" s="119"/>
      <c r="EJ435" s="119"/>
      <c r="EK435" s="119"/>
      <c r="EL435" s="119"/>
      <c r="EM435" s="119"/>
      <c r="EN435" s="119"/>
      <c r="EO435" s="119"/>
      <c r="EP435" s="119"/>
      <c r="EQ435" s="119"/>
      <c r="ER435" s="119"/>
      <c r="ES435" s="119"/>
      <c r="ET435" s="119"/>
      <c r="EU435" s="119"/>
      <c r="EV435" s="119"/>
      <c r="EW435" s="119"/>
      <c r="EX435" s="119"/>
      <c r="EY435" s="119"/>
      <c r="EZ435" s="119"/>
      <c r="FA435" s="119"/>
      <c r="FB435" s="119"/>
      <c r="FC435" s="119"/>
      <c r="FD435" s="119"/>
      <c r="FE435" s="119"/>
      <c r="FF435" s="119"/>
      <c r="FG435" s="119"/>
      <c r="FH435" s="119"/>
      <c r="FI435" s="119"/>
      <c r="FJ435" s="119"/>
      <c r="FK435" s="119"/>
      <c r="FL435" s="119"/>
      <c r="FM435" s="119"/>
      <c r="FN435" s="119"/>
      <c r="FO435" s="119"/>
      <c r="FP435" s="119"/>
      <c r="FQ435" s="119"/>
      <c r="FR435" s="119"/>
      <c r="FS435" s="119"/>
      <c r="FT435" s="119"/>
      <c r="FU435" s="119"/>
      <c r="FV435" s="119"/>
      <c r="FW435" s="119"/>
      <c r="FX435" s="119"/>
      <c r="FY435" s="119"/>
      <c r="FZ435" s="119"/>
      <c r="GA435" s="119"/>
      <c r="GB435" s="119"/>
      <c r="GC435" s="119"/>
      <c r="GD435" s="119"/>
      <c r="GE435" s="119"/>
      <c r="GF435" s="119"/>
      <c r="GG435" s="119"/>
      <c r="GH435" s="119"/>
      <c r="GI435" s="119"/>
      <c r="GJ435" s="119"/>
      <c r="GK435" s="119"/>
      <c r="GL435" s="119"/>
      <c r="GM435" s="119"/>
      <c r="GN435" s="119"/>
      <c r="GO435" s="119"/>
      <c r="GP435" s="119"/>
      <c r="GQ435" s="119"/>
      <c r="GR435" s="119"/>
      <c r="GS435" s="119"/>
      <c r="GT435" s="119"/>
      <c r="GU435" s="119"/>
      <c r="GV435" s="119"/>
      <c r="GW435" s="119"/>
      <c r="GX435" s="119"/>
      <c r="GY435" s="119"/>
      <c r="GZ435" s="119"/>
      <c r="HA435" s="119"/>
      <c r="HB435" s="119"/>
      <c r="HC435" s="119"/>
      <c r="HD435" s="119"/>
      <c r="HE435" s="119"/>
      <c r="HF435" s="119"/>
      <c r="HG435" s="119"/>
      <c r="HH435" s="119"/>
      <c r="HI435" s="119"/>
      <c r="HJ435" s="119"/>
      <c r="HK435" s="119"/>
      <c r="HL435" s="119"/>
      <c r="HM435" s="119"/>
      <c r="HN435" s="119"/>
      <c r="HO435" s="119"/>
      <c r="HP435" s="119"/>
      <c r="HQ435" s="119"/>
      <c r="HR435" s="119"/>
      <c r="HS435" s="119"/>
      <c r="HT435" s="119"/>
      <c r="HU435" s="119"/>
      <c r="HV435" s="119"/>
      <c r="HW435" s="119"/>
      <c r="HX435" s="119"/>
      <c r="HY435" s="119"/>
      <c r="HZ435" s="119"/>
      <c r="IA435" s="119"/>
      <c r="IB435" s="119"/>
      <c r="IC435" s="119"/>
      <c r="ID435" s="119"/>
      <c r="IE435" s="119"/>
      <c r="IF435" s="119"/>
      <c r="IG435" s="119"/>
      <c r="IH435" s="119"/>
      <c r="II435" s="119"/>
      <c r="IJ435" s="119"/>
      <c r="IK435" s="119"/>
      <c r="IL435" s="119"/>
      <c r="IM435" s="119"/>
      <c r="IN435" s="119"/>
      <c r="IO435" s="119"/>
      <c r="IP435" s="119"/>
      <c r="IQ435" s="119"/>
      <c r="IR435" s="119"/>
      <c r="IS435" s="119"/>
      <c r="IT435" s="119"/>
      <c r="IU435" s="119"/>
      <c r="IV435" s="119"/>
      <c r="IW435" s="119"/>
      <c r="IX435" s="119"/>
      <c r="IY435" s="119"/>
      <c r="IZ435" s="119"/>
      <c r="JA435" s="119"/>
      <c r="JB435" s="119"/>
      <c r="JC435" s="119"/>
      <c r="JD435" s="119"/>
      <c r="JE435" s="119"/>
      <c r="JF435" s="119"/>
      <c r="JG435" s="119"/>
      <c r="JH435" s="119"/>
      <c r="JI435" s="119"/>
      <c r="JJ435" s="119"/>
      <c r="JK435" s="119"/>
      <c r="JL435" s="119"/>
      <c r="JM435" s="119"/>
      <c r="JN435" s="119"/>
      <c r="JO435" s="119"/>
      <c r="JP435" s="119"/>
      <c r="JQ435" s="119"/>
      <c r="JR435" s="119"/>
      <c r="JS435" s="119"/>
      <c r="JT435" s="119"/>
      <c r="JU435" s="119"/>
      <c r="JV435" s="119"/>
      <c r="JW435" s="119"/>
      <c r="JX435" s="119"/>
      <c r="JY435" s="119"/>
      <c r="JZ435" s="119"/>
      <c r="KA435" s="119"/>
      <c r="KB435" s="119"/>
      <c r="KC435" s="119"/>
      <c r="KD435" s="119"/>
      <c r="KE435" s="119"/>
      <c r="KF435" s="119"/>
      <c r="KG435" s="119"/>
      <c r="KH435" s="119"/>
      <c r="KI435" s="119"/>
      <c r="KJ435" s="119"/>
      <c r="KK435" s="119"/>
      <c r="KL435" s="119"/>
      <c r="KM435" s="119"/>
      <c r="KN435" s="119"/>
      <c r="KO435" s="119"/>
      <c r="KP435" s="119"/>
      <c r="KQ435" s="119"/>
      <c r="KR435" s="119"/>
      <c r="KS435" s="119"/>
      <c r="KT435" s="119"/>
      <c r="KU435" s="119"/>
      <c r="KV435" s="119"/>
      <c r="KW435" s="119"/>
      <c r="KX435" s="119"/>
      <c r="KY435" s="119"/>
      <c r="KZ435" s="119"/>
      <c r="LA435" s="119"/>
      <c r="LB435" s="119"/>
      <c r="LC435" s="119"/>
      <c r="LD435" s="119"/>
      <c r="LE435" s="119"/>
      <c r="LF435" s="119"/>
      <c r="LG435" s="119"/>
      <c r="LH435" s="119"/>
      <c r="LI435" s="119"/>
      <c r="LJ435" s="119"/>
      <c r="LK435" s="119"/>
      <c r="LL435" s="119"/>
      <c r="LM435" s="119"/>
      <c r="LN435" s="119"/>
      <c r="LO435" s="119"/>
      <c r="LP435" s="119"/>
      <c r="LQ435" s="119"/>
      <c r="LR435" s="119"/>
      <c r="LS435" s="119"/>
      <c r="LT435" s="119"/>
      <c r="LU435" s="119"/>
      <c r="LV435" s="119"/>
      <c r="LW435" s="119"/>
      <c r="LX435" s="119"/>
      <c r="LY435" s="119"/>
      <c r="LZ435" s="119"/>
      <c r="MA435" s="119"/>
      <c r="MB435" s="119"/>
      <c r="MC435" s="119"/>
      <c r="MD435" s="119"/>
      <c r="ME435" s="119"/>
      <c r="MF435" s="119"/>
      <c r="MG435" s="119"/>
      <c r="MH435" s="119"/>
      <c r="MI435" s="119"/>
      <c r="MJ435" s="119"/>
      <c r="MK435" s="119"/>
      <c r="ML435" s="119"/>
      <c r="MM435" s="119"/>
      <c r="MN435" s="119"/>
      <c r="MO435" s="119"/>
      <c r="MP435" s="119"/>
      <c r="MQ435" s="119"/>
      <c r="MR435" s="119"/>
      <c r="MS435" s="119"/>
      <c r="MT435" s="119"/>
      <c r="MU435" s="119"/>
      <c r="MV435" s="119"/>
      <c r="MW435" s="119"/>
      <c r="MX435" s="119"/>
      <c r="MY435" s="119"/>
      <c r="MZ435" s="119"/>
    </row>
    <row r="436" spans="1:364" s="27" customFormat="1" x14ac:dyDescent="0.25">
      <c r="A436" s="122"/>
      <c r="B436" s="122"/>
      <c r="C436" s="126"/>
      <c r="D436" s="128"/>
      <c r="E436" s="109"/>
      <c r="F436" s="131"/>
      <c r="G436" s="131"/>
      <c r="H436" s="105" t="s">
        <v>439</v>
      </c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9"/>
      <c r="T436" s="119"/>
      <c r="U436" s="119"/>
      <c r="V436" s="119"/>
      <c r="W436" s="119"/>
      <c r="X436" s="119"/>
      <c r="Y436" s="119"/>
      <c r="Z436" s="119"/>
      <c r="AA436" s="119"/>
      <c r="AB436" s="119"/>
      <c r="AC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9"/>
      <c r="AT436" s="119"/>
      <c r="AU436" s="119"/>
      <c r="AV436" s="119"/>
      <c r="AW436" s="119"/>
      <c r="AX436" s="119"/>
      <c r="AY436" s="119"/>
      <c r="AZ436" s="119"/>
      <c r="BA436" s="119"/>
      <c r="BB436" s="119"/>
      <c r="BC436" s="119"/>
      <c r="BD436" s="119"/>
      <c r="BE436" s="119"/>
      <c r="BF436" s="119"/>
      <c r="BG436" s="119"/>
      <c r="BH436" s="119"/>
      <c r="BI436" s="119"/>
      <c r="BJ436" s="119"/>
      <c r="BK436" s="119"/>
      <c r="BL436" s="26"/>
      <c r="BM436" s="119"/>
      <c r="BN436" s="26"/>
      <c r="BO436" s="119"/>
      <c r="BP436" s="119"/>
      <c r="BQ436" s="119"/>
      <c r="BR436" s="119"/>
      <c r="BS436" s="119"/>
      <c r="BT436" s="119"/>
      <c r="BU436" s="119"/>
      <c r="BV436" s="119"/>
      <c r="BW436" s="119"/>
      <c r="BX436" s="119"/>
      <c r="BY436" s="119"/>
      <c r="BZ436" s="119"/>
      <c r="CA436" s="119"/>
      <c r="CB436" s="119"/>
      <c r="CC436" s="119"/>
      <c r="CD436" s="119"/>
      <c r="CE436" s="119"/>
      <c r="CF436" s="119"/>
      <c r="CG436" s="119"/>
      <c r="CH436" s="119"/>
      <c r="CI436" s="119"/>
      <c r="CJ436" s="119"/>
      <c r="CK436" s="119"/>
      <c r="CL436" s="119"/>
      <c r="CM436" s="119"/>
      <c r="CN436" s="119"/>
      <c r="CO436" s="119"/>
      <c r="CP436" s="119"/>
      <c r="CQ436" s="119"/>
      <c r="CR436" s="119"/>
      <c r="CS436" s="119"/>
      <c r="CT436" s="119"/>
      <c r="CU436" s="119"/>
      <c r="CV436" s="119"/>
      <c r="CW436" s="119"/>
      <c r="CX436" s="119"/>
      <c r="CY436" s="119"/>
      <c r="CZ436" s="119"/>
      <c r="DA436" s="119"/>
      <c r="DB436" s="119"/>
      <c r="DC436" s="119"/>
      <c r="DD436" s="119"/>
      <c r="DE436" s="119"/>
      <c r="DF436" s="119"/>
      <c r="DG436" s="119"/>
      <c r="DH436" s="119"/>
      <c r="DI436" s="119"/>
      <c r="DJ436" s="119"/>
      <c r="DK436" s="119"/>
      <c r="DL436" s="119"/>
      <c r="DM436" s="119"/>
      <c r="DN436" s="119"/>
      <c r="DO436" s="119"/>
      <c r="DP436" s="119"/>
      <c r="DQ436" s="119"/>
      <c r="DR436" s="119"/>
      <c r="DS436" s="119"/>
      <c r="DT436" s="119"/>
      <c r="DU436" s="119"/>
      <c r="DV436" s="119"/>
      <c r="DW436" s="119"/>
      <c r="DX436" s="119"/>
      <c r="DY436" s="119"/>
      <c r="DZ436" s="119"/>
      <c r="EA436" s="119"/>
      <c r="EB436" s="119"/>
      <c r="EC436" s="119"/>
      <c r="ED436" s="119"/>
      <c r="EE436" s="119"/>
      <c r="EF436" s="119"/>
      <c r="EG436" s="119"/>
      <c r="EH436" s="119"/>
      <c r="EI436" s="119"/>
      <c r="EJ436" s="119"/>
      <c r="EK436" s="119"/>
      <c r="EL436" s="119"/>
      <c r="EM436" s="119"/>
      <c r="EN436" s="119"/>
      <c r="EO436" s="119"/>
      <c r="EP436" s="119"/>
      <c r="EQ436" s="119"/>
      <c r="ER436" s="119"/>
      <c r="ES436" s="119"/>
      <c r="ET436" s="119"/>
      <c r="EU436" s="119"/>
      <c r="EV436" s="119"/>
      <c r="EW436" s="119"/>
      <c r="EX436" s="119"/>
      <c r="EY436" s="119"/>
      <c r="EZ436" s="119"/>
      <c r="FA436" s="119"/>
      <c r="FB436" s="119"/>
      <c r="FC436" s="119"/>
      <c r="FD436" s="119"/>
      <c r="FE436" s="119"/>
      <c r="FF436" s="119"/>
      <c r="FG436" s="119"/>
      <c r="FH436" s="119"/>
      <c r="FI436" s="119"/>
      <c r="FJ436" s="119"/>
      <c r="FK436" s="119"/>
      <c r="FL436" s="119"/>
      <c r="FM436" s="119"/>
      <c r="FN436" s="119"/>
      <c r="FO436" s="119"/>
      <c r="FP436" s="119"/>
      <c r="FQ436" s="119"/>
      <c r="FR436" s="119"/>
      <c r="FS436" s="119"/>
      <c r="FT436" s="119"/>
      <c r="FU436" s="119"/>
      <c r="FV436" s="119"/>
      <c r="FW436" s="119"/>
      <c r="FX436" s="119"/>
      <c r="FY436" s="119"/>
      <c r="FZ436" s="119"/>
      <c r="GA436" s="119"/>
      <c r="GB436" s="119"/>
      <c r="GC436" s="119"/>
      <c r="GD436" s="119"/>
      <c r="GE436" s="119"/>
      <c r="GF436" s="119"/>
      <c r="GG436" s="119"/>
      <c r="GH436" s="119"/>
      <c r="GI436" s="119"/>
      <c r="GJ436" s="119"/>
      <c r="GK436" s="119"/>
      <c r="GL436" s="119"/>
      <c r="GM436" s="119"/>
      <c r="GN436" s="119"/>
      <c r="GO436" s="119"/>
      <c r="GP436" s="119"/>
      <c r="GQ436" s="119"/>
      <c r="GR436" s="119"/>
      <c r="GS436" s="119"/>
      <c r="GT436" s="119"/>
      <c r="GU436" s="119"/>
      <c r="GV436" s="119"/>
      <c r="GW436" s="119"/>
      <c r="GX436" s="119"/>
      <c r="GY436" s="119"/>
      <c r="GZ436" s="119"/>
      <c r="HA436" s="119"/>
      <c r="HB436" s="119"/>
      <c r="HC436" s="119"/>
      <c r="HD436" s="119"/>
      <c r="HE436" s="119"/>
      <c r="HF436" s="119"/>
      <c r="HG436" s="119"/>
      <c r="HH436" s="119"/>
      <c r="HI436" s="119"/>
      <c r="HJ436" s="119"/>
      <c r="HK436" s="119"/>
      <c r="HL436" s="119"/>
      <c r="HM436" s="119"/>
      <c r="HN436" s="119"/>
      <c r="HO436" s="119"/>
      <c r="HP436" s="119"/>
      <c r="HQ436" s="119"/>
      <c r="HR436" s="119"/>
      <c r="HS436" s="119"/>
      <c r="HT436" s="119"/>
      <c r="HU436" s="119"/>
      <c r="HV436" s="119"/>
      <c r="HW436" s="119"/>
      <c r="HX436" s="119"/>
      <c r="HY436" s="119"/>
      <c r="HZ436" s="119"/>
      <c r="IA436" s="119"/>
      <c r="IB436" s="119"/>
      <c r="IC436" s="119"/>
      <c r="ID436" s="119"/>
      <c r="IE436" s="119"/>
      <c r="IF436" s="119"/>
      <c r="IG436" s="119"/>
      <c r="IH436" s="119"/>
      <c r="II436" s="119"/>
      <c r="IJ436" s="119"/>
      <c r="IK436" s="119"/>
      <c r="IL436" s="119"/>
      <c r="IM436" s="119"/>
      <c r="IN436" s="119"/>
      <c r="IO436" s="119"/>
      <c r="IP436" s="119"/>
      <c r="IQ436" s="119"/>
      <c r="IR436" s="119"/>
      <c r="IS436" s="119"/>
      <c r="IT436" s="119"/>
      <c r="IU436" s="119"/>
      <c r="IV436" s="119"/>
      <c r="IW436" s="119"/>
      <c r="IX436" s="119"/>
      <c r="IY436" s="119"/>
      <c r="IZ436" s="119"/>
      <c r="JA436" s="119"/>
      <c r="JB436" s="119"/>
      <c r="JC436" s="119"/>
      <c r="JD436" s="119"/>
      <c r="JE436" s="119"/>
      <c r="JF436" s="119"/>
      <c r="JG436" s="119"/>
      <c r="JH436" s="119"/>
      <c r="JI436" s="119"/>
      <c r="JJ436" s="119"/>
      <c r="JK436" s="119"/>
      <c r="JL436" s="119"/>
      <c r="JM436" s="119"/>
      <c r="JN436" s="119"/>
      <c r="JO436" s="119"/>
      <c r="JP436" s="119"/>
      <c r="JQ436" s="119"/>
      <c r="JR436" s="119"/>
      <c r="JS436" s="119"/>
      <c r="JT436" s="119"/>
      <c r="JU436" s="119"/>
      <c r="JV436" s="119"/>
      <c r="JW436" s="119"/>
      <c r="JX436" s="119"/>
      <c r="JY436" s="119"/>
      <c r="JZ436" s="119"/>
      <c r="KA436" s="119"/>
      <c r="KB436" s="119"/>
      <c r="KC436" s="119"/>
      <c r="KD436" s="119"/>
      <c r="KE436" s="119"/>
      <c r="KF436" s="119"/>
      <c r="KG436" s="119"/>
      <c r="KH436" s="119"/>
      <c r="KI436" s="119"/>
      <c r="KJ436" s="119"/>
      <c r="KK436" s="119"/>
      <c r="KL436" s="119"/>
      <c r="KM436" s="119"/>
      <c r="KN436" s="119"/>
      <c r="KO436" s="119"/>
      <c r="KP436" s="119"/>
      <c r="KQ436" s="119"/>
      <c r="KR436" s="119"/>
      <c r="KS436" s="119"/>
      <c r="KT436" s="119"/>
      <c r="KU436" s="119"/>
      <c r="KV436" s="119"/>
      <c r="KW436" s="119"/>
      <c r="KX436" s="119"/>
      <c r="KY436" s="119"/>
      <c r="KZ436" s="119"/>
      <c r="LA436" s="119"/>
      <c r="LB436" s="119"/>
      <c r="LC436" s="119"/>
      <c r="LD436" s="119"/>
      <c r="LE436" s="119"/>
      <c r="LF436" s="119"/>
      <c r="LG436" s="119"/>
      <c r="LH436" s="119"/>
      <c r="LI436" s="119"/>
      <c r="LJ436" s="119"/>
      <c r="LK436" s="119"/>
      <c r="LL436" s="119"/>
      <c r="LM436" s="119"/>
      <c r="LN436" s="119"/>
      <c r="LO436" s="119"/>
      <c r="LP436" s="119"/>
      <c r="LQ436" s="119"/>
      <c r="LR436" s="119"/>
      <c r="LS436" s="119"/>
      <c r="LT436" s="119"/>
      <c r="LU436" s="119"/>
      <c r="LV436" s="119"/>
      <c r="LW436" s="119"/>
      <c r="LX436" s="119"/>
      <c r="LY436" s="119"/>
      <c r="LZ436" s="119"/>
      <c r="MA436" s="119"/>
      <c r="MB436" s="119"/>
      <c r="MC436" s="119"/>
      <c r="MD436" s="119"/>
      <c r="ME436" s="119"/>
      <c r="MF436" s="119"/>
      <c r="MG436" s="119"/>
      <c r="MH436" s="119"/>
      <c r="MI436" s="119"/>
      <c r="MJ436" s="119"/>
      <c r="MK436" s="119"/>
      <c r="ML436" s="119"/>
      <c r="MM436" s="119"/>
      <c r="MN436" s="119"/>
      <c r="MO436" s="119"/>
      <c r="MP436" s="119"/>
      <c r="MQ436" s="119"/>
      <c r="MR436" s="119"/>
      <c r="MS436" s="119"/>
      <c r="MT436" s="119"/>
      <c r="MU436" s="119"/>
      <c r="MV436" s="119"/>
      <c r="MW436" s="119"/>
      <c r="MX436" s="119"/>
      <c r="MY436" s="119"/>
      <c r="MZ436" s="119"/>
    </row>
    <row r="437" spans="1:364" s="27" customFormat="1" x14ac:dyDescent="0.25">
      <c r="A437" s="122"/>
      <c r="B437" s="122"/>
      <c r="C437" s="126"/>
      <c r="D437" s="128"/>
      <c r="E437" s="109" t="s">
        <v>493</v>
      </c>
      <c r="F437" s="131"/>
      <c r="G437" s="131"/>
      <c r="H437" s="106" t="s">
        <v>438</v>
      </c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19"/>
      <c r="T437" s="119"/>
      <c r="U437" s="119"/>
      <c r="V437" s="119"/>
      <c r="W437" s="119"/>
      <c r="X437" s="119"/>
      <c r="Y437" s="119"/>
      <c r="Z437" s="119"/>
      <c r="AA437" s="119"/>
      <c r="AB437" s="119"/>
      <c r="AC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9"/>
      <c r="AT437" s="119"/>
      <c r="AU437" s="119"/>
      <c r="AV437" s="119"/>
      <c r="AW437" s="119"/>
      <c r="AX437" s="119"/>
      <c r="AY437" s="119"/>
      <c r="AZ437" s="119"/>
      <c r="BA437" s="119"/>
      <c r="BB437" s="119"/>
      <c r="BC437" s="119"/>
      <c r="BD437" s="119"/>
      <c r="BE437" s="119"/>
      <c r="BF437" s="119"/>
      <c r="BG437" s="119"/>
      <c r="BH437" s="119"/>
      <c r="BI437" s="119"/>
      <c r="BJ437" s="119"/>
      <c r="BK437" s="119"/>
      <c r="BL437" s="26"/>
      <c r="BM437" s="119"/>
      <c r="BN437" s="119"/>
      <c r="BO437" s="119"/>
      <c r="BP437" s="119"/>
      <c r="BQ437" s="119"/>
      <c r="BR437" s="119"/>
      <c r="BS437" s="119"/>
      <c r="BT437" s="119"/>
      <c r="BU437" s="119"/>
      <c r="BV437" s="119"/>
      <c r="BW437" s="119"/>
      <c r="BX437" s="119"/>
      <c r="BY437" s="119"/>
      <c r="BZ437" s="119"/>
      <c r="CA437" s="119"/>
      <c r="CB437" s="119"/>
      <c r="CC437" s="119"/>
      <c r="CD437" s="119"/>
      <c r="CE437" s="119"/>
      <c r="CF437" s="119"/>
      <c r="CG437" s="119"/>
      <c r="CH437" s="119"/>
      <c r="CI437" s="119"/>
      <c r="CJ437" s="119"/>
      <c r="CK437" s="119"/>
      <c r="CL437" s="119"/>
      <c r="CM437" s="119"/>
      <c r="CN437" s="119"/>
      <c r="CO437" s="119"/>
      <c r="CP437" s="119"/>
      <c r="CQ437" s="119"/>
      <c r="CR437" s="119"/>
      <c r="CS437" s="119"/>
      <c r="CT437" s="119"/>
      <c r="CU437" s="119"/>
      <c r="CV437" s="119"/>
      <c r="CW437" s="119"/>
      <c r="CX437" s="119"/>
      <c r="CY437" s="119"/>
      <c r="CZ437" s="119"/>
      <c r="DA437" s="119"/>
      <c r="DB437" s="119"/>
      <c r="DC437" s="119"/>
      <c r="DD437" s="119"/>
      <c r="DE437" s="119"/>
      <c r="DF437" s="119"/>
      <c r="DG437" s="119"/>
      <c r="DH437" s="119"/>
      <c r="DI437" s="119"/>
      <c r="DJ437" s="119"/>
      <c r="DK437" s="119"/>
      <c r="DL437" s="119"/>
      <c r="DM437" s="119"/>
      <c r="DN437" s="119"/>
      <c r="DO437" s="119"/>
      <c r="DP437" s="119"/>
      <c r="DQ437" s="119"/>
      <c r="DR437" s="119"/>
      <c r="DS437" s="119"/>
      <c r="DT437" s="119"/>
      <c r="DU437" s="119"/>
      <c r="DV437" s="119"/>
      <c r="DW437" s="119"/>
      <c r="DX437" s="119"/>
      <c r="DY437" s="119"/>
      <c r="DZ437" s="119"/>
      <c r="EA437" s="119"/>
      <c r="EB437" s="119"/>
      <c r="EC437" s="119"/>
      <c r="ED437" s="119"/>
      <c r="EE437" s="119"/>
      <c r="EF437" s="119"/>
      <c r="EG437" s="119"/>
      <c r="EH437" s="119"/>
      <c r="EI437" s="119"/>
      <c r="EJ437" s="119"/>
      <c r="EK437" s="119"/>
      <c r="EL437" s="119"/>
      <c r="EM437" s="119"/>
      <c r="EN437" s="119"/>
      <c r="EO437" s="119"/>
      <c r="EP437" s="119"/>
      <c r="EQ437" s="119"/>
      <c r="ER437" s="119"/>
      <c r="ES437" s="119"/>
      <c r="ET437" s="119"/>
      <c r="EU437" s="119"/>
      <c r="EV437" s="119"/>
      <c r="EW437" s="119"/>
      <c r="EX437" s="119"/>
      <c r="EY437" s="119"/>
      <c r="EZ437" s="119"/>
      <c r="FA437" s="119"/>
      <c r="FB437" s="119"/>
      <c r="FC437" s="119"/>
      <c r="FD437" s="119"/>
      <c r="FE437" s="119"/>
      <c r="FF437" s="119"/>
      <c r="FG437" s="119"/>
      <c r="FH437" s="119"/>
      <c r="FI437" s="119"/>
      <c r="FJ437" s="119"/>
      <c r="FK437" s="119"/>
      <c r="FL437" s="119"/>
      <c r="FM437" s="119"/>
      <c r="FN437" s="119"/>
      <c r="FO437" s="119"/>
      <c r="FP437" s="119"/>
      <c r="FQ437" s="119"/>
      <c r="FR437" s="119"/>
      <c r="FS437" s="119"/>
      <c r="FT437" s="119"/>
      <c r="FU437" s="119"/>
      <c r="FV437" s="119"/>
      <c r="FW437" s="119"/>
      <c r="FX437" s="119"/>
      <c r="FY437" s="119"/>
      <c r="FZ437" s="119"/>
      <c r="GA437" s="119"/>
      <c r="GB437" s="119"/>
      <c r="GC437" s="119"/>
      <c r="GD437" s="119"/>
      <c r="GE437" s="119"/>
      <c r="GF437" s="119"/>
      <c r="GG437" s="119"/>
      <c r="GH437" s="119"/>
      <c r="GI437" s="119"/>
      <c r="GJ437" s="119"/>
      <c r="GK437" s="119"/>
      <c r="GL437" s="119"/>
      <c r="GM437" s="119"/>
      <c r="GN437" s="119"/>
      <c r="GO437" s="119"/>
      <c r="GP437" s="119"/>
      <c r="GQ437" s="119"/>
      <c r="GR437" s="119"/>
      <c r="GS437" s="119"/>
      <c r="GT437" s="119"/>
      <c r="GU437" s="119"/>
      <c r="GV437" s="119"/>
      <c r="GW437" s="119"/>
      <c r="GX437" s="119"/>
      <c r="GY437" s="119"/>
      <c r="GZ437" s="119"/>
      <c r="HA437" s="119"/>
      <c r="HB437" s="119"/>
      <c r="HC437" s="119"/>
      <c r="HD437" s="119"/>
      <c r="HE437" s="119"/>
      <c r="HF437" s="119"/>
      <c r="HG437" s="119"/>
      <c r="HH437" s="119"/>
      <c r="HI437" s="119"/>
      <c r="HJ437" s="119"/>
      <c r="HK437" s="119"/>
      <c r="HL437" s="119"/>
      <c r="HM437" s="119"/>
      <c r="HN437" s="119"/>
      <c r="HO437" s="119"/>
      <c r="HP437" s="119"/>
      <c r="HQ437" s="119"/>
      <c r="HR437" s="119"/>
      <c r="HS437" s="119"/>
      <c r="HT437" s="119"/>
      <c r="HU437" s="119"/>
      <c r="HV437" s="119"/>
      <c r="HW437" s="119"/>
      <c r="HX437" s="119"/>
      <c r="HY437" s="119"/>
      <c r="HZ437" s="119"/>
      <c r="IA437" s="119"/>
      <c r="IB437" s="119"/>
      <c r="IC437" s="119"/>
      <c r="ID437" s="119"/>
      <c r="IE437" s="119"/>
      <c r="IF437" s="119"/>
      <c r="IG437" s="119"/>
      <c r="IH437" s="119"/>
      <c r="II437" s="119"/>
      <c r="IJ437" s="119"/>
      <c r="IK437" s="119"/>
      <c r="IL437" s="119"/>
      <c r="IM437" s="119"/>
      <c r="IN437" s="119"/>
      <c r="IO437" s="119"/>
      <c r="IP437" s="119"/>
      <c r="IQ437" s="119"/>
      <c r="IR437" s="119"/>
      <c r="IS437" s="119"/>
      <c r="IT437" s="119"/>
      <c r="IU437" s="119"/>
      <c r="IV437" s="119"/>
      <c r="IW437" s="119"/>
      <c r="IX437" s="119"/>
      <c r="IY437" s="119"/>
      <c r="IZ437" s="119"/>
      <c r="JA437" s="119"/>
      <c r="JB437" s="119"/>
      <c r="JC437" s="119"/>
      <c r="JD437" s="119"/>
      <c r="JE437" s="119"/>
      <c r="JF437" s="119"/>
      <c r="JG437" s="119"/>
      <c r="JH437" s="119"/>
      <c r="JI437" s="119"/>
      <c r="JJ437" s="119"/>
      <c r="JK437" s="119"/>
      <c r="JL437" s="119"/>
      <c r="JM437" s="119"/>
      <c r="JN437" s="119"/>
      <c r="JO437" s="119"/>
      <c r="JP437" s="119"/>
      <c r="JQ437" s="119"/>
      <c r="JR437" s="119"/>
      <c r="JS437" s="119"/>
      <c r="JT437" s="119"/>
      <c r="JU437" s="119"/>
      <c r="JV437" s="119"/>
      <c r="JW437" s="119"/>
      <c r="JX437" s="119"/>
      <c r="JY437" s="119"/>
      <c r="JZ437" s="119"/>
      <c r="KA437" s="119"/>
      <c r="KB437" s="119"/>
      <c r="KC437" s="119"/>
      <c r="KD437" s="119"/>
      <c r="KE437" s="119"/>
      <c r="KF437" s="119"/>
      <c r="KG437" s="119"/>
      <c r="KH437" s="119"/>
      <c r="KI437" s="119"/>
      <c r="KJ437" s="119"/>
      <c r="KK437" s="119"/>
      <c r="KL437" s="119"/>
      <c r="KM437" s="119"/>
      <c r="KN437" s="119"/>
      <c r="KO437" s="119"/>
      <c r="KP437" s="119"/>
      <c r="KQ437" s="119"/>
      <c r="KR437" s="119"/>
      <c r="KS437" s="119"/>
      <c r="KT437" s="119"/>
      <c r="KU437" s="119"/>
      <c r="KV437" s="119"/>
      <c r="KW437" s="119"/>
      <c r="KX437" s="119"/>
      <c r="KY437" s="119"/>
      <c r="KZ437" s="119"/>
      <c r="LA437" s="119"/>
      <c r="LB437" s="119"/>
      <c r="LC437" s="119"/>
      <c r="LD437" s="119"/>
      <c r="LE437" s="119"/>
      <c r="LF437" s="119"/>
      <c r="LG437" s="119"/>
      <c r="LH437" s="119"/>
      <c r="LI437" s="119"/>
      <c r="LJ437" s="119"/>
      <c r="LK437" s="119"/>
      <c r="LL437" s="119"/>
      <c r="LM437" s="119"/>
      <c r="LN437" s="119"/>
      <c r="LO437" s="119"/>
      <c r="LP437" s="119"/>
      <c r="LQ437" s="119"/>
      <c r="LR437" s="119"/>
      <c r="LS437" s="119"/>
      <c r="LT437" s="119"/>
      <c r="LU437" s="119"/>
      <c r="LV437" s="119"/>
      <c r="LW437" s="119"/>
      <c r="LX437" s="119"/>
      <c r="LY437" s="119"/>
      <c r="LZ437" s="119"/>
      <c r="MA437" s="119"/>
      <c r="MB437" s="119"/>
      <c r="MC437" s="119"/>
      <c r="MD437" s="119"/>
      <c r="ME437" s="119"/>
      <c r="MF437" s="119"/>
      <c r="MG437" s="119"/>
      <c r="MH437" s="119"/>
      <c r="MI437" s="119"/>
      <c r="MJ437" s="119"/>
      <c r="MK437" s="119"/>
      <c r="ML437" s="119"/>
      <c r="MM437" s="119"/>
      <c r="MN437" s="119"/>
      <c r="MO437" s="119"/>
      <c r="MP437" s="119"/>
      <c r="MQ437" s="119"/>
      <c r="MR437" s="119"/>
      <c r="MS437" s="119"/>
      <c r="MT437" s="119"/>
      <c r="MU437" s="119"/>
      <c r="MV437" s="119"/>
      <c r="MW437" s="119"/>
      <c r="MX437" s="119"/>
      <c r="MY437" s="119"/>
      <c r="MZ437" s="119"/>
    </row>
    <row r="438" spans="1:364" s="27" customFormat="1" x14ac:dyDescent="0.25">
      <c r="A438" s="123"/>
      <c r="B438" s="123"/>
      <c r="C438" s="126"/>
      <c r="D438" s="129"/>
      <c r="E438" s="109"/>
      <c r="F438" s="131"/>
      <c r="G438" s="132"/>
      <c r="H438" s="114" t="s">
        <v>149</v>
      </c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19"/>
      <c r="T438" s="119"/>
      <c r="U438" s="119"/>
      <c r="V438" s="119"/>
      <c r="W438" s="119"/>
      <c r="X438" s="119"/>
      <c r="Y438" s="119"/>
      <c r="Z438" s="119"/>
      <c r="AA438" s="119"/>
      <c r="AB438" s="119"/>
      <c r="AC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9"/>
      <c r="AT438" s="119"/>
      <c r="AU438" s="119"/>
      <c r="AV438" s="119"/>
      <c r="AW438" s="119"/>
      <c r="AX438" s="119"/>
      <c r="AY438" s="119"/>
      <c r="AZ438" s="119"/>
      <c r="BA438" s="119"/>
      <c r="BB438" s="119"/>
      <c r="BC438" s="119"/>
      <c r="BD438" s="119"/>
      <c r="BE438" s="119"/>
      <c r="BF438" s="119"/>
      <c r="BG438" s="119"/>
      <c r="BH438" s="119"/>
      <c r="BI438" s="119"/>
      <c r="BJ438" s="119"/>
      <c r="BK438" s="119"/>
      <c r="BL438" s="26"/>
      <c r="BM438" s="119"/>
      <c r="BN438" s="119"/>
      <c r="BO438" s="119"/>
      <c r="BP438" s="119"/>
      <c r="BQ438" s="119"/>
      <c r="BR438" s="119"/>
      <c r="BS438" s="119"/>
      <c r="BT438" s="119"/>
      <c r="BU438" s="119"/>
      <c r="BV438" s="119"/>
      <c r="BW438" s="119"/>
      <c r="BX438" s="119"/>
      <c r="BY438" s="119"/>
      <c r="BZ438" s="119"/>
      <c r="CA438" s="119"/>
      <c r="CB438" s="119"/>
      <c r="CC438" s="119"/>
      <c r="CD438" s="119"/>
      <c r="CE438" s="119"/>
      <c r="CF438" s="119"/>
      <c r="CG438" s="119"/>
      <c r="CH438" s="119"/>
      <c r="CI438" s="119"/>
      <c r="CJ438" s="119"/>
      <c r="CK438" s="119"/>
      <c r="CL438" s="119"/>
      <c r="CM438" s="119"/>
      <c r="CN438" s="119"/>
      <c r="CO438" s="119"/>
      <c r="CP438" s="119"/>
      <c r="CQ438" s="119"/>
      <c r="CR438" s="119"/>
      <c r="CS438" s="119"/>
      <c r="CT438" s="119"/>
      <c r="CU438" s="119"/>
      <c r="CV438" s="119"/>
      <c r="CW438" s="119"/>
      <c r="CX438" s="119"/>
      <c r="CY438" s="119"/>
      <c r="CZ438" s="119"/>
      <c r="DA438" s="119"/>
      <c r="DB438" s="119"/>
      <c r="DC438" s="119"/>
      <c r="DD438" s="119"/>
      <c r="DE438" s="119"/>
      <c r="DF438" s="119"/>
      <c r="DG438" s="119"/>
      <c r="DH438" s="119"/>
      <c r="DI438" s="119"/>
      <c r="DJ438" s="119"/>
      <c r="DK438" s="119"/>
      <c r="DL438" s="119"/>
      <c r="DM438" s="119"/>
      <c r="DN438" s="119"/>
      <c r="DO438" s="119"/>
      <c r="DP438" s="119"/>
      <c r="DQ438" s="119"/>
      <c r="DR438" s="119"/>
      <c r="DS438" s="119"/>
      <c r="DT438" s="119"/>
      <c r="DU438" s="119"/>
      <c r="DV438" s="119"/>
      <c r="DW438" s="119"/>
      <c r="DX438" s="119"/>
      <c r="DY438" s="119"/>
      <c r="DZ438" s="119"/>
      <c r="EA438" s="119"/>
      <c r="EB438" s="119"/>
      <c r="EC438" s="119"/>
      <c r="ED438" s="119"/>
      <c r="EE438" s="119"/>
      <c r="EF438" s="119"/>
      <c r="EG438" s="119"/>
      <c r="EH438" s="119"/>
      <c r="EI438" s="119"/>
      <c r="EJ438" s="119"/>
      <c r="EK438" s="119"/>
      <c r="EL438" s="119"/>
      <c r="EM438" s="119"/>
      <c r="EN438" s="119"/>
      <c r="EO438" s="119"/>
      <c r="EP438" s="119"/>
      <c r="EQ438" s="119"/>
      <c r="ER438" s="119"/>
      <c r="ES438" s="119"/>
      <c r="ET438" s="119"/>
      <c r="EU438" s="119"/>
      <c r="EV438" s="119"/>
      <c r="EW438" s="119"/>
      <c r="EX438" s="119"/>
      <c r="EY438" s="119"/>
      <c r="EZ438" s="119"/>
      <c r="FA438" s="119"/>
      <c r="FB438" s="119"/>
      <c r="FC438" s="119"/>
      <c r="FD438" s="119"/>
      <c r="FE438" s="119"/>
      <c r="FF438" s="119"/>
      <c r="FG438" s="119"/>
      <c r="FH438" s="119"/>
      <c r="FI438" s="119"/>
      <c r="FJ438" s="119"/>
      <c r="FK438" s="119"/>
      <c r="FL438" s="119"/>
      <c r="FM438" s="119"/>
      <c r="FN438" s="119"/>
      <c r="FO438" s="119"/>
      <c r="FP438" s="119"/>
      <c r="FQ438" s="119"/>
      <c r="FR438" s="119"/>
      <c r="FS438" s="119"/>
      <c r="FT438" s="119"/>
      <c r="FU438" s="119"/>
      <c r="FV438" s="119"/>
      <c r="FW438" s="119"/>
      <c r="FX438" s="119"/>
      <c r="FY438" s="119"/>
      <c r="FZ438" s="119"/>
      <c r="GA438" s="119"/>
      <c r="GB438" s="119"/>
      <c r="GC438" s="119"/>
      <c r="GD438" s="119"/>
      <c r="GE438" s="119"/>
      <c r="GF438" s="119"/>
      <c r="GG438" s="119"/>
      <c r="GH438" s="119"/>
      <c r="GI438" s="119"/>
      <c r="GJ438" s="119"/>
      <c r="GK438" s="119"/>
      <c r="GL438" s="119"/>
      <c r="GM438" s="119"/>
      <c r="GN438" s="119"/>
      <c r="GO438" s="119"/>
      <c r="GP438" s="119"/>
      <c r="GQ438" s="119"/>
      <c r="GR438" s="119"/>
      <c r="GS438" s="119"/>
      <c r="GT438" s="119"/>
      <c r="GU438" s="119"/>
      <c r="GV438" s="119"/>
      <c r="GW438" s="119"/>
      <c r="GX438" s="119"/>
      <c r="GY438" s="119"/>
      <c r="GZ438" s="119"/>
      <c r="HA438" s="119"/>
      <c r="HB438" s="119"/>
      <c r="HC438" s="119"/>
      <c r="HD438" s="119"/>
      <c r="HE438" s="119"/>
      <c r="HF438" s="119"/>
      <c r="HG438" s="119"/>
      <c r="HH438" s="119"/>
      <c r="HI438" s="119"/>
      <c r="HJ438" s="119"/>
      <c r="HK438" s="119"/>
      <c r="HL438" s="119"/>
      <c r="HM438" s="119"/>
      <c r="HN438" s="119"/>
      <c r="HO438" s="119"/>
      <c r="HP438" s="119"/>
      <c r="HQ438" s="119"/>
      <c r="HR438" s="119"/>
      <c r="HS438" s="119"/>
      <c r="HT438" s="119"/>
      <c r="HU438" s="119"/>
      <c r="HV438" s="119"/>
      <c r="HW438" s="119"/>
      <c r="HX438" s="119"/>
      <c r="HY438" s="119"/>
      <c r="HZ438" s="119"/>
      <c r="IA438" s="119"/>
      <c r="IB438" s="119"/>
      <c r="IC438" s="119"/>
      <c r="ID438" s="119"/>
      <c r="IE438" s="119"/>
      <c r="IF438" s="119"/>
      <c r="IG438" s="119"/>
      <c r="IH438" s="119"/>
      <c r="II438" s="119"/>
      <c r="IJ438" s="119"/>
      <c r="IK438" s="119"/>
      <c r="IL438" s="119"/>
      <c r="IM438" s="119"/>
      <c r="IN438" s="119"/>
      <c r="IO438" s="119"/>
      <c r="IP438" s="119"/>
      <c r="IQ438" s="119"/>
      <c r="IR438" s="119"/>
      <c r="IS438" s="119"/>
      <c r="IT438" s="119"/>
      <c r="IU438" s="119"/>
      <c r="IV438" s="119"/>
      <c r="IW438" s="119"/>
      <c r="IX438" s="119"/>
      <c r="IY438" s="119"/>
      <c r="IZ438" s="119"/>
      <c r="JA438" s="119"/>
      <c r="JB438" s="119"/>
      <c r="JC438" s="119"/>
      <c r="JD438" s="119"/>
      <c r="JE438" s="119"/>
      <c r="JF438" s="119"/>
      <c r="JG438" s="119"/>
      <c r="JH438" s="119"/>
      <c r="JI438" s="119"/>
      <c r="JJ438" s="119"/>
      <c r="JK438" s="119"/>
      <c r="JL438" s="119"/>
      <c r="JM438" s="119"/>
      <c r="JN438" s="119"/>
      <c r="JO438" s="119"/>
      <c r="JP438" s="119"/>
      <c r="JQ438" s="119"/>
      <c r="JR438" s="119"/>
      <c r="JS438" s="119"/>
      <c r="JT438" s="119"/>
      <c r="JU438" s="119"/>
      <c r="JV438" s="119"/>
      <c r="JW438" s="119"/>
      <c r="JX438" s="119"/>
      <c r="JY438" s="119"/>
      <c r="JZ438" s="119"/>
      <c r="KA438" s="119"/>
      <c r="KB438" s="119"/>
      <c r="KC438" s="119"/>
      <c r="KD438" s="119"/>
      <c r="KE438" s="119"/>
      <c r="KF438" s="119"/>
      <c r="KG438" s="119"/>
      <c r="KH438" s="119"/>
      <c r="KI438" s="119"/>
      <c r="KJ438" s="119"/>
      <c r="KK438" s="119"/>
      <c r="KL438" s="119"/>
      <c r="KM438" s="119"/>
      <c r="KN438" s="119"/>
      <c r="KO438" s="119"/>
      <c r="KP438" s="119"/>
      <c r="KQ438" s="119"/>
      <c r="KR438" s="119"/>
      <c r="KS438" s="119"/>
      <c r="KT438" s="119"/>
      <c r="KU438" s="119"/>
      <c r="KV438" s="119"/>
      <c r="KW438" s="119"/>
      <c r="KX438" s="119"/>
      <c r="KY438" s="119"/>
      <c r="KZ438" s="119"/>
      <c r="LA438" s="119"/>
      <c r="LB438" s="119"/>
      <c r="LC438" s="119"/>
      <c r="LD438" s="119"/>
      <c r="LE438" s="119"/>
      <c r="LF438" s="119"/>
      <c r="LG438" s="119"/>
      <c r="LH438" s="119"/>
      <c r="LI438" s="119"/>
      <c r="LJ438" s="119"/>
      <c r="LK438" s="119"/>
      <c r="LL438" s="119"/>
      <c r="LM438" s="119"/>
      <c r="LN438" s="119"/>
      <c r="LO438" s="119"/>
      <c r="LP438" s="119"/>
      <c r="LQ438" s="119"/>
      <c r="LR438" s="119"/>
      <c r="LS438" s="119"/>
      <c r="LT438" s="119"/>
      <c r="LU438" s="119"/>
      <c r="LV438" s="119"/>
      <c r="LW438" s="119"/>
      <c r="LX438" s="119"/>
      <c r="LY438" s="119"/>
      <c r="LZ438" s="119"/>
      <c r="MA438" s="119"/>
      <c r="MB438" s="119"/>
      <c r="MC438" s="119"/>
      <c r="MD438" s="119"/>
      <c r="ME438" s="119"/>
      <c r="MF438" s="119"/>
      <c r="MG438" s="119"/>
      <c r="MH438" s="119"/>
      <c r="MI438" s="119"/>
      <c r="MJ438" s="119"/>
      <c r="MK438" s="119"/>
      <c r="ML438" s="119"/>
      <c r="MM438" s="119"/>
      <c r="MN438" s="119"/>
      <c r="MO438" s="119"/>
      <c r="MP438" s="119"/>
      <c r="MQ438" s="119"/>
      <c r="MR438" s="119"/>
      <c r="MS438" s="119"/>
      <c r="MT438" s="119"/>
      <c r="MU438" s="119"/>
      <c r="MV438" s="119"/>
      <c r="MW438" s="119"/>
      <c r="MX438" s="119"/>
      <c r="MY438" s="119"/>
      <c r="MZ438" s="119"/>
    </row>
    <row r="439" spans="1:364" s="27" customFormat="1" x14ac:dyDescent="0.25">
      <c r="A439" s="121"/>
      <c r="B439" s="124" t="e">
        <f>VLOOKUP(A439,Rules!$B$8:$C$154,2,0)</f>
        <v>#N/A</v>
      </c>
      <c r="C439" s="125">
        <f t="shared" ref="C439" si="9">SUM(I440:XX440)</f>
        <v>0</v>
      </c>
      <c r="D439" s="127"/>
      <c r="E439" s="110" t="s">
        <v>492</v>
      </c>
      <c r="F439" s="130" t="e">
        <f>VLOOKUP(A439,Table2[],10,0)</f>
        <v>#N/A</v>
      </c>
      <c r="G439" s="130"/>
      <c r="H439" s="113" t="s">
        <v>440</v>
      </c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9"/>
      <c r="T439" s="119"/>
      <c r="U439" s="119"/>
      <c r="V439" s="119"/>
      <c r="W439" s="119"/>
      <c r="X439" s="119"/>
      <c r="Y439" s="119"/>
      <c r="Z439" s="119"/>
      <c r="AA439" s="119"/>
      <c r="AB439" s="119"/>
      <c r="AC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9"/>
      <c r="AT439" s="119"/>
      <c r="AU439" s="119"/>
      <c r="AV439" s="119"/>
      <c r="AW439" s="119"/>
      <c r="AX439" s="119"/>
      <c r="AY439" s="119"/>
      <c r="AZ439" s="119"/>
      <c r="BA439" s="119"/>
      <c r="BB439" s="119"/>
      <c r="BC439" s="119"/>
      <c r="BD439" s="119"/>
      <c r="BE439" s="119"/>
      <c r="BF439" s="119"/>
      <c r="BG439" s="119"/>
      <c r="BH439" s="119"/>
      <c r="BI439" s="119"/>
      <c r="BJ439" s="119"/>
      <c r="BK439" s="119"/>
      <c r="BL439" s="26"/>
      <c r="BM439" s="119"/>
      <c r="BN439" s="26"/>
      <c r="BO439" s="119"/>
      <c r="BP439" s="119"/>
      <c r="BQ439" s="119"/>
      <c r="BR439" s="119"/>
      <c r="BS439" s="119"/>
      <c r="BT439" s="119"/>
      <c r="BU439" s="119"/>
      <c r="BV439" s="119"/>
      <c r="BW439" s="119"/>
      <c r="BX439" s="119"/>
      <c r="BY439" s="119"/>
      <c r="BZ439" s="119"/>
      <c r="CA439" s="119"/>
      <c r="CB439" s="119"/>
      <c r="CC439" s="119"/>
      <c r="CD439" s="119"/>
      <c r="CE439" s="119"/>
      <c r="CF439" s="119"/>
      <c r="CG439" s="119"/>
      <c r="CH439" s="119"/>
      <c r="CI439" s="119"/>
      <c r="CJ439" s="119"/>
      <c r="CK439" s="119"/>
      <c r="CL439" s="119"/>
      <c r="CM439" s="119"/>
      <c r="CN439" s="119"/>
      <c r="CO439" s="119"/>
      <c r="CP439" s="119"/>
      <c r="CQ439" s="119"/>
      <c r="CR439" s="119"/>
      <c r="CS439" s="119"/>
      <c r="CT439" s="119"/>
      <c r="CU439" s="119"/>
      <c r="CV439" s="119"/>
      <c r="CW439" s="119"/>
      <c r="CX439" s="119"/>
      <c r="CY439" s="119"/>
      <c r="CZ439" s="119"/>
      <c r="DA439" s="119"/>
      <c r="DB439" s="119"/>
      <c r="DC439" s="119"/>
      <c r="DD439" s="119"/>
      <c r="DE439" s="119"/>
      <c r="DF439" s="119"/>
      <c r="DG439" s="119"/>
      <c r="DH439" s="119"/>
      <c r="DI439" s="119"/>
      <c r="DJ439" s="119"/>
      <c r="DK439" s="119"/>
      <c r="DL439" s="119"/>
      <c r="DM439" s="119"/>
      <c r="DN439" s="119"/>
      <c r="DO439" s="119"/>
      <c r="DP439" s="119"/>
      <c r="DQ439" s="119"/>
      <c r="DR439" s="119"/>
      <c r="DS439" s="119"/>
      <c r="DT439" s="119"/>
      <c r="DU439" s="119"/>
      <c r="DV439" s="119"/>
      <c r="DW439" s="119"/>
      <c r="DX439" s="119"/>
      <c r="DY439" s="119"/>
      <c r="DZ439" s="119"/>
      <c r="EA439" s="119"/>
      <c r="EB439" s="119"/>
      <c r="EC439" s="119"/>
      <c r="ED439" s="119"/>
      <c r="EE439" s="119"/>
      <c r="EF439" s="119"/>
      <c r="EG439" s="119"/>
      <c r="EH439" s="119"/>
      <c r="EI439" s="119"/>
      <c r="EJ439" s="119"/>
      <c r="EK439" s="119"/>
      <c r="EL439" s="119"/>
      <c r="EM439" s="119"/>
      <c r="EN439" s="119"/>
      <c r="EO439" s="119"/>
      <c r="EP439" s="119"/>
      <c r="EQ439" s="119"/>
      <c r="ER439" s="119"/>
      <c r="ES439" s="119"/>
      <c r="ET439" s="119"/>
      <c r="EU439" s="119"/>
      <c r="EV439" s="119"/>
      <c r="EW439" s="119"/>
      <c r="EX439" s="119"/>
      <c r="EY439" s="119"/>
      <c r="EZ439" s="119"/>
      <c r="FA439" s="119"/>
      <c r="FB439" s="119"/>
      <c r="FC439" s="119"/>
      <c r="FD439" s="119"/>
      <c r="FE439" s="119"/>
      <c r="FF439" s="119"/>
      <c r="FG439" s="119"/>
      <c r="FH439" s="119"/>
      <c r="FI439" s="119"/>
      <c r="FJ439" s="119"/>
      <c r="FK439" s="119"/>
      <c r="FL439" s="119"/>
      <c r="FM439" s="119"/>
      <c r="FN439" s="119"/>
      <c r="FO439" s="119"/>
      <c r="FP439" s="119"/>
      <c r="FQ439" s="119"/>
      <c r="FR439" s="119"/>
      <c r="FS439" s="119"/>
      <c r="FT439" s="119"/>
      <c r="FU439" s="119"/>
      <c r="FV439" s="119"/>
      <c r="FW439" s="119"/>
      <c r="FX439" s="119"/>
      <c r="FY439" s="119"/>
      <c r="FZ439" s="119"/>
      <c r="GA439" s="119"/>
      <c r="GB439" s="119"/>
      <c r="GC439" s="119"/>
      <c r="GD439" s="119"/>
      <c r="GE439" s="119"/>
      <c r="GF439" s="119"/>
      <c r="GG439" s="119"/>
      <c r="GH439" s="119"/>
      <c r="GI439" s="119"/>
      <c r="GJ439" s="119"/>
      <c r="GK439" s="119"/>
      <c r="GL439" s="119"/>
      <c r="GM439" s="119"/>
      <c r="GN439" s="119"/>
      <c r="GO439" s="119"/>
      <c r="GP439" s="119"/>
      <c r="GQ439" s="119"/>
      <c r="GR439" s="119"/>
      <c r="GS439" s="119"/>
      <c r="GT439" s="119"/>
      <c r="GU439" s="119"/>
      <c r="GV439" s="119"/>
      <c r="GW439" s="119"/>
      <c r="GX439" s="119"/>
      <c r="GY439" s="119"/>
      <c r="GZ439" s="119"/>
      <c r="HA439" s="119"/>
      <c r="HB439" s="119"/>
      <c r="HC439" s="119"/>
      <c r="HD439" s="119"/>
      <c r="HE439" s="119"/>
      <c r="HF439" s="119"/>
      <c r="HG439" s="119"/>
      <c r="HH439" s="119"/>
      <c r="HI439" s="119"/>
      <c r="HJ439" s="119"/>
      <c r="HK439" s="119"/>
      <c r="HL439" s="119"/>
      <c r="HM439" s="119"/>
      <c r="HN439" s="119"/>
      <c r="HO439" s="119"/>
      <c r="HP439" s="119"/>
      <c r="HQ439" s="119"/>
      <c r="HR439" s="119"/>
      <c r="HS439" s="119"/>
      <c r="HT439" s="119"/>
      <c r="HU439" s="119"/>
      <c r="HV439" s="119"/>
      <c r="HW439" s="119"/>
      <c r="HX439" s="119"/>
      <c r="HY439" s="119"/>
      <c r="HZ439" s="119"/>
      <c r="IA439" s="119"/>
      <c r="IB439" s="119"/>
      <c r="IC439" s="119"/>
      <c r="ID439" s="119"/>
      <c r="IE439" s="119"/>
      <c r="IF439" s="119"/>
      <c r="IG439" s="119"/>
      <c r="IH439" s="119"/>
      <c r="II439" s="119"/>
      <c r="IJ439" s="119"/>
      <c r="IK439" s="119"/>
      <c r="IL439" s="119"/>
      <c r="IM439" s="119"/>
      <c r="IN439" s="119"/>
      <c r="IO439" s="119"/>
      <c r="IP439" s="119"/>
      <c r="IQ439" s="119"/>
      <c r="IR439" s="119"/>
      <c r="IS439" s="119"/>
      <c r="IT439" s="119"/>
      <c r="IU439" s="119"/>
      <c r="IV439" s="119"/>
      <c r="IW439" s="119"/>
      <c r="IX439" s="119"/>
      <c r="IY439" s="119"/>
      <c r="IZ439" s="119"/>
      <c r="JA439" s="119"/>
      <c r="JB439" s="119"/>
      <c r="JC439" s="119"/>
      <c r="JD439" s="119"/>
      <c r="JE439" s="119"/>
      <c r="JF439" s="119"/>
      <c r="JG439" s="119"/>
      <c r="JH439" s="119"/>
      <c r="JI439" s="119"/>
      <c r="JJ439" s="119"/>
      <c r="JK439" s="119"/>
      <c r="JL439" s="119"/>
      <c r="JM439" s="119"/>
      <c r="JN439" s="119"/>
      <c r="JO439" s="119"/>
      <c r="JP439" s="119"/>
      <c r="JQ439" s="119"/>
      <c r="JR439" s="119"/>
      <c r="JS439" s="119"/>
      <c r="JT439" s="119"/>
      <c r="JU439" s="119"/>
      <c r="JV439" s="119"/>
      <c r="JW439" s="119"/>
      <c r="JX439" s="119"/>
      <c r="JY439" s="119"/>
      <c r="JZ439" s="119"/>
      <c r="KA439" s="119"/>
      <c r="KB439" s="119"/>
      <c r="KC439" s="119"/>
      <c r="KD439" s="119"/>
      <c r="KE439" s="119"/>
      <c r="KF439" s="119"/>
      <c r="KG439" s="119"/>
      <c r="KH439" s="119"/>
      <c r="KI439" s="119"/>
      <c r="KJ439" s="119"/>
      <c r="KK439" s="119"/>
      <c r="KL439" s="119"/>
      <c r="KM439" s="119"/>
      <c r="KN439" s="119"/>
      <c r="KO439" s="119"/>
      <c r="KP439" s="119"/>
      <c r="KQ439" s="119"/>
      <c r="KR439" s="119"/>
      <c r="KS439" s="119"/>
      <c r="KT439" s="119"/>
      <c r="KU439" s="119"/>
      <c r="KV439" s="119"/>
      <c r="KW439" s="119"/>
      <c r="KX439" s="119"/>
      <c r="KY439" s="119"/>
      <c r="KZ439" s="119"/>
      <c r="LA439" s="119"/>
      <c r="LB439" s="119"/>
      <c r="LC439" s="119"/>
      <c r="LD439" s="119"/>
      <c r="LE439" s="119"/>
      <c r="LF439" s="119"/>
      <c r="LG439" s="119"/>
      <c r="LH439" s="119"/>
      <c r="LI439" s="119"/>
      <c r="LJ439" s="119"/>
      <c r="LK439" s="119"/>
      <c r="LL439" s="119"/>
      <c r="LM439" s="119"/>
      <c r="LN439" s="119"/>
      <c r="LO439" s="119"/>
      <c r="LP439" s="119"/>
      <c r="LQ439" s="119"/>
      <c r="LR439" s="119"/>
      <c r="LS439" s="119"/>
      <c r="LT439" s="119"/>
      <c r="LU439" s="119"/>
      <c r="LV439" s="119"/>
      <c r="LW439" s="119"/>
      <c r="LX439" s="119"/>
      <c r="LY439" s="119"/>
      <c r="LZ439" s="119"/>
      <c r="MA439" s="119"/>
      <c r="MB439" s="119"/>
      <c r="MC439" s="119"/>
      <c r="MD439" s="119"/>
      <c r="ME439" s="119"/>
      <c r="MF439" s="119"/>
      <c r="MG439" s="119"/>
      <c r="MH439" s="119"/>
      <c r="MI439" s="119"/>
      <c r="MJ439" s="119"/>
      <c r="MK439" s="119"/>
      <c r="ML439" s="119"/>
      <c r="MM439" s="119"/>
      <c r="MN439" s="119"/>
      <c r="MO439" s="119"/>
      <c r="MP439" s="119"/>
      <c r="MQ439" s="119"/>
      <c r="MR439" s="119"/>
      <c r="MS439" s="119"/>
      <c r="MT439" s="119"/>
      <c r="MU439" s="119"/>
      <c r="MV439" s="119"/>
      <c r="MW439" s="119"/>
      <c r="MX439" s="119"/>
      <c r="MY439" s="119"/>
      <c r="MZ439" s="119"/>
    </row>
    <row r="440" spans="1:364" s="27" customFormat="1" x14ac:dyDescent="0.25">
      <c r="A440" s="122"/>
      <c r="B440" s="122"/>
      <c r="C440" s="126"/>
      <c r="D440" s="128"/>
      <c r="E440" s="109"/>
      <c r="F440" s="131"/>
      <c r="G440" s="131"/>
      <c r="H440" s="105" t="s">
        <v>439</v>
      </c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9"/>
      <c r="T440" s="119"/>
      <c r="U440" s="119"/>
      <c r="V440" s="119"/>
      <c r="W440" s="119"/>
      <c r="X440" s="119"/>
      <c r="Y440" s="119"/>
      <c r="Z440" s="119"/>
      <c r="AA440" s="119"/>
      <c r="AB440" s="119"/>
      <c r="AC440" s="119"/>
      <c r="AD440" s="119"/>
      <c r="AE440" s="119"/>
      <c r="AF440" s="119"/>
      <c r="AG440" s="119"/>
      <c r="AH440" s="119"/>
      <c r="AI440" s="119"/>
      <c r="AJ440" s="119"/>
      <c r="AK440" s="119"/>
      <c r="AL440" s="119"/>
      <c r="AM440" s="119"/>
      <c r="AN440" s="119"/>
      <c r="AO440" s="119"/>
      <c r="AP440" s="119"/>
      <c r="AQ440" s="119"/>
      <c r="AR440" s="119"/>
      <c r="AS440" s="119"/>
      <c r="AT440" s="119"/>
      <c r="AU440" s="119"/>
      <c r="AV440" s="119"/>
      <c r="AW440" s="119"/>
      <c r="AX440" s="119"/>
      <c r="AY440" s="119"/>
      <c r="AZ440" s="119"/>
      <c r="BA440" s="119"/>
      <c r="BB440" s="119"/>
      <c r="BC440" s="119"/>
      <c r="BD440" s="119"/>
      <c r="BE440" s="119"/>
      <c r="BF440" s="119"/>
      <c r="BG440" s="119"/>
      <c r="BH440" s="119"/>
      <c r="BI440" s="119"/>
      <c r="BJ440" s="119"/>
      <c r="BK440" s="119"/>
      <c r="BL440" s="26"/>
      <c r="BM440" s="119"/>
      <c r="BN440" s="26"/>
      <c r="BO440" s="119"/>
      <c r="BP440" s="119"/>
      <c r="BQ440" s="119"/>
      <c r="BR440" s="119"/>
      <c r="BS440" s="119"/>
      <c r="BT440" s="119"/>
      <c r="BU440" s="119"/>
      <c r="BV440" s="119"/>
      <c r="BW440" s="119"/>
      <c r="BX440" s="119"/>
      <c r="BY440" s="119"/>
      <c r="BZ440" s="119"/>
      <c r="CA440" s="119"/>
      <c r="CB440" s="119"/>
      <c r="CC440" s="119"/>
      <c r="CD440" s="119"/>
      <c r="CE440" s="119"/>
      <c r="CF440" s="119"/>
      <c r="CG440" s="119"/>
      <c r="CH440" s="119"/>
      <c r="CI440" s="119"/>
      <c r="CJ440" s="119"/>
      <c r="CK440" s="119"/>
      <c r="CL440" s="119"/>
      <c r="CM440" s="119"/>
      <c r="CN440" s="119"/>
      <c r="CO440" s="119"/>
      <c r="CP440" s="119"/>
      <c r="CQ440" s="119"/>
      <c r="CR440" s="119"/>
      <c r="CS440" s="119"/>
      <c r="CT440" s="119"/>
      <c r="CU440" s="119"/>
      <c r="CV440" s="119"/>
      <c r="CW440" s="119"/>
      <c r="CX440" s="119"/>
      <c r="CY440" s="119"/>
      <c r="CZ440" s="119"/>
      <c r="DA440" s="119"/>
      <c r="DB440" s="119"/>
      <c r="DC440" s="119"/>
      <c r="DD440" s="119"/>
      <c r="DE440" s="119"/>
      <c r="DF440" s="119"/>
      <c r="DG440" s="119"/>
      <c r="DH440" s="119"/>
      <c r="DI440" s="119"/>
      <c r="DJ440" s="119"/>
      <c r="DK440" s="119"/>
      <c r="DL440" s="119"/>
      <c r="DM440" s="119"/>
      <c r="DN440" s="119"/>
      <c r="DO440" s="119"/>
      <c r="DP440" s="119"/>
      <c r="DQ440" s="119"/>
      <c r="DR440" s="119"/>
      <c r="DS440" s="119"/>
      <c r="DT440" s="119"/>
      <c r="DU440" s="119"/>
      <c r="DV440" s="119"/>
      <c r="DW440" s="119"/>
      <c r="DX440" s="119"/>
      <c r="DY440" s="119"/>
      <c r="DZ440" s="119"/>
      <c r="EA440" s="119"/>
      <c r="EB440" s="119"/>
      <c r="EC440" s="119"/>
      <c r="ED440" s="119"/>
      <c r="EE440" s="119"/>
      <c r="EF440" s="119"/>
      <c r="EG440" s="119"/>
      <c r="EH440" s="119"/>
      <c r="EI440" s="119"/>
      <c r="EJ440" s="119"/>
      <c r="EK440" s="119"/>
      <c r="EL440" s="119"/>
      <c r="EM440" s="119"/>
      <c r="EN440" s="119"/>
      <c r="EO440" s="119"/>
      <c r="EP440" s="119"/>
      <c r="EQ440" s="119"/>
      <c r="ER440" s="119"/>
      <c r="ES440" s="119"/>
      <c r="ET440" s="119"/>
      <c r="EU440" s="119"/>
      <c r="EV440" s="119"/>
      <c r="EW440" s="119"/>
      <c r="EX440" s="119"/>
      <c r="EY440" s="119"/>
      <c r="EZ440" s="119"/>
      <c r="FA440" s="119"/>
      <c r="FB440" s="119"/>
      <c r="FC440" s="119"/>
      <c r="FD440" s="119"/>
      <c r="FE440" s="119"/>
      <c r="FF440" s="119"/>
      <c r="FG440" s="119"/>
      <c r="FH440" s="119"/>
      <c r="FI440" s="119"/>
      <c r="FJ440" s="119"/>
      <c r="FK440" s="119"/>
      <c r="FL440" s="119"/>
      <c r="FM440" s="119"/>
      <c r="FN440" s="119"/>
      <c r="FO440" s="119"/>
      <c r="FP440" s="119"/>
      <c r="FQ440" s="119"/>
      <c r="FR440" s="119"/>
      <c r="FS440" s="119"/>
      <c r="FT440" s="119"/>
      <c r="FU440" s="119"/>
      <c r="FV440" s="119"/>
      <c r="FW440" s="119"/>
      <c r="FX440" s="119"/>
      <c r="FY440" s="119"/>
      <c r="FZ440" s="119"/>
      <c r="GA440" s="119"/>
      <c r="GB440" s="119"/>
      <c r="GC440" s="119"/>
      <c r="GD440" s="119"/>
      <c r="GE440" s="119"/>
      <c r="GF440" s="119"/>
      <c r="GG440" s="119"/>
      <c r="GH440" s="119"/>
      <c r="GI440" s="119"/>
      <c r="GJ440" s="119"/>
      <c r="GK440" s="119"/>
      <c r="GL440" s="119"/>
      <c r="GM440" s="119"/>
      <c r="GN440" s="119"/>
      <c r="GO440" s="119"/>
      <c r="GP440" s="119"/>
      <c r="GQ440" s="119"/>
      <c r="GR440" s="119"/>
      <c r="GS440" s="119"/>
      <c r="GT440" s="119"/>
      <c r="GU440" s="119"/>
      <c r="GV440" s="119"/>
      <c r="GW440" s="119"/>
      <c r="GX440" s="119"/>
      <c r="GY440" s="119"/>
      <c r="GZ440" s="119"/>
      <c r="HA440" s="119"/>
      <c r="HB440" s="119"/>
      <c r="HC440" s="119"/>
      <c r="HD440" s="119"/>
      <c r="HE440" s="119"/>
      <c r="HF440" s="119"/>
      <c r="HG440" s="119"/>
      <c r="HH440" s="119"/>
      <c r="HI440" s="119"/>
      <c r="HJ440" s="119"/>
      <c r="HK440" s="119"/>
      <c r="HL440" s="119"/>
      <c r="HM440" s="119"/>
      <c r="HN440" s="119"/>
      <c r="HO440" s="119"/>
      <c r="HP440" s="119"/>
      <c r="HQ440" s="119"/>
      <c r="HR440" s="119"/>
      <c r="HS440" s="119"/>
      <c r="HT440" s="119"/>
      <c r="HU440" s="119"/>
      <c r="HV440" s="119"/>
      <c r="HW440" s="119"/>
      <c r="HX440" s="119"/>
      <c r="HY440" s="119"/>
      <c r="HZ440" s="119"/>
      <c r="IA440" s="119"/>
      <c r="IB440" s="119"/>
      <c r="IC440" s="119"/>
      <c r="ID440" s="119"/>
      <c r="IE440" s="119"/>
      <c r="IF440" s="119"/>
      <c r="IG440" s="119"/>
      <c r="IH440" s="119"/>
      <c r="II440" s="119"/>
      <c r="IJ440" s="119"/>
      <c r="IK440" s="119"/>
      <c r="IL440" s="119"/>
      <c r="IM440" s="119"/>
      <c r="IN440" s="119"/>
      <c r="IO440" s="119"/>
      <c r="IP440" s="119"/>
      <c r="IQ440" s="119"/>
      <c r="IR440" s="119"/>
      <c r="IS440" s="119"/>
      <c r="IT440" s="119"/>
      <c r="IU440" s="119"/>
      <c r="IV440" s="119"/>
      <c r="IW440" s="119"/>
      <c r="IX440" s="119"/>
      <c r="IY440" s="119"/>
      <c r="IZ440" s="119"/>
      <c r="JA440" s="119"/>
      <c r="JB440" s="119"/>
      <c r="JC440" s="119"/>
      <c r="JD440" s="119"/>
      <c r="JE440" s="119"/>
      <c r="JF440" s="119"/>
      <c r="JG440" s="119"/>
      <c r="JH440" s="119"/>
      <c r="JI440" s="119"/>
      <c r="JJ440" s="119"/>
      <c r="JK440" s="119"/>
      <c r="JL440" s="119"/>
      <c r="JM440" s="119"/>
      <c r="JN440" s="119"/>
      <c r="JO440" s="119"/>
      <c r="JP440" s="119"/>
      <c r="JQ440" s="119"/>
      <c r="JR440" s="119"/>
      <c r="JS440" s="119"/>
      <c r="JT440" s="119"/>
      <c r="JU440" s="119"/>
      <c r="JV440" s="119"/>
      <c r="JW440" s="119"/>
      <c r="JX440" s="119"/>
      <c r="JY440" s="119"/>
      <c r="JZ440" s="119"/>
      <c r="KA440" s="119"/>
      <c r="KB440" s="119"/>
      <c r="KC440" s="119"/>
      <c r="KD440" s="119"/>
      <c r="KE440" s="119"/>
      <c r="KF440" s="119"/>
      <c r="KG440" s="119"/>
      <c r="KH440" s="119"/>
      <c r="KI440" s="119"/>
      <c r="KJ440" s="119"/>
      <c r="KK440" s="119"/>
      <c r="KL440" s="119"/>
      <c r="KM440" s="119"/>
      <c r="KN440" s="119"/>
      <c r="KO440" s="119"/>
      <c r="KP440" s="119"/>
      <c r="KQ440" s="119"/>
      <c r="KR440" s="119"/>
      <c r="KS440" s="119"/>
      <c r="KT440" s="119"/>
      <c r="KU440" s="119"/>
      <c r="KV440" s="119"/>
      <c r="KW440" s="119"/>
      <c r="KX440" s="119"/>
      <c r="KY440" s="119"/>
      <c r="KZ440" s="119"/>
      <c r="LA440" s="119"/>
      <c r="LB440" s="119"/>
      <c r="LC440" s="119"/>
      <c r="LD440" s="119"/>
      <c r="LE440" s="119"/>
      <c r="LF440" s="119"/>
      <c r="LG440" s="119"/>
      <c r="LH440" s="119"/>
      <c r="LI440" s="119"/>
      <c r="LJ440" s="119"/>
      <c r="LK440" s="119"/>
      <c r="LL440" s="119"/>
      <c r="LM440" s="119"/>
      <c r="LN440" s="119"/>
      <c r="LO440" s="119"/>
      <c r="LP440" s="119"/>
      <c r="LQ440" s="119"/>
      <c r="LR440" s="119"/>
      <c r="LS440" s="119"/>
      <c r="LT440" s="119"/>
      <c r="LU440" s="119"/>
      <c r="LV440" s="119"/>
      <c r="LW440" s="119"/>
      <c r="LX440" s="119"/>
      <c r="LY440" s="119"/>
      <c r="LZ440" s="119"/>
      <c r="MA440" s="119"/>
      <c r="MB440" s="119"/>
      <c r="MC440" s="119"/>
      <c r="MD440" s="119"/>
      <c r="ME440" s="119"/>
      <c r="MF440" s="119"/>
      <c r="MG440" s="119"/>
      <c r="MH440" s="119"/>
      <c r="MI440" s="119"/>
      <c r="MJ440" s="119"/>
      <c r="MK440" s="119"/>
      <c r="ML440" s="119"/>
      <c r="MM440" s="119"/>
      <c r="MN440" s="119"/>
      <c r="MO440" s="119"/>
      <c r="MP440" s="119"/>
      <c r="MQ440" s="119"/>
      <c r="MR440" s="119"/>
      <c r="MS440" s="119"/>
      <c r="MT440" s="119"/>
      <c r="MU440" s="119"/>
      <c r="MV440" s="119"/>
      <c r="MW440" s="119"/>
      <c r="MX440" s="119"/>
      <c r="MY440" s="119"/>
      <c r="MZ440" s="119"/>
    </row>
    <row r="441" spans="1:364" s="27" customFormat="1" x14ac:dyDescent="0.25">
      <c r="A441" s="122"/>
      <c r="B441" s="122"/>
      <c r="C441" s="126"/>
      <c r="D441" s="128"/>
      <c r="E441" s="109" t="s">
        <v>493</v>
      </c>
      <c r="F441" s="131"/>
      <c r="G441" s="131"/>
      <c r="H441" s="106" t="s">
        <v>438</v>
      </c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19"/>
      <c r="T441" s="119"/>
      <c r="U441" s="119"/>
      <c r="V441" s="119"/>
      <c r="W441" s="119"/>
      <c r="X441" s="119"/>
      <c r="Y441" s="119"/>
      <c r="Z441" s="119"/>
      <c r="AA441" s="119"/>
      <c r="AB441" s="119"/>
      <c r="AC441" s="119"/>
      <c r="AD441" s="119"/>
      <c r="AE441" s="119"/>
      <c r="AF441" s="119"/>
      <c r="AG441" s="119"/>
      <c r="AH441" s="119"/>
      <c r="AI441" s="119"/>
      <c r="AJ441" s="119"/>
      <c r="AK441" s="119"/>
      <c r="AL441" s="119"/>
      <c r="AM441" s="119"/>
      <c r="AN441" s="119"/>
      <c r="AO441" s="119"/>
      <c r="AP441" s="119"/>
      <c r="AQ441" s="119"/>
      <c r="AR441" s="119"/>
      <c r="AS441" s="119"/>
      <c r="AT441" s="119"/>
      <c r="AU441" s="119"/>
      <c r="AV441" s="119"/>
      <c r="AW441" s="119"/>
      <c r="AX441" s="119"/>
      <c r="AY441" s="119"/>
      <c r="AZ441" s="119"/>
      <c r="BA441" s="119"/>
      <c r="BB441" s="119"/>
      <c r="BC441" s="119"/>
      <c r="BD441" s="119"/>
      <c r="BE441" s="119"/>
      <c r="BF441" s="119"/>
      <c r="BG441" s="119"/>
      <c r="BH441" s="119"/>
      <c r="BI441" s="119"/>
      <c r="BJ441" s="119"/>
      <c r="BK441" s="119"/>
      <c r="BL441" s="26"/>
      <c r="BM441" s="119"/>
      <c r="BN441" s="119"/>
      <c r="BO441" s="119"/>
      <c r="BP441" s="119"/>
      <c r="BQ441" s="119"/>
      <c r="BR441" s="119"/>
      <c r="BS441" s="119"/>
      <c r="BT441" s="119"/>
      <c r="BU441" s="119"/>
      <c r="BV441" s="119"/>
      <c r="BW441" s="119"/>
      <c r="BX441" s="119"/>
      <c r="BY441" s="119"/>
      <c r="BZ441" s="119"/>
      <c r="CA441" s="119"/>
      <c r="CB441" s="119"/>
      <c r="CC441" s="119"/>
      <c r="CD441" s="119"/>
      <c r="CE441" s="119"/>
      <c r="CF441" s="119"/>
      <c r="CG441" s="119"/>
      <c r="CH441" s="119"/>
      <c r="CI441" s="119"/>
      <c r="CJ441" s="119"/>
      <c r="CK441" s="119"/>
      <c r="CL441" s="119"/>
      <c r="CM441" s="119"/>
      <c r="CN441" s="119"/>
      <c r="CO441" s="119"/>
      <c r="CP441" s="119"/>
      <c r="CQ441" s="119"/>
      <c r="CR441" s="119"/>
      <c r="CS441" s="119"/>
      <c r="CT441" s="119"/>
      <c r="CU441" s="119"/>
      <c r="CV441" s="119"/>
      <c r="CW441" s="119"/>
      <c r="CX441" s="119"/>
      <c r="CY441" s="119"/>
      <c r="CZ441" s="119"/>
      <c r="DA441" s="119"/>
      <c r="DB441" s="119"/>
      <c r="DC441" s="119"/>
      <c r="DD441" s="119"/>
      <c r="DE441" s="119"/>
      <c r="DF441" s="119"/>
      <c r="DG441" s="119"/>
      <c r="DH441" s="119"/>
      <c r="DI441" s="119"/>
      <c r="DJ441" s="119"/>
      <c r="DK441" s="119"/>
      <c r="DL441" s="119"/>
      <c r="DM441" s="119"/>
      <c r="DN441" s="119"/>
      <c r="DO441" s="119"/>
      <c r="DP441" s="119"/>
      <c r="DQ441" s="119"/>
      <c r="DR441" s="119"/>
      <c r="DS441" s="119"/>
      <c r="DT441" s="119"/>
      <c r="DU441" s="119"/>
      <c r="DV441" s="119"/>
      <c r="DW441" s="119"/>
      <c r="DX441" s="119"/>
      <c r="DY441" s="119"/>
      <c r="DZ441" s="119"/>
      <c r="EA441" s="119"/>
      <c r="EB441" s="119"/>
      <c r="EC441" s="119"/>
      <c r="ED441" s="119"/>
      <c r="EE441" s="119"/>
      <c r="EF441" s="119"/>
      <c r="EG441" s="119"/>
      <c r="EH441" s="119"/>
      <c r="EI441" s="119"/>
      <c r="EJ441" s="119"/>
      <c r="EK441" s="119"/>
      <c r="EL441" s="119"/>
      <c r="EM441" s="119"/>
      <c r="EN441" s="119"/>
      <c r="EO441" s="119"/>
      <c r="EP441" s="119"/>
      <c r="EQ441" s="119"/>
      <c r="ER441" s="119"/>
      <c r="ES441" s="119"/>
      <c r="ET441" s="119"/>
      <c r="EU441" s="119"/>
      <c r="EV441" s="119"/>
      <c r="EW441" s="119"/>
      <c r="EX441" s="119"/>
      <c r="EY441" s="119"/>
      <c r="EZ441" s="119"/>
      <c r="FA441" s="119"/>
      <c r="FB441" s="119"/>
      <c r="FC441" s="119"/>
      <c r="FD441" s="119"/>
      <c r="FE441" s="119"/>
      <c r="FF441" s="119"/>
      <c r="FG441" s="119"/>
      <c r="FH441" s="119"/>
      <c r="FI441" s="119"/>
      <c r="FJ441" s="119"/>
      <c r="FK441" s="119"/>
      <c r="FL441" s="119"/>
      <c r="FM441" s="119"/>
      <c r="FN441" s="119"/>
      <c r="FO441" s="119"/>
      <c r="FP441" s="119"/>
      <c r="FQ441" s="119"/>
      <c r="FR441" s="119"/>
      <c r="FS441" s="119"/>
      <c r="FT441" s="119"/>
      <c r="FU441" s="119"/>
      <c r="FV441" s="119"/>
      <c r="FW441" s="119"/>
      <c r="FX441" s="119"/>
      <c r="FY441" s="119"/>
      <c r="FZ441" s="119"/>
      <c r="GA441" s="119"/>
      <c r="GB441" s="119"/>
      <c r="GC441" s="119"/>
      <c r="GD441" s="119"/>
      <c r="GE441" s="119"/>
      <c r="GF441" s="119"/>
      <c r="GG441" s="119"/>
      <c r="GH441" s="119"/>
      <c r="GI441" s="119"/>
      <c r="GJ441" s="119"/>
      <c r="GK441" s="119"/>
      <c r="GL441" s="119"/>
      <c r="GM441" s="119"/>
      <c r="GN441" s="119"/>
      <c r="GO441" s="119"/>
      <c r="GP441" s="119"/>
      <c r="GQ441" s="119"/>
      <c r="GR441" s="119"/>
      <c r="GS441" s="119"/>
      <c r="GT441" s="119"/>
      <c r="GU441" s="119"/>
      <c r="GV441" s="119"/>
      <c r="GW441" s="119"/>
      <c r="GX441" s="119"/>
      <c r="GY441" s="119"/>
      <c r="GZ441" s="119"/>
      <c r="HA441" s="119"/>
      <c r="HB441" s="119"/>
      <c r="HC441" s="119"/>
      <c r="HD441" s="119"/>
      <c r="HE441" s="119"/>
      <c r="HF441" s="119"/>
      <c r="HG441" s="119"/>
      <c r="HH441" s="119"/>
      <c r="HI441" s="119"/>
      <c r="HJ441" s="119"/>
      <c r="HK441" s="119"/>
      <c r="HL441" s="119"/>
      <c r="HM441" s="119"/>
      <c r="HN441" s="119"/>
      <c r="HO441" s="119"/>
      <c r="HP441" s="119"/>
      <c r="HQ441" s="119"/>
      <c r="HR441" s="119"/>
      <c r="HS441" s="119"/>
      <c r="HT441" s="119"/>
      <c r="HU441" s="119"/>
      <c r="HV441" s="119"/>
      <c r="HW441" s="119"/>
      <c r="HX441" s="119"/>
      <c r="HY441" s="119"/>
      <c r="HZ441" s="119"/>
      <c r="IA441" s="119"/>
      <c r="IB441" s="119"/>
      <c r="IC441" s="119"/>
      <c r="ID441" s="119"/>
      <c r="IE441" s="119"/>
      <c r="IF441" s="119"/>
      <c r="IG441" s="119"/>
      <c r="IH441" s="119"/>
      <c r="II441" s="119"/>
      <c r="IJ441" s="119"/>
      <c r="IK441" s="119"/>
      <c r="IL441" s="119"/>
      <c r="IM441" s="119"/>
      <c r="IN441" s="119"/>
      <c r="IO441" s="119"/>
      <c r="IP441" s="119"/>
      <c r="IQ441" s="119"/>
      <c r="IR441" s="119"/>
      <c r="IS441" s="119"/>
      <c r="IT441" s="119"/>
      <c r="IU441" s="119"/>
      <c r="IV441" s="119"/>
      <c r="IW441" s="119"/>
      <c r="IX441" s="119"/>
      <c r="IY441" s="119"/>
      <c r="IZ441" s="119"/>
      <c r="JA441" s="119"/>
      <c r="JB441" s="119"/>
      <c r="JC441" s="119"/>
      <c r="JD441" s="119"/>
      <c r="JE441" s="119"/>
      <c r="JF441" s="119"/>
      <c r="JG441" s="119"/>
      <c r="JH441" s="119"/>
      <c r="JI441" s="119"/>
      <c r="JJ441" s="119"/>
      <c r="JK441" s="119"/>
      <c r="JL441" s="119"/>
      <c r="JM441" s="119"/>
      <c r="JN441" s="119"/>
      <c r="JO441" s="119"/>
      <c r="JP441" s="119"/>
      <c r="JQ441" s="119"/>
      <c r="JR441" s="119"/>
      <c r="JS441" s="119"/>
      <c r="JT441" s="119"/>
      <c r="JU441" s="119"/>
      <c r="JV441" s="119"/>
      <c r="JW441" s="119"/>
      <c r="JX441" s="119"/>
      <c r="JY441" s="119"/>
      <c r="JZ441" s="119"/>
      <c r="KA441" s="119"/>
      <c r="KB441" s="119"/>
      <c r="KC441" s="119"/>
      <c r="KD441" s="119"/>
      <c r="KE441" s="119"/>
      <c r="KF441" s="119"/>
      <c r="KG441" s="119"/>
      <c r="KH441" s="119"/>
      <c r="KI441" s="119"/>
      <c r="KJ441" s="119"/>
      <c r="KK441" s="119"/>
      <c r="KL441" s="119"/>
      <c r="KM441" s="119"/>
      <c r="KN441" s="119"/>
      <c r="KO441" s="119"/>
      <c r="KP441" s="119"/>
      <c r="KQ441" s="119"/>
      <c r="KR441" s="119"/>
      <c r="KS441" s="119"/>
      <c r="KT441" s="119"/>
      <c r="KU441" s="119"/>
      <c r="KV441" s="119"/>
      <c r="KW441" s="119"/>
      <c r="KX441" s="119"/>
      <c r="KY441" s="119"/>
      <c r="KZ441" s="119"/>
      <c r="LA441" s="119"/>
      <c r="LB441" s="119"/>
      <c r="LC441" s="119"/>
      <c r="LD441" s="119"/>
      <c r="LE441" s="119"/>
      <c r="LF441" s="119"/>
      <c r="LG441" s="119"/>
      <c r="LH441" s="119"/>
      <c r="LI441" s="119"/>
      <c r="LJ441" s="119"/>
      <c r="LK441" s="119"/>
      <c r="LL441" s="119"/>
      <c r="LM441" s="119"/>
      <c r="LN441" s="119"/>
      <c r="LO441" s="119"/>
      <c r="LP441" s="119"/>
      <c r="LQ441" s="119"/>
      <c r="LR441" s="119"/>
      <c r="LS441" s="119"/>
      <c r="LT441" s="119"/>
      <c r="LU441" s="119"/>
      <c r="LV441" s="119"/>
      <c r="LW441" s="119"/>
      <c r="LX441" s="119"/>
      <c r="LY441" s="119"/>
      <c r="LZ441" s="119"/>
      <c r="MA441" s="119"/>
      <c r="MB441" s="119"/>
      <c r="MC441" s="119"/>
      <c r="MD441" s="119"/>
      <c r="ME441" s="119"/>
      <c r="MF441" s="119"/>
      <c r="MG441" s="119"/>
      <c r="MH441" s="119"/>
      <c r="MI441" s="119"/>
      <c r="MJ441" s="119"/>
      <c r="MK441" s="119"/>
      <c r="ML441" s="119"/>
      <c r="MM441" s="119"/>
      <c r="MN441" s="119"/>
      <c r="MO441" s="119"/>
      <c r="MP441" s="119"/>
      <c r="MQ441" s="119"/>
      <c r="MR441" s="119"/>
      <c r="MS441" s="119"/>
      <c r="MT441" s="119"/>
      <c r="MU441" s="119"/>
      <c r="MV441" s="119"/>
      <c r="MW441" s="119"/>
      <c r="MX441" s="119"/>
      <c r="MY441" s="119"/>
      <c r="MZ441" s="119"/>
    </row>
    <row r="442" spans="1:364" s="27" customFormat="1" x14ac:dyDescent="0.25">
      <c r="A442" s="123"/>
      <c r="B442" s="123"/>
      <c r="C442" s="126"/>
      <c r="D442" s="129"/>
      <c r="E442" s="109"/>
      <c r="F442" s="131"/>
      <c r="G442" s="132"/>
      <c r="H442" s="114" t="s">
        <v>149</v>
      </c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19"/>
      <c r="T442" s="119"/>
      <c r="U442" s="119"/>
      <c r="V442" s="119"/>
      <c r="W442" s="119"/>
      <c r="X442" s="119"/>
      <c r="Y442" s="119"/>
      <c r="Z442" s="119"/>
      <c r="AA442" s="119"/>
      <c r="AB442" s="119"/>
      <c r="AC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9"/>
      <c r="AT442" s="119"/>
      <c r="AU442" s="119"/>
      <c r="AV442" s="119"/>
      <c r="AW442" s="119"/>
      <c r="AX442" s="119"/>
      <c r="AY442" s="119"/>
      <c r="AZ442" s="119"/>
      <c r="BA442" s="119"/>
      <c r="BB442" s="119"/>
      <c r="BC442" s="119"/>
      <c r="BD442" s="119"/>
      <c r="BE442" s="119"/>
      <c r="BF442" s="119"/>
      <c r="BG442" s="119"/>
      <c r="BH442" s="119"/>
      <c r="BI442" s="119"/>
      <c r="BJ442" s="119"/>
      <c r="BK442" s="119"/>
      <c r="BL442" s="26"/>
      <c r="BM442" s="119"/>
      <c r="BN442" s="119"/>
      <c r="BO442" s="119"/>
      <c r="BP442" s="119"/>
      <c r="BQ442" s="119"/>
      <c r="BR442" s="119"/>
      <c r="BS442" s="119"/>
      <c r="BT442" s="119"/>
      <c r="BU442" s="119"/>
      <c r="BV442" s="119"/>
      <c r="BW442" s="119"/>
      <c r="BX442" s="119"/>
      <c r="BY442" s="119"/>
      <c r="BZ442" s="119"/>
      <c r="CA442" s="119"/>
      <c r="CB442" s="119"/>
      <c r="CC442" s="119"/>
      <c r="CD442" s="119"/>
      <c r="CE442" s="119"/>
      <c r="CF442" s="119"/>
      <c r="CG442" s="119"/>
      <c r="CH442" s="119"/>
      <c r="CI442" s="119"/>
      <c r="CJ442" s="119"/>
      <c r="CK442" s="119"/>
      <c r="CL442" s="119"/>
      <c r="CM442" s="119"/>
      <c r="CN442" s="119"/>
      <c r="CO442" s="119"/>
      <c r="CP442" s="119"/>
      <c r="CQ442" s="119"/>
      <c r="CR442" s="119"/>
      <c r="CS442" s="119"/>
      <c r="CT442" s="119"/>
      <c r="CU442" s="119"/>
      <c r="CV442" s="119"/>
      <c r="CW442" s="119"/>
      <c r="CX442" s="119"/>
      <c r="CY442" s="119"/>
      <c r="CZ442" s="119"/>
      <c r="DA442" s="119"/>
      <c r="DB442" s="119"/>
      <c r="DC442" s="119"/>
      <c r="DD442" s="119"/>
      <c r="DE442" s="119"/>
      <c r="DF442" s="119"/>
      <c r="DG442" s="119"/>
      <c r="DH442" s="119"/>
      <c r="DI442" s="119"/>
      <c r="DJ442" s="119"/>
      <c r="DK442" s="119"/>
      <c r="DL442" s="119"/>
      <c r="DM442" s="119"/>
      <c r="DN442" s="119"/>
      <c r="DO442" s="119"/>
      <c r="DP442" s="119"/>
      <c r="DQ442" s="119"/>
      <c r="DR442" s="119"/>
      <c r="DS442" s="119"/>
      <c r="DT442" s="119"/>
      <c r="DU442" s="119"/>
      <c r="DV442" s="119"/>
      <c r="DW442" s="119"/>
      <c r="DX442" s="119"/>
      <c r="DY442" s="119"/>
      <c r="DZ442" s="119"/>
      <c r="EA442" s="119"/>
      <c r="EB442" s="119"/>
      <c r="EC442" s="119"/>
      <c r="ED442" s="119"/>
      <c r="EE442" s="119"/>
      <c r="EF442" s="119"/>
      <c r="EG442" s="119"/>
      <c r="EH442" s="119"/>
      <c r="EI442" s="119"/>
      <c r="EJ442" s="119"/>
      <c r="EK442" s="119"/>
      <c r="EL442" s="119"/>
      <c r="EM442" s="119"/>
      <c r="EN442" s="119"/>
      <c r="EO442" s="119"/>
      <c r="EP442" s="119"/>
      <c r="EQ442" s="119"/>
      <c r="ER442" s="119"/>
      <c r="ES442" s="119"/>
      <c r="ET442" s="119"/>
      <c r="EU442" s="119"/>
      <c r="EV442" s="119"/>
      <c r="EW442" s="119"/>
      <c r="EX442" s="119"/>
      <c r="EY442" s="119"/>
      <c r="EZ442" s="119"/>
      <c r="FA442" s="119"/>
      <c r="FB442" s="119"/>
      <c r="FC442" s="119"/>
      <c r="FD442" s="119"/>
      <c r="FE442" s="119"/>
      <c r="FF442" s="119"/>
      <c r="FG442" s="119"/>
      <c r="FH442" s="119"/>
      <c r="FI442" s="119"/>
      <c r="FJ442" s="119"/>
      <c r="FK442" s="119"/>
      <c r="FL442" s="119"/>
      <c r="FM442" s="119"/>
      <c r="FN442" s="119"/>
      <c r="FO442" s="119"/>
      <c r="FP442" s="119"/>
      <c r="FQ442" s="119"/>
      <c r="FR442" s="119"/>
      <c r="FS442" s="119"/>
      <c r="FT442" s="119"/>
      <c r="FU442" s="119"/>
      <c r="FV442" s="119"/>
      <c r="FW442" s="119"/>
      <c r="FX442" s="119"/>
      <c r="FY442" s="119"/>
      <c r="FZ442" s="119"/>
      <c r="GA442" s="119"/>
      <c r="GB442" s="119"/>
      <c r="GC442" s="119"/>
      <c r="GD442" s="119"/>
      <c r="GE442" s="119"/>
      <c r="GF442" s="119"/>
      <c r="GG442" s="119"/>
      <c r="GH442" s="119"/>
      <c r="GI442" s="119"/>
      <c r="GJ442" s="119"/>
      <c r="GK442" s="119"/>
      <c r="GL442" s="119"/>
      <c r="GM442" s="119"/>
      <c r="GN442" s="119"/>
      <c r="GO442" s="119"/>
      <c r="GP442" s="119"/>
      <c r="GQ442" s="119"/>
      <c r="GR442" s="119"/>
      <c r="GS442" s="119"/>
      <c r="GT442" s="119"/>
      <c r="GU442" s="119"/>
      <c r="GV442" s="119"/>
      <c r="GW442" s="119"/>
      <c r="GX442" s="119"/>
      <c r="GY442" s="119"/>
      <c r="GZ442" s="119"/>
      <c r="HA442" s="119"/>
      <c r="HB442" s="119"/>
      <c r="HC442" s="119"/>
      <c r="HD442" s="119"/>
      <c r="HE442" s="119"/>
      <c r="HF442" s="119"/>
      <c r="HG442" s="119"/>
      <c r="HH442" s="119"/>
      <c r="HI442" s="119"/>
      <c r="HJ442" s="119"/>
      <c r="HK442" s="119"/>
      <c r="HL442" s="119"/>
      <c r="HM442" s="119"/>
      <c r="HN442" s="119"/>
      <c r="HO442" s="119"/>
      <c r="HP442" s="119"/>
      <c r="HQ442" s="119"/>
      <c r="HR442" s="119"/>
      <c r="HS442" s="119"/>
      <c r="HT442" s="119"/>
      <c r="HU442" s="119"/>
      <c r="HV442" s="119"/>
      <c r="HW442" s="119"/>
      <c r="HX442" s="119"/>
      <c r="HY442" s="119"/>
      <c r="HZ442" s="119"/>
      <c r="IA442" s="119"/>
      <c r="IB442" s="119"/>
      <c r="IC442" s="119"/>
      <c r="ID442" s="119"/>
      <c r="IE442" s="119"/>
      <c r="IF442" s="119"/>
      <c r="IG442" s="119"/>
      <c r="IH442" s="119"/>
      <c r="II442" s="119"/>
      <c r="IJ442" s="119"/>
      <c r="IK442" s="119"/>
      <c r="IL442" s="119"/>
      <c r="IM442" s="119"/>
      <c r="IN442" s="119"/>
      <c r="IO442" s="119"/>
      <c r="IP442" s="119"/>
      <c r="IQ442" s="119"/>
      <c r="IR442" s="119"/>
      <c r="IS442" s="119"/>
      <c r="IT442" s="119"/>
      <c r="IU442" s="119"/>
      <c r="IV442" s="119"/>
      <c r="IW442" s="119"/>
      <c r="IX442" s="119"/>
      <c r="IY442" s="119"/>
      <c r="IZ442" s="119"/>
      <c r="JA442" s="119"/>
      <c r="JB442" s="119"/>
      <c r="JC442" s="119"/>
      <c r="JD442" s="119"/>
      <c r="JE442" s="119"/>
      <c r="JF442" s="119"/>
      <c r="JG442" s="119"/>
      <c r="JH442" s="119"/>
      <c r="JI442" s="119"/>
      <c r="JJ442" s="119"/>
      <c r="JK442" s="119"/>
      <c r="JL442" s="119"/>
      <c r="JM442" s="119"/>
      <c r="JN442" s="119"/>
      <c r="JO442" s="119"/>
      <c r="JP442" s="119"/>
      <c r="JQ442" s="119"/>
      <c r="JR442" s="119"/>
      <c r="JS442" s="119"/>
      <c r="JT442" s="119"/>
      <c r="JU442" s="119"/>
      <c r="JV442" s="119"/>
      <c r="JW442" s="119"/>
      <c r="JX442" s="119"/>
      <c r="JY442" s="119"/>
      <c r="JZ442" s="119"/>
      <c r="KA442" s="119"/>
      <c r="KB442" s="119"/>
      <c r="KC442" s="119"/>
      <c r="KD442" s="119"/>
      <c r="KE442" s="119"/>
      <c r="KF442" s="119"/>
      <c r="KG442" s="119"/>
      <c r="KH442" s="119"/>
      <c r="KI442" s="119"/>
      <c r="KJ442" s="119"/>
      <c r="KK442" s="119"/>
      <c r="KL442" s="119"/>
      <c r="KM442" s="119"/>
      <c r="KN442" s="119"/>
      <c r="KO442" s="119"/>
      <c r="KP442" s="119"/>
      <c r="KQ442" s="119"/>
      <c r="KR442" s="119"/>
      <c r="KS442" s="119"/>
      <c r="KT442" s="119"/>
      <c r="KU442" s="119"/>
      <c r="KV442" s="119"/>
      <c r="KW442" s="119"/>
      <c r="KX442" s="119"/>
      <c r="KY442" s="119"/>
      <c r="KZ442" s="119"/>
      <c r="LA442" s="119"/>
      <c r="LB442" s="119"/>
      <c r="LC442" s="119"/>
      <c r="LD442" s="119"/>
      <c r="LE442" s="119"/>
      <c r="LF442" s="119"/>
      <c r="LG442" s="119"/>
      <c r="LH442" s="119"/>
      <c r="LI442" s="119"/>
      <c r="LJ442" s="119"/>
      <c r="LK442" s="119"/>
      <c r="LL442" s="119"/>
      <c r="LM442" s="119"/>
      <c r="LN442" s="119"/>
      <c r="LO442" s="119"/>
      <c r="LP442" s="119"/>
      <c r="LQ442" s="119"/>
      <c r="LR442" s="119"/>
      <c r="LS442" s="119"/>
      <c r="LT442" s="119"/>
      <c r="LU442" s="119"/>
      <c r="LV442" s="119"/>
      <c r="LW442" s="119"/>
      <c r="LX442" s="119"/>
      <c r="LY442" s="119"/>
      <c r="LZ442" s="119"/>
      <c r="MA442" s="119"/>
      <c r="MB442" s="119"/>
      <c r="MC442" s="119"/>
      <c r="MD442" s="119"/>
      <c r="ME442" s="119"/>
      <c r="MF442" s="119"/>
      <c r="MG442" s="119"/>
      <c r="MH442" s="119"/>
      <c r="MI442" s="119"/>
      <c r="MJ442" s="119"/>
      <c r="MK442" s="119"/>
      <c r="ML442" s="119"/>
      <c r="MM442" s="119"/>
      <c r="MN442" s="119"/>
      <c r="MO442" s="119"/>
      <c r="MP442" s="119"/>
      <c r="MQ442" s="119"/>
      <c r="MR442" s="119"/>
      <c r="MS442" s="119"/>
      <c r="MT442" s="119"/>
      <c r="MU442" s="119"/>
      <c r="MV442" s="119"/>
      <c r="MW442" s="119"/>
      <c r="MX442" s="119"/>
      <c r="MY442" s="119"/>
      <c r="MZ442" s="119"/>
    </row>
    <row r="443" spans="1:364" s="27" customFormat="1" x14ac:dyDescent="0.25">
      <c r="A443" s="121"/>
      <c r="B443" s="124" t="e">
        <f>VLOOKUP(A443,Rules!$B$8:$C$154,2,0)</f>
        <v>#N/A</v>
      </c>
      <c r="C443" s="125">
        <f t="shared" ref="C443" si="10">SUM(I444:XX444)</f>
        <v>0</v>
      </c>
      <c r="D443" s="127"/>
      <c r="E443" s="110" t="s">
        <v>492</v>
      </c>
      <c r="F443" s="130" t="e">
        <f>VLOOKUP(A443,Table2[],10,0)</f>
        <v>#N/A</v>
      </c>
      <c r="G443" s="130"/>
      <c r="H443" s="113" t="s">
        <v>440</v>
      </c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9"/>
      <c r="T443" s="119"/>
      <c r="U443" s="119"/>
      <c r="V443" s="119"/>
      <c r="W443" s="119"/>
      <c r="X443" s="119"/>
      <c r="Y443" s="119"/>
      <c r="Z443" s="119"/>
      <c r="AA443" s="119"/>
      <c r="AB443" s="119"/>
      <c r="AC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9"/>
      <c r="AT443" s="119"/>
      <c r="AU443" s="119"/>
      <c r="AV443" s="119"/>
      <c r="AW443" s="119"/>
      <c r="AX443" s="119"/>
      <c r="AY443" s="119"/>
      <c r="AZ443" s="119"/>
      <c r="BA443" s="119"/>
      <c r="BB443" s="119"/>
      <c r="BC443" s="119"/>
      <c r="BD443" s="119"/>
      <c r="BE443" s="119"/>
      <c r="BF443" s="119"/>
      <c r="BG443" s="119"/>
      <c r="BH443" s="119"/>
      <c r="BI443" s="119"/>
      <c r="BJ443" s="119"/>
      <c r="BK443" s="119"/>
      <c r="BL443" s="26"/>
      <c r="BM443" s="119"/>
      <c r="BN443" s="26"/>
      <c r="BO443" s="119"/>
      <c r="BP443" s="119"/>
      <c r="BQ443" s="119"/>
      <c r="BR443" s="119"/>
      <c r="BS443" s="119"/>
      <c r="BT443" s="119"/>
      <c r="BU443" s="119"/>
      <c r="BV443" s="119"/>
      <c r="BW443" s="119"/>
      <c r="BX443" s="119"/>
      <c r="BY443" s="119"/>
      <c r="BZ443" s="119"/>
      <c r="CA443" s="119"/>
      <c r="CB443" s="119"/>
      <c r="CC443" s="119"/>
      <c r="CD443" s="119"/>
      <c r="CE443" s="119"/>
      <c r="CF443" s="119"/>
      <c r="CG443" s="119"/>
      <c r="CH443" s="119"/>
      <c r="CI443" s="119"/>
      <c r="CJ443" s="119"/>
      <c r="CK443" s="119"/>
      <c r="CL443" s="119"/>
      <c r="CM443" s="119"/>
      <c r="CN443" s="119"/>
      <c r="CO443" s="119"/>
      <c r="CP443" s="119"/>
      <c r="CQ443" s="119"/>
      <c r="CR443" s="119"/>
      <c r="CS443" s="119"/>
      <c r="CT443" s="119"/>
      <c r="CU443" s="119"/>
      <c r="CV443" s="119"/>
      <c r="CW443" s="119"/>
      <c r="CX443" s="119"/>
      <c r="CY443" s="119"/>
      <c r="CZ443" s="119"/>
      <c r="DA443" s="119"/>
      <c r="DB443" s="119"/>
      <c r="DC443" s="119"/>
      <c r="DD443" s="119"/>
      <c r="DE443" s="119"/>
      <c r="DF443" s="119"/>
      <c r="DG443" s="119"/>
      <c r="DH443" s="119"/>
      <c r="DI443" s="119"/>
      <c r="DJ443" s="119"/>
      <c r="DK443" s="119"/>
      <c r="DL443" s="119"/>
      <c r="DM443" s="119"/>
      <c r="DN443" s="119"/>
      <c r="DO443" s="119"/>
      <c r="DP443" s="119"/>
      <c r="DQ443" s="119"/>
      <c r="DR443" s="119"/>
      <c r="DS443" s="119"/>
      <c r="DT443" s="119"/>
      <c r="DU443" s="119"/>
      <c r="DV443" s="119"/>
      <c r="DW443" s="119"/>
      <c r="DX443" s="119"/>
      <c r="DY443" s="119"/>
      <c r="DZ443" s="119"/>
      <c r="EA443" s="119"/>
      <c r="EB443" s="119"/>
      <c r="EC443" s="119"/>
      <c r="ED443" s="119"/>
      <c r="EE443" s="119"/>
      <c r="EF443" s="119"/>
      <c r="EG443" s="119"/>
      <c r="EH443" s="119"/>
      <c r="EI443" s="119"/>
      <c r="EJ443" s="119"/>
      <c r="EK443" s="119"/>
      <c r="EL443" s="119"/>
      <c r="EM443" s="119"/>
      <c r="EN443" s="119"/>
      <c r="EO443" s="119"/>
      <c r="EP443" s="119"/>
      <c r="EQ443" s="119"/>
      <c r="ER443" s="119"/>
      <c r="ES443" s="119"/>
      <c r="ET443" s="119"/>
      <c r="EU443" s="119"/>
      <c r="EV443" s="119"/>
      <c r="EW443" s="119"/>
      <c r="EX443" s="119"/>
      <c r="EY443" s="119"/>
      <c r="EZ443" s="119"/>
      <c r="FA443" s="119"/>
      <c r="FB443" s="119"/>
      <c r="FC443" s="119"/>
      <c r="FD443" s="119"/>
      <c r="FE443" s="119"/>
      <c r="FF443" s="119"/>
      <c r="FG443" s="119"/>
      <c r="FH443" s="119"/>
      <c r="FI443" s="119"/>
      <c r="FJ443" s="119"/>
      <c r="FK443" s="119"/>
      <c r="FL443" s="119"/>
      <c r="FM443" s="119"/>
      <c r="FN443" s="119"/>
      <c r="FO443" s="119"/>
      <c r="FP443" s="119"/>
      <c r="FQ443" s="119"/>
      <c r="FR443" s="119"/>
      <c r="FS443" s="119"/>
      <c r="FT443" s="119"/>
      <c r="FU443" s="119"/>
      <c r="FV443" s="119"/>
      <c r="FW443" s="119"/>
      <c r="FX443" s="119"/>
      <c r="FY443" s="119"/>
      <c r="FZ443" s="119"/>
      <c r="GA443" s="119"/>
      <c r="GB443" s="119"/>
      <c r="GC443" s="119"/>
      <c r="GD443" s="119"/>
      <c r="GE443" s="119"/>
      <c r="GF443" s="119"/>
      <c r="GG443" s="119"/>
      <c r="GH443" s="119"/>
      <c r="GI443" s="119"/>
      <c r="GJ443" s="119"/>
      <c r="GK443" s="119"/>
      <c r="GL443" s="119"/>
      <c r="GM443" s="119"/>
      <c r="GN443" s="119"/>
      <c r="GO443" s="119"/>
      <c r="GP443" s="119"/>
      <c r="GQ443" s="119"/>
      <c r="GR443" s="119"/>
      <c r="GS443" s="119"/>
      <c r="GT443" s="119"/>
      <c r="GU443" s="119"/>
      <c r="GV443" s="119"/>
      <c r="GW443" s="119"/>
      <c r="GX443" s="119"/>
      <c r="GY443" s="119"/>
      <c r="GZ443" s="119"/>
      <c r="HA443" s="119"/>
      <c r="HB443" s="119"/>
      <c r="HC443" s="119"/>
      <c r="HD443" s="119"/>
      <c r="HE443" s="119"/>
      <c r="HF443" s="119"/>
      <c r="HG443" s="119"/>
      <c r="HH443" s="119"/>
      <c r="HI443" s="119"/>
      <c r="HJ443" s="119"/>
      <c r="HK443" s="119"/>
      <c r="HL443" s="119"/>
      <c r="HM443" s="119"/>
      <c r="HN443" s="119"/>
      <c r="HO443" s="119"/>
      <c r="HP443" s="119"/>
      <c r="HQ443" s="119"/>
      <c r="HR443" s="119"/>
      <c r="HS443" s="119"/>
      <c r="HT443" s="119"/>
      <c r="HU443" s="119"/>
      <c r="HV443" s="119"/>
      <c r="HW443" s="119"/>
      <c r="HX443" s="119"/>
      <c r="HY443" s="119"/>
      <c r="HZ443" s="119"/>
      <c r="IA443" s="119"/>
      <c r="IB443" s="119"/>
      <c r="IC443" s="119"/>
      <c r="ID443" s="119"/>
      <c r="IE443" s="119"/>
      <c r="IF443" s="119"/>
      <c r="IG443" s="119"/>
      <c r="IH443" s="119"/>
      <c r="II443" s="119"/>
      <c r="IJ443" s="119"/>
      <c r="IK443" s="119"/>
      <c r="IL443" s="119"/>
      <c r="IM443" s="119"/>
      <c r="IN443" s="119"/>
      <c r="IO443" s="119"/>
      <c r="IP443" s="119"/>
      <c r="IQ443" s="119"/>
      <c r="IR443" s="119"/>
      <c r="IS443" s="119"/>
      <c r="IT443" s="119"/>
      <c r="IU443" s="119"/>
      <c r="IV443" s="119"/>
      <c r="IW443" s="119"/>
      <c r="IX443" s="119"/>
      <c r="IY443" s="119"/>
      <c r="IZ443" s="119"/>
      <c r="JA443" s="119"/>
      <c r="JB443" s="119"/>
      <c r="JC443" s="119"/>
      <c r="JD443" s="119"/>
      <c r="JE443" s="119"/>
      <c r="JF443" s="119"/>
      <c r="JG443" s="119"/>
      <c r="JH443" s="119"/>
      <c r="JI443" s="119"/>
      <c r="JJ443" s="119"/>
      <c r="JK443" s="119"/>
      <c r="JL443" s="119"/>
      <c r="JM443" s="119"/>
      <c r="JN443" s="119"/>
      <c r="JO443" s="119"/>
      <c r="JP443" s="119"/>
      <c r="JQ443" s="119"/>
      <c r="JR443" s="119"/>
      <c r="JS443" s="119"/>
      <c r="JT443" s="119"/>
      <c r="JU443" s="119"/>
      <c r="JV443" s="119"/>
      <c r="JW443" s="119"/>
      <c r="JX443" s="119"/>
      <c r="JY443" s="119"/>
      <c r="JZ443" s="119"/>
      <c r="KA443" s="119"/>
      <c r="KB443" s="119"/>
      <c r="KC443" s="119"/>
      <c r="KD443" s="119"/>
      <c r="KE443" s="119"/>
      <c r="KF443" s="119"/>
      <c r="KG443" s="119"/>
      <c r="KH443" s="119"/>
      <c r="KI443" s="119"/>
      <c r="KJ443" s="119"/>
      <c r="KK443" s="119"/>
      <c r="KL443" s="119"/>
      <c r="KM443" s="119"/>
      <c r="KN443" s="119"/>
      <c r="KO443" s="119"/>
      <c r="KP443" s="119"/>
      <c r="KQ443" s="119"/>
      <c r="KR443" s="119"/>
      <c r="KS443" s="119"/>
      <c r="KT443" s="119"/>
      <c r="KU443" s="119"/>
      <c r="KV443" s="119"/>
      <c r="KW443" s="119"/>
      <c r="KX443" s="119"/>
      <c r="KY443" s="119"/>
      <c r="KZ443" s="119"/>
      <c r="LA443" s="119"/>
      <c r="LB443" s="119"/>
      <c r="LC443" s="119"/>
      <c r="LD443" s="119"/>
      <c r="LE443" s="119"/>
      <c r="LF443" s="119"/>
      <c r="LG443" s="119"/>
      <c r="LH443" s="119"/>
      <c r="LI443" s="119"/>
      <c r="LJ443" s="119"/>
      <c r="LK443" s="119"/>
      <c r="LL443" s="119"/>
      <c r="LM443" s="119"/>
      <c r="LN443" s="119"/>
      <c r="LO443" s="119"/>
      <c r="LP443" s="119"/>
      <c r="LQ443" s="119"/>
      <c r="LR443" s="119"/>
      <c r="LS443" s="119"/>
      <c r="LT443" s="119"/>
      <c r="LU443" s="119"/>
      <c r="LV443" s="119"/>
      <c r="LW443" s="119"/>
      <c r="LX443" s="119"/>
      <c r="LY443" s="119"/>
      <c r="LZ443" s="119"/>
      <c r="MA443" s="119"/>
      <c r="MB443" s="119"/>
      <c r="MC443" s="119"/>
      <c r="MD443" s="119"/>
      <c r="ME443" s="119"/>
      <c r="MF443" s="119"/>
      <c r="MG443" s="119"/>
      <c r="MH443" s="119"/>
      <c r="MI443" s="119"/>
      <c r="MJ443" s="119"/>
      <c r="MK443" s="119"/>
      <c r="ML443" s="119"/>
      <c r="MM443" s="119"/>
      <c r="MN443" s="119"/>
      <c r="MO443" s="119"/>
      <c r="MP443" s="119"/>
      <c r="MQ443" s="119"/>
      <c r="MR443" s="119"/>
      <c r="MS443" s="119"/>
      <c r="MT443" s="119"/>
      <c r="MU443" s="119"/>
      <c r="MV443" s="119"/>
      <c r="MW443" s="119"/>
      <c r="MX443" s="119"/>
      <c r="MY443" s="119"/>
      <c r="MZ443" s="119"/>
    </row>
    <row r="444" spans="1:364" s="27" customFormat="1" x14ac:dyDescent="0.25">
      <c r="A444" s="122"/>
      <c r="B444" s="122"/>
      <c r="C444" s="126"/>
      <c r="D444" s="128"/>
      <c r="E444" s="109"/>
      <c r="F444" s="131"/>
      <c r="G444" s="131"/>
      <c r="H444" s="105" t="s">
        <v>439</v>
      </c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9"/>
      <c r="T444" s="119"/>
      <c r="U444" s="119"/>
      <c r="V444" s="119"/>
      <c r="W444" s="119"/>
      <c r="X444" s="119"/>
      <c r="Y444" s="119"/>
      <c r="Z444" s="119"/>
      <c r="AA444" s="119"/>
      <c r="AB444" s="119"/>
      <c r="AC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9"/>
      <c r="AT444" s="119"/>
      <c r="AU444" s="119"/>
      <c r="AV444" s="119"/>
      <c r="AW444" s="119"/>
      <c r="AX444" s="119"/>
      <c r="AY444" s="119"/>
      <c r="AZ444" s="119"/>
      <c r="BA444" s="119"/>
      <c r="BB444" s="119"/>
      <c r="BC444" s="119"/>
      <c r="BD444" s="119"/>
      <c r="BE444" s="119"/>
      <c r="BF444" s="119"/>
      <c r="BG444" s="119"/>
      <c r="BH444" s="119"/>
      <c r="BI444" s="119"/>
      <c r="BJ444" s="119"/>
      <c r="BK444" s="119"/>
      <c r="BL444" s="26"/>
      <c r="BM444" s="119"/>
      <c r="BN444" s="26"/>
      <c r="BO444" s="119"/>
      <c r="BP444" s="119"/>
      <c r="BQ444" s="119"/>
      <c r="BR444" s="119"/>
      <c r="BS444" s="119"/>
      <c r="BT444" s="119"/>
      <c r="BU444" s="119"/>
      <c r="BV444" s="119"/>
      <c r="BW444" s="119"/>
      <c r="BX444" s="119"/>
      <c r="BY444" s="119"/>
      <c r="BZ444" s="119"/>
      <c r="CA444" s="119"/>
      <c r="CB444" s="119"/>
      <c r="CC444" s="119"/>
      <c r="CD444" s="119"/>
      <c r="CE444" s="119"/>
      <c r="CF444" s="119"/>
      <c r="CG444" s="119"/>
      <c r="CH444" s="119"/>
      <c r="CI444" s="119"/>
      <c r="CJ444" s="119"/>
      <c r="CK444" s="119"/>
      <c r="CL444" s="119"/>
      <c r="CM444" s="119"/>
      <c r="CN444" s="119"/>
      <c r="CO444" s="119"/>
      <c r="CP444" s="119"/>
      <c r="CQ444" s="119"/>
      <c r="CR444" s="119"/>
      <c r="CS444" s="119"/>
      <c r="CT444" s="119"/>
      <c r="CU444" s="119"/>
      <c r="CV444" s="119"/>
      <c r="CW444" s="119"/>
      <c r="CX444" s="119"/>
      <c r="CY444" s="119"/>
      <c r="CZ444" s="119"/>
      <c r="DA444" s="119"/>
      <c r="DB444" s="119"/>
      <c r="DC444" s="119"/>
      <c r="DD444" s="119"/>
      <c r="DE444" s="119"/>
      <c r="DF444" s="119"/>
      <c r="DG444" s="119"/>
      <c r="DH444" s="119"/>
      <c r="DI444" s="119"/>
      <c r="DJ444" s="119"/>
      <c r="DK444" s="119"/>
      <c r="DL444" s="119"/>
      <c r="DM444" s="119"/>
      <c r="DN444" s="119"/>
      <c r="DO444" s="119"/>
      <c r="DP444" s="119"/>
      <c r="DQ444" s="119"/>
      <c r="DR444" s="119"/>
      <c r="DS444" s="119"/>
      <c r="DT444" s="119"/>
      <c r="DU444" s="119"/>
      <c r="DV444" s="119"/>
      <c r="DW444" s="119"/>
      <c r="DX444" s="119"/>
      <c r="DY444" s="119"/>
      <c r="DZ444" s="119"/>
      <c r="EA444" s="119"/>
      <c r="EB444" s="119"/>
      <c r="EC444" s="119"/>
      <c r="ED444" s="119"/>
      <c r="EE444" s="119"/>
      <c r="EF444" s="119"/>
      <c r="EG444" s="119"/>
      <c r="EH444" s="119"/>
      <c r="EI444" s="119"/>
      <c r="EJ444" s="119"/>
      <c r="EK444" s="119"/>
      <c r="EL444" s="119"/>
      <c r="EM444" s="119"/>
      <c r="EN444" s="119"/>
      <c r="EO444" s="119"/>
      <c r="EP444" s="119"/>
      <c r="EQ444" s="119"/>
      <c r="ER444" s="119"/>
      <c r="ES444" s="119"/>
      <c r="ET444" s="119"/>
      <c r="EU444" s="119"/>
      <c r="EV444" s="119"/>
      <c r="EW444" s="119"/>
      <c r="EX444" s="119"/>
      <c r="EY444" s="119"/>
      <c r="EZ444" s="119"/>
      <c r="FA444" s="119"/>
      <c r="FB444" s="119"/>
      <c r="FC444" s="119"/>
      <c r="FD444" s="119"/>
      <c r="FE444" s="119"/>
      <c r="FF444" s="119"/>
      <c r="FG444" s="119"/>
      <c r="FH444" s="119"/>
      <c r="FI444" s="119"/>
      <c r="FJ444" s="119"/>
      <c r="FK444" s="119"/>
      <c r="FL444" s="119"/>
      <c r="FM444" s="119"/>
      <c r="FN444" s="119"/>
      <c r="FO444" s="119"/>
      <c r="FP444" s="119"/>
      <c r="FQ444" s="119"/>
      <c r="FR444" s="119"/>
      <c r="FS444" s="119"/>
      <c r="FT444" s="119"/>
      <c r="FU444" s="119"/>
      <c r="FV444" s="119"/>
      <c r="FW444" s="119"/>
      <c r="FX444" s="119"/>
      <c r="FY444" s="119"/>
      <c r="FZ444" s="119"/>
      <c r="GA444" s="119"/>
      <c r="GB444" s="119"/>
      <c r="GC444" s="119"/>
      <c r="GD444" s="119"/>
      <c r="GE444" s="119"/>
      <c r="GF444" s="119"/>
      <c r="GG444" s="119"/>
      <c r="GH444" s="119"/>
      <c r="GI444" s="119"/>
      <c r="GJ444" s="119"/>
      <c r="GK444" s="119"/>
      <c r="GL444" s="119"/>
      <c r="GM444" s="119"/>
      <c r="GN444" s="119"/>
      <c r="GO444" s="119"/>
      <c r="GP444" s="119"/>
      <c r="GQ444" s="119"/>
      <c r="GR444" s="119"/>
      <c r="GS444" s="119"/>
      <c r="GT444" s="119"/>
      <c r="GU444" s="119"/>
      <c r="GV444" s="119"/>
      <c r="GW444" s="119"/>
      <c r="GX444" s="119"/>
      <c r="GY444" s="119"/>
      <c r="GZ444" s="119"/>
      <c r="HA444" s="119"/>
      <c r="HB444" s="119"/>
      <c r="HC444" s="119"/>
      <c r="HD444" s="119"/>
      <c r="HE444" s="119"/>
      <c r="HF444" s="119"/>
      <c r="HG444" s="119"/>
      <c r="HH444" s="119"/>
      <c r="HI444" s="119"/>
      <c r="HJ444" s="119"/>
      <c r="HK444" s="119"/>
      <c r="HL444" s="119"/>
      <c r="HM444" s="119"/>
      <c r="HN444" s="119"/>
      <c r="HO444" s="119"/>
      <c r="HP444" s="119"/>
      <c r="HQ444" s="119"/>
      <c r="HR444" s="119"/>
      <c r="HS444" s="119"/>
      <c r="HT444" s="119"/>
      <c r="HU444" s="119"/>
      <c r="HV444" s="119"/>
      <c r="HW444" s="119"/>
      <c r="HX444" s="119"/>
      <c r="HY444" s="119"/>
      <c r="HZ444" s="119"/>
      <c r="IA444" s="119"/>
      <c r="IB444" s="119"/>
      <c r="IC444" s="119"/>
      <c r="ID444" s="119"/>
      <c r="IE444" s="119"/>
      <c r="IF444" s="119"/>
      <c r="IG444" s="119"/>
      <c r="IH444" s="119"/>
      <c r="II444" s="119"/>
      <c r="IJ444" s="119"/>
      <c r="IK444" s="119"/>
      <c r="IL444" s="119"/>
      <c r="IM444" s="119"/>
      <c r="IN444" s="119"/>
      <c r="IO444" s="119"/>
      <c r="IP444" s="119"/>
      <c r="IQ444" s="119"/>
      <c r="IR444" s="119"/>
      <c r="IS444" s="119"/>
      <c r="IT444" s="119"/>
      <c r="IU444" s="119"/>
      <c r="IV444" s="119"/>
      <c r="IW444" s="119"/>
      <c r="IX444" s="119"/>
      <c r="IY444" s="119"/>
      <c r="IZ444" s="119"/>
      <c r="JA444" s="119"/>
      <c r="JB444" s="119"/>
      <c r="JC444" s="119"/>
      <c r="JD444" s="119"/>
      <c r="JE444" s="119"/>
      <c r="JF444" s="119"/>
      <c r="JG444" s="119"/>
      <c r="JH444" s="119"/>
      <c r="JI444" s="119"/>
      <c r="JJ444" s="119"/>
      <c r="JK444" s="119"/>
      <c r="JL444" s="119"/>
      <c r="JM444" s="119"/>
      <c r="JN444" s="119"/>
      <c r="JO444" s="119"/>
      <c r="JP444" s="119"/>
      <c r="JQ444" s="119"/>
      <c r="JR444" s="119"/>
      <c r="JS444" s="119"/>
      <c r="JT444" s="119"/>
      <c r="JU444" s="119"/>
      <c r="JV444" s="119"/>
      <c r="JW444" s="119"/>
      <c r="JX444" s="119"/>
      <c r="JY444" s="119"/>
      <c r="JZ444" s="119"/>
      <c r="KA444" s="119"/>
      <c r="KB444" s="119"/>
      <c r="KC444" s="119"/>
      <c r="KD444" s="119"/>
      <c r="KE444" s="119"/>
      <c r="KF444" s="119"/>
      <c r="KG444" s="119"/>
      <c r="KH444" s="119"/>
      <c r="KI444" s="119"/>
      <c r="KJ444" s="119"/>
      <c r="KK444" s="119"/>
      <c r="KL444" s="119"/>
      <c r="KM444" s="119"/>
      <c r="KN444" s="119"/>
      <c r="KO444" s="119"/>
      <c r="KP444" s="119"/>
      <c r="KQ444" s="119"/>
      <c r="KR444" s="119"/>
      <c r="KS444" s="119"/>
      <c r="KT444" s="119"/>
      <c r="KU444" s="119"/>
      <c r="KV444" s="119"/>
      <c r="KW444" s="119"/>
      <c r="KX444" s="119"/>
      <c r="KY444" s="119"/>
      <c r="KZ444" s="119"/>
      <c r="LA444" s="119"/>
      <c r="LB444" s="119"/>
      <c r="LC444" s="119"/>
      <c r="LD444" s="119"/>
      <c r="LE444" s="119"/>
      <c r="LF444" s="119"/>
      <c r="LG444" s="119"/>
      <c r="LH444" s="119"/>
      <c r="LI444" s="119"/>
      <c r="LJ444" s="119"/>
      <c r="LK444" s="119"/>
      <c r="LL444" s="119"/>
      <c r="LM444" s="119"/>
      <c r="LN444" s="119"/>
      <c r="LO444" s="119"/>
      <c r="LP444" s="119"/>
      <c r="LQ444" s="119"/>
      <c r="LR444" s="119"/>
      <c r="LS444" s="119"/>
      <c r="LT444" s="119"/>
      <c r="LU444" s="119"/>
      <c r="LV444" s="119"/>
      <c r="LW444" s="119"/>
      <c r="LX444" s="119"/>
      <c r="LY444" s="119"/>
      <c r="LZ444" s="119"/>
      <c r="MA444" s="119"/>
      <c r="MB444" s="119"/>
      <c r="MC444" s="119"/>
      <c r="MD444" s="119"/>
      <c r="ME444" s="119"/>
      <c r="MF444" s="119"/>
      <c r="MG444" s="119"/>
      <c r="MH444" s="119"/>
      <c r="MI444" s="119"/>
      <c r="MJ444" s="119"/>
      <c r="MK444" s="119"/>
      <c r="ML444" s="119"/>
      <c r="MM444" s="119"/>
      <c r="MN444" s="119"/>
      <c r="MO444" s="119"/>
      <c r="MP444" s="119"/>
      <c r="MQ444" s="119"/>
      <c r="MR444" s="119"/>
      <c r="MS444" s="119"/>
      <c r="MT444" s="119"/>
      <c r="MU444" s="119"/>
      <c r="MV444" s="119"/>
      <c r="MW444" s="119"/>
      <c r="MX444" s="119"/>
      <c r="MY444" s="119"/>
      <c r="MZ444" s="119"/>
    </row>
    <row r="445" spans="1:364" s="27" customFormat="1" x14ac:dyDescent="0.25">
      <c r="A445" s="122"/>
      <c r="B445" s="122"/>
      <c r="C445" s="126"/>
      <c r="D445" s="128"/>
      <c r="E445" s="109" t="s">
        <v>493</v>
      </c>
      <c r="F445" s="131"/>
      <c r="G445" s="131"/>
      <c r="H445" s="106" t="s">
        <v>438</v>
      </c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19"/>
      <c r="T445" s="119"/>
      <c r="U445" s="119"/>
      <c r="V445" s="119"/>
      <c r="W445" s="119"/>
      <c r="X445" s="119"/>
      <c r="Y445" s="119"/>
      <c r="Z445" s="119"/>
      <c r="AA445" s="119"/>
      <c r="AB445" s="119"/>
      <c r="AC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9"/>
      <c r="AT445" s="119"/>
      <c r="AU445" s="119"/>
      <c r="AV445" s="119"/>
      <c r="AW445" s="119"/>
      <c r="AX445" s="119"/>
      <c r="AY445" s="119"/>
      <c r="AZ445" s="119"/>
      <c r="BA445" s="119"/>
      <c r="BB445" s="119"/>
      <c r="BC445" s="119"/>
      <c r="BD445" s="119"/>
      <c r="BE445" s="119"/>
      <c r="BF445" s="119"/>
      <c r="BG445" s="119"/>
      <c r="BH445" s="119"/>
      <c r="BI445" s="119"/>
      <c r="BJ445" s="119"/>
      <c r="BK445" s="119"/>
      <c r="BL445" s="26"/>
      <c r="BM445" s="119"/>
      <c r="BN445" s="119"/>
      <c r="BO445" s="119"/>
      <c r="BP445" s="119"/>
      <c r="BQ445" s="119"/>
      <c r="BR445" s="119"/>
      <c r="BS445" s="119"/>
      <c r="BT445" s="119"/>
      <c r="BU445" s="119"/>
      <c r="BV445" s="119"/>
      <c r="BW445" s="119"/>
      <c r="BX445" s="119"/>
      <c r="BY445" s="119"/>
      <c r="BZ445" s="119"/>
      <c r="CA445" s="119"/>
      <c r="CB445" s="119"/>
      <c r="CC445" s="119"/>
      <c r="CD445" s="119"/>
      <c r="CE445" s="119"/>
      <c r="CF445" s="119"/>
      <c r="CG445" s="119"/>
      <c r="CH445" s="119"/>
      <c r="CI445" s="119"/>
      <c r="CJ445" s="119"/>
      <c r="CK445" s="119"/>
      <c r="CL445" s="119"/>
      <c r="CM445" s="119"/>
      <c r="CN445" s="119"/>
      <c r="CO445" s="119"/>
      <c r="CP445" s="119"/>
      <c r="CQ445" s="119"/>
      <c r="CR445" s="119"/>
      <c r="CS445" s="119"/>
      <c r="CT445" s="119"/>
      <c r="CU445" s="119"/>
      <c r="CV445" s="119"/>
      <c r="CW445" s="119"/>
      <c r="CX445" s="119"/>
      <c r="CY445" s="119"/>
      <c r="CZ445" s="119"/>
      <c r="DA445" s="119"/>
      <c r="DB445" s="119"/>
      <c r="DC445" s="119"/>
      <c r="DD445" s="119"/>
      <c r="DE445" s="119"/>
      <c r="DF445" s="119"/>
      <c r="DG445" s="119"/>
      <c r="DH445" s="119"/>
      <c r="DI445" s="119"/>
      <c r="DJ445" s="119"/>
      <c r="DK445" s="119"/>
      <c r="DL445" s="119"/>
      <c r="DM445" s="119"/>
      <c r="DN445" s="119"/>
      <c r="DO445" s="119"/>
      <c r="DP445" s="119"/>
      <c r="DQ445" s="119"/>
      <c r="DR445" s="119"/>
      <c r="DS445" s="119"/>
      <c r="DT445" s="119"/>
      <c r="DU445" s="119"/>
      <c r="DV445" s="119"/>
      <c r="DW445" s="119"/>
      <c r="DX445" s="119"/>
      <c r="DY445" s="119"/>
      <c r="DZ445" s="119"/>
      <c r="EA445" s="119"/>
      <c r="EB445" s="119"/>
      <c r="EC445" s="119"/>
      <c r="ED445" s="119"/>
      <c r="EE445" s="119"/>
      <c r="EF445" s="119"/>
      <c r="EG445" s="119"/>
      <c r="EH445" s="119"/>
      <c r="EI445" s="119"/>
      <c r="EJ445" s="119"/>
      <c r="EK445" s="119"/>
      <c r="EL445" s="119"/>
      <c r="EM445" s="119"/>
      <c r="EN445" s="119"/>
      <c r="EO445" s="119"/>
      <c r="EP445" s="119"/>
      <c r="EQ445" s="119"/>
      <c r="ER445" s="119"/>
      <c r="ES445" s="119"/>
      <c r="ET445" s="119"/>
      <c r="EU445" s="119"/>
      <c r="EV445" s="119"/>
      <c r="EW445" s="119"/>
      <c r="EX445" s="119"/>
      <c r="EY445" s="119"/>
      <c r="EZ445" s="119"/>
      <c r="FA445" s="119"/>
      <c r="FB445" s="119"/>
      <c r="FC445" s="119"/>
      <c r="FD445" s="119"/>
      <c r="FE445" s="119"/>
      <c r="FF445" s="119"/>
      <c r="FG445" s="119"/>
      <c r="FH445" s="119"/>
      <c r="FI445" s="119"/>
      <c r="FJ445" s="119"/>
      <c r="FK445" s="119"/>
      <c r="FL445" s="119"/>
      <c r="FM445" s="119"/>
      <c r="FN445" s="119"/>
      <c r="FO445" s="119"/>
      <c r="FP445" s="119"/>
      <c r="FQ445" s="119"/>
      <c r="FR445" s="119"/>
      <c r="FS445" s="119"/>
      <c r="FT445" s="119"/>
      <c r="FU445" s="119"/>
      <c r="FV445" s="119"/>
      <c r="FW445" s="119"/>
      <c r="FX445" s="119"/>
      <c r="FY445" s="119"/>
      <c r="FZ445" s="119"/>
      <c r="GA445" s="119"/>
      <c r="GB445" s="119"/>
      <c r="GC445" s="119"/>
      <c r="GD445" s="119"/>
      <c r="GE445" s="119"/>
      <c r="GF445" s="119"/>
      <c r="GG445" s="119"/>
      <c r="GH445" s="119"/>
      <c r="GI445" s="119"/>
      <c r="GJ445" s="119"/>
      <c r="GK445" s="119"/>
      <c r="GL445" s="119"/>
      <c r="GM445" s="119"/>
      <c r="GN445" s="119"/>
      <c r="GO445" s="119"/>
      <c r="GP445" s="119"/>
      <c r="GQ445" s="119"/>
      <c r="GR445" s="119"/>
      <c r="GS445" s="119"/>
      <c r="GT445" s="119"/>
      <c r="GU445" s="119"/>
      <c r="GV445" s="119"/>
      <c r="GW445" s="119"/>
      <c r="GX445" s="119"/>
      <c r="GY445" s="119"/>
      <c r="GZ445" s="119"/>
      <c r="HA445" s="119"/>
      <c r="HB445" s="119"/>
      <c r="HC445" s="119"/>
      <c r="HD445" s="119"/>
      <c r="HE445" s="119"/>
      <c r="HF445" s="119"/>
      <c r="HG445" s="119"/>
      <c r="HH445" s="119"/>
      <c r="HI445" s="119"/>
      <c r="HJ445" s="119"/>
      <c r="HK445" s="119"/>
      <c r="HL445" s="119"/>
      <c r="HM445" s="119"/>
      <c r="HN445" s="119"/>
      <c r="HO445" s="119"/>
      <c r="HP445" s="119"/>
      <c r="HQ445" s="119"/>
      <c r="HR445" s="119"/>
      <c r="HS445" s="119"/>
      <c r="HT445" s="119"/>
      <c r="HU445" s="119"/>
      <c r="HV445" s="119"/>
      <c r="HW445" s="119"/>
      <c r="HX445" s="119"/>
      <c r="HY445" s="119"/>
      <c r="HZ445" s="119"/>
      <c r="IA445" s="119"/>
      <c r="IB445" s="119"/>
      <c r="IC445" s="119"/>
      <c r="ID445" s="119"/>
      <c r="IE445" s="119"/>
      <c r="IF445" s="119"/>
      <c r="IG445" s="119"/>
      <c r="IH445" s="119"/>
      <c r="II445" s="119"/>
      <c r="IJ445" s="119"/>
      <c r="IK445" s="119"/>
      <c r="IL445" s="119"/>
      <c r="IM445" s="119"/>
      <c r="IN445" s="119"/>
      <c r="IO445" s="119"/>
      <c r="IP445" s="119"/>
      <c r="IQ445" s="119"/>
      <c r="IR445" s="119"/>
      <c r="IS445" s="119"/>
      <c r="IT445" s="119"/>
      <c r="IU445" s="119"/>
      <c r="IV445" s="119"/>
      <c r="IW445" s="119"/>
      <c r="IX445" s="119"/>
      <c r="IY445" s="119"/>
      <c r="IZ445" s="119"/>
      <c r="JA445" s="119"/>
      <c r="JB445" s="119"/>
      <c r="JC445" s="119"/>
      <c r="JD445" s="119"/>
      <c r="JE445" s="119"/>
      <c r="JF445" s="119"/>
      <c r="JG445" s="119"/>
      <c r="JH445" s="119"/>
      <c r="JI445" s="119"/>
      <c r="JJ445" s="119"/>
      <c r="JK445" s="119"/>
      <c r="JL445" s="119"/>
      <c r="JM445" s="119"/>
      <c r="JN445" s="119"/>
      <c r="JO445" s="119"/>
      <c r="JP445" s="119"/>
      <c r="JQ445" s="119"/>
      <c r="JR445" s="119"/>
      <c r="JS445" s="119"/>
      <c r="JT445" s="119"/>
      <c r="JU445" s="119"/>
      <c r="JV445" s="119"/>
      <c r="JW445" s="119"/>
      <c r="JX445" s="119"/>
      <c r="JY445" s="119"/>
      <c r="JZ445" s="119"/>
      <c r="KA445" s="119"/>
      <c r="KB445" s="119"/>
      <c r="KC445" s="119"/>
      <c r="KD445" s="119"/>
      <c r="KE445" s="119"/>
      <c r="KF445" s="119"/>
      <c r="KG445" s="119"/>
      <c r="KH445" s="119"/>
      <c r="KI445" s="119"/>
      <c r="KJ445" s="119"/>
      <c r="KK445" s="119"/>
      <c r="KL445" s="119"/>
      <c r="KM445" s="119"/>
      <c r="KN445" s="119"/>
      <c r="KO445" s="119"/>
      <c r="KP445" s="119"/>
      <c r="KQ445" s="119"/>
      <c r="KR445" s="119"/>
      <c r="KS445" s="119"/>
      <c r="KT445" s="119"/>
      <c r="KU445" s="119"/>
      <c r="KV445" s="119"/>
      <c r="KW445" s="119"/>
      <c r="KX445" s="119"/>
      <c r="KY445" s="119"/>
      <c r="KZ445" s="119"/>
      <c r="LA445" s="119"/>
      <c r="LB445" s="119"/>
      <c r="LC445" s="119"/>
      <c r="LD445" s="119"/>
      <c r="LE445" s="119"/>
      <c r="LF445" s="119"/>
      <c r="LG445" s="119"/>
      <c r="LH445" s="119"/>
      <c r="LI445" s="119"/>
      <c r="LJ445" s="119"/>
      <c r="LK445" s="119"/>
      <c r="LL445" s="119"/>
      <c r="LM445" s="119"/>
      <c r="LN445" s="119"/>
      <c r="LO445" s="119"/>
      <c r="LP445" s="119"/>
      <c r="LQ445" s="119"/>
      <c r="LR445" s="119"/>
      <c r="LS445" s="119"/>
      <c r="LT445" s="119"/>
      <c r="LU445" s="119"/>
      <c r="LV445" s="119"/>
      <c r="LW445" s="119"/>
      <c r="LX445" s="119"/>
      <c r="LY445" s="119"/>
      <c r="LZ445" s="119"/>
      <c r="MA445" s="119"/>
      <c r="MB445" s="119"/>
      <c r="MC445" s="119"/>
      <c r="MD445" s="119"/>
      <c r="ME445" s="119"/>
      <c r="MF445" s="119"/>
      <c r="MG445" s="119"/>
      <c r="MH445" s="119"/>
      <c r="MI445" s="119"/>
      <c r="MJ445" s="119"/>
      <c r="MK445" s="119"/>
      <c r="ML445" s="119"/>
      <c r="MM445" s="119"/>
      <c r="MN445" s="119"/>
      <c r="MO445" s="119"/>
      <c r="MP445" s="119"/>
      <c r="MQ445" s="119"/>
      <c r="MR445" s="119"/>
      <c r="MS445" s="119"/>
      <c r="MT445" s="119"/>
      <c r="MU445" s="119"/>
      <c r="MV445" s="119"/>
      <c r="MW445" s="119"/>
      <c r="MX445" s="119"/>
      <c r="MY445" s="119"/>
      <c r="MZ445" s="119"/>
    </row>
    <row r="446" spans="1:364" s="27" customFormat="1" x14ac:dyDescent="0.25">
      <c r="A446" s="123"/>
      <c r="B446" s="123"/>
      <c r="C446" s="126"/>
      <c r="D446" s="129"/>
      <c r="E446" s="109"/>
      <c r="F446" s="131"/>
      <c r="G446" s="132"/>
      <c r="H446" s="114" t="s">
        <v>149</v>
      </c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19"/>
      <c r="T446" s="119"/>
      <c r="U446" s="119"/>
      <c r="V446" s="119"/>
      <c r="W446" s="119"/>
      <c r="X446" s="119"/>
      <c r="Y446" s="119"/>
      <c r="Z446" s="119"/>
      <c r="AA446" s="119"/>
      <c r="AB446" s="119"/>
      <c r="AC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9"/>
      <c r="AT446" s="119"/>
      <c r="AU446" s="119"/>
      <c r="AV446" s="119"/>
      <c r="AW446" s="119"/>
      <c r="AX446" s="119"/>
      <c r="AY446" s="119"/>
      <c r="AZ446" s="119"/>
      <c r="BA446" s="119"/>
      <c r="BB446" s="119"/>
      <c r="BC446" s="119"/>
      <c r="BD446" s="119"/>
      <c r="BE446" s="119"/>
      <c r="BF446" s="119"/>
      <c r="BG446" s="119"/>
      <c r="BH446" s="119"/>
      <c r="BI446" s="119"/>
      <c r="BJ446" s="119"/>
      <c r="BK446" s="119"/>
      <c r="BL446" s="26"/>
      <c r="BM446" s="119"/>
      <c r="BN446" s="119"/>
      <c r="BO446" s="119"/>
      <c r="BP446" s="119"/>
      <c r="BQ446" s="119"/>
      <c r="BR446" s="119"/>
      <c r="BS446" s="119"/>
      <c r="BT446" s="119"/>
      <c r="BU446" s="119"/>
      <c r="BV446" s="119"/>
      <c r="BW446" s="119"/>
      <c r="BX446" s="119"/>
      <c r="BY446" s="119"/>
      <c r="BZ446" s="119"/>
      <c r="CA446" s="119"/>
      <c r="CB446" s="119"/>
      <c r="CC446" s="119"/>
      <c r="CD446" s="119"/>
      <c r="CE446" s="119"/>
      <c r="CF446" s="119"/>
      <c r="CG446" s="119"/>
      <c r="CH446" s="119"/>
      <c r="CI446" s="119"/>
      <c r="CJ446" s="119"/>
      <c r="CK446" s="119"/>
      <c r="CL446" s="119"/>
      <c r="CM446" s="119"/>
      <c r="CN446" s="119"/>
      <c r="CO446" s="119"/>
      <c r="CP446" s="119"/>
      <c r="CQ446" s="119"/>
      <c r="CR446" s="119"/>
      <c r="CS446" s="119"/>
      <c r="CT446" s="119"/>
      <c r="CU446" s="119"/>
      <c r="CV446" s="119"/>
      <c r="CW446" s="119"/>
      <c r="CX446" s="119"/>
      <c r="CY446" s="119"/>
      <c r="CZ446" s="119"/>
      <c r="DA446" s="119"/>
      <c r="DB446" s="119"/>
      <c r="DC446" s="119"/>
      <c r="DD446" s="119"/>
      <c r="DE446" s="119"/>
      <c r="DF446" s="119"/>
      <c r="DG446" s="119"/>
      <c r="DH446" s="119"/>
      <c r="DI446" s="119"/>
      <c r="DJ446" s="119"/>
      <c r="DK446" s="119"/>
      <c r="DL446" s="119"/>
      <c r="DM446" s="119"/>
      <c r="DN446" s="119"/>
      <c r="DO446" s="119"/>
      <c r="DP446" s="119"/>
      <c r="DQ446" s="119"/>
      <c r="DR446" s="119"/>
      <c r="DS446" s="119"/>
      <c r="DT446" s="119"/>
      <c r="DU446" s="119"/>
      <c r="DV446" s="119"/>
      <c r="DW446" s="119"/>
      <c r="DX446" s="119"/>
      <c r="DY446" s="119"/>
      <c r="DZ446" s="119"/>
      <c r="EA446" s="119"/>
      <c r="EB446" s="119"/>
      <c r="EC446" s="119"/>
      <c r="ED446" s="119"/>
      <c r="EE446" s="119"/>
      <c r="EF446" s="119"/>
      <c r="EG446" s="119"/>
      <c r="EH446" s="119"/>
      <c r="EI446" s="119"/>
      <c r="EJ446" s="119"/>
      <c r="EK446" s="119"/>
      <c r="EL446" s="119"/>
      <c r="EM446" s="119"/>
      <c r="EN446" s="119"/>
      <c r="EO446" s="119"/>
      <c r="EP446" s="119"/>
      <c r="EQ446" s="119"/>
      <c r="ER446" s="119"/>
      <c r="ES446" s="119"/>
      <c r="ET446" s="119"/>
      <c r="EU446" s="119"/>
      <c r="EV446" s="119"/>
      <c r="EW446" s="119"/>
      <c r="EX446" s="119"/>
      <c r="EY446" s="119"/>
      <c r="EZ446" s="119"/>
      <c r="FA446" s="119"/>
      <c r="FB446" s="119"/>
      <c r="FC446" s="119"/>
      <c r="FD446" s="119"/>
      <c r="FE446" s="119"/>
      <c r="FF446" s="119"/>
      <c r="FG446" s="119"/>
      <c r="FH446" s="119"/>
      <c r="FI446" s="119"/>
      <c r="FJ446" s="119"/>
      <c r="FK446" s="119"/>
      <c r="FL446" s="119"/>
      <c r="FM446" s="119"/>
      <c r="FN446" s="119"/>
      <c r="FO446" s="119"/>
      <c r="FP446" s="119"/>
      <c r="FQ446" s="119"/>
      <c r="FR446" s="119"/>
      <c r="FS446" s="119"/>
      <c r="FT446" s="119"/>
      <c r="FU446" s="119"/>
      <c r="FV446" s="119"/>
      <c r="FW446" s="119"/>
      <c r="FX446" s="119"/>
      <c r="FY446" s="119"/>
      <c r="FZ446" s="119"/>
      <c r="GA446" s="119"/>
      <c r="GB446" s="119"/>
      <c r="GC446" s="119"/>
      <c r="GD446" s="119"/>
      <c r="GE446" s="119"/>
      <c r="GF446" s="119"/>
      <c r="GG446" s="119"/>
      <c r="GH446" s="119"/>
      <c r="GI446" s="119"/>
      <c r="GJ446" s="119"/>
      <c r="GK446" s="119"/>
      <c r="GL446" s="119"/>
      <c r="GM446" s="119"/>
      <c r="GN446" s="119"/>
      <c r="GO446" s="119"/>
      <c r="GP446" s="119"/>
      <c r="GQ446" s="119"/>
      <c r="GR446" s="119"/>
      <c r="GS446" s="119"/>
      <c r="GT446" s="119"/>
      <c r="GU446" s="119"/>
      <c r="GV446" s="119"/>
      <c r="GW446" s="119"/>
      <c r="GX446" s="119"/>
      <c r="GY446" s="119"/>
      <c r="GZ446" s="119"/>
      <c r="HA446" s="119"/>
      <c r="HB446" s="119"/>
      <c r="HC446" s="119"/>
      <c r="HD446" s="119"/>
      <c r="HE446" s="119"/>
      <c r="HF446" s="119"/>
      <c r="HG446" s="119"/>
      <c r="HH446" s="119"/>
      <c r="HI446" s="119"/>
      <c r="HJ446" s="119"/>
      <c r="HK446" s="119"/>
      <c r="HL446" s="119"/>
      <c r="HM446" s="119"/>
      <c r="HN446" s="119"/>
      <c r="HO446" s="119"/>
      <c r="HP446" s="119"/>
      <c r="HQ446" s="119"/>
      <c r="HR446" s="119"/>
      <c r="HS446" s="119"/>
      <c r="HT446" s="119"/>
      <c r="HU446" s="119"/>
      <c r="HV446" s="119"/>
      <c r="HW446" s="119"/>
      <c r="HX446" s="119"/>
      <c r="HY446" s="119"/>
      <c r="HZ446" s="119"/>
      <c r="IA446" s="119"/>
      <c r="IB446" s="119"/>
      <c r="IC446" s="119"/>
      <c r="ID446" s="119"/>
      <c r="IE446" s="119"/>
      <c r="IF446" s="119"/>
      <c r="IG446" s="119"/>
      <c r="IH446" s="119"/>
      <c r="II446" s="119"/>
      <c r="IJ446" s="119"/>
      <c r="IK446" s="119"/>
      <c r="IL446" s="119"/>
      <c r="IM446" s="119"/>
      <c r="IN446" s="119"/>
      <c r="IO446" s="119"/>
      <c r="IP446" s="119"/>
      <c r="IQ446" s="119"/>
      <c r="IR446" s="119"/>
      <c r="IS446" s="119"/>
      <c r="IT446" s="119"/>
      <c r="IU446" s="119"/>
      <c r="IV446" s="119"/>
      <c r="IW446" s="119"/>
      <c r="IX446" s="119"/>
      <c r="IY446" s="119"/>
      <c r="IZ446" s="119"/>
      <c r="JA446" s="119"/>
      <c r="JB446" s="119"/>
      <c r="JC446" s="119"/>
      <c r="JD446" s="119"/>
      <c r="JE446" s="119"/>
      <c r="JF446" s="119"/>
      <c r="JG446" s="119"/>
      <c r="JH446" s="119"/>
      <c r="JI446" s="119"/>
      <c r="JJ446" s="119"/>
      <c r="JK446" s="119"/>
      <c r="JL446" s="119"/>
      <c r="JM446" s="119"/>
      <c r="JN446" s="119"/>
      <c r="JO446" s="119"/>
      <c r="JP446" s="119"/>
      <c r="JQ446" s="119"/>
      <c r="JR446" s="119"/>
      <c r="JS446" s="119"/>
      <c r="JT446" s="119"/>
      <c r="JU446" s="119"/>
      <c r="JV446" s="119"/>
      <c r="JW446" s="119"/>
      <c r="JX446" s="119"/>
      <c r="JY446" s="119"/>
      <c r="JZ446" s="119"/>
      <c r="KA446" s="119"/>
      <c r="KB446" s="119"/>
      <c r="KC446" s="119"/>
      <c r="KD446" s="119"/>
      <c r="KE446" s="119"/>
      <c r="KF446" s="119"/>
      <c r="KG446" s="119"/>
      <c r="KH446" s="119"/>
      <c r="KI446" s="119"/>
      <c r="KJ446" s="119"/>
      <c r="KK446" s="119"/>
      <c r="KL446" s="119"/>
      <c r="KM446" s="119"/>
      <c r="KN446" s="119"/>
      <c r="KO446" s="119"/>
      <c r="KP446" s="119"/>
      <c r="KQ446" s="119"/>
      <c r="KR446" s="119"/>
      <c r="KS446" s="119"/>
      <c r="KT446" s="119"/>
      <c r="KU446" s="119"/>
      <c r="KV446" s="119"/>
      <c r="KW446" s="119"/>
      <c r="KX446" s="119"/>
      <c r="KY446" s="119"/>
      <c r="KZ446" s="119"/>
      <c r="LA446" s="119"/>
      <c r="LB446" s="119"/>
      <c r="LC446" s="119"/>
      <c r="LD446" s="119"/>
      <c r="LE446" s="119"/>
      <c r="LF446" s="119"/>
      <c r="LG446" s="119"/>
      <c r="LH446" s="119"/>
      <c r="LI446" s="119"/>
      <c r="LJ446" s="119"/>
      <c r="LK446" s="119"/>
      <c r="LL446" s="119"/>
      <c r="LM446" s="119"/>
      <c r="LN446" s="119"/>
      <c r="LO446" s="119"/>
      <c r="LP446" s="119"/>
      <c r="LQ446" s="119"/>
      <c r="LR446" s="119"/>
      <c r="LS446" s="119"/>
      <c r="LT446" s="119"/>
      <c r="LU446" s="119"/>
      <c r="LV446" s="119"/>
      <c r="LW446" s="119"/>
      <c r="LX446" s="119"/>
      <c r="LY446" s="119"/>
      <c r="LZ446" s="119"/>
      <c r="MA446" s="119"/>
      <c r="MB446" s="119"/>
      <c r="MC446" s="119"/>
      <c r="MD446" s="119"/>
      <c r="ME446" s="119"/>
      <c r="MF446" s="119"/>
      <c r="MG446" s="119"/>
      <c r="MH446" s="119"/>
      <c r="MI446" s="119"/>
      <c r="MJ446" s="119"/>
      <c r="MK446" s="119"/>
      <c r="ML446" s="119"/>
      <c r="MM446" s="119"/>
      <c r="MN446" s="119"/>
      <c r="MO446" s="119"/>
      <c r="MP446" s="119"/>
      <c r="MQ446" s="119"/>
      <c r="MR446" s="119"/>
      <c r="MS446" s="119"/>
      <c r="MT446" s="119"/>
      <c r="MU446" s="119"/>
      <c r="MV446" s="119"/>
      <c r="MW446" s="119"/>
      <c r="MX446" s="119"/>
      <c r="MY446" s="119"/>
      <c r="MZ446" s="119"/>
    </row>
    <row r="447" spans="1:364" s="27" customFormat="1" x14ac:dyDescent="0.25">
      <c r="A447" s="121"/>
      <c r="B447" s="124" t="e">
        <f>VLOOKUP(A447,Rules!$B$8:$C$154,2,0)</f>
        <v>#N/A</v>
      </c>
      <c r="C447" s="125">
        <f t="shared" ref="C447" si="11">SUM(I448:XX448)</f>
        <v>0</v>
      </c>
      <c r="D447" s="127"/>
      <c r="E447" s="110" t="s">
        <v>492</v>
      </c>
      <c r="F447" s="130" t="e">
        <f>VLOOKUP(A447,Table2[],10,0)</f>
        <v>#N/A</v>
      </c>
      <c r="G447" s="130"/>
      <c r="H447" s="113" t="s">
        <v>440</v>
      </c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9"/>
      <c r="T447" s="119"/>
      <c r="U447" s="119"/>
      <c r="V447" s="119"/>
      <c r="W447" s="119"/>
      <c r="X447" s="119"/>
      <c r="Y447" s="119"/>
      <c r="Z447" s="119"/>
      <c r="AA447" s="119"/>
      <c r="AB447" s="119"/>
      <c r="AC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9"/>
      <c r="AT447" s="119"/>
      <c r="AU447" s="119"/>
      <c r="AV447" s="119"/>
      <c r="AW447" s="119"/>
      <c r="AX447" s="119"/>
      <c r="AY447" s="119"/>
      <c r="AZ447" s="119"/>
      <c r="BA447" s="119"/>
      <c r="BB447" s="119"/>
      <c r="BC447" s="119"/>
      <c r="BD447" s="119"/>
      <c r="BE447" s="119"/>
      <c r="BF447" s="119"/>
      <c r="BG447" s="119"/>
      <c r="BH447" s="119"/>
      <c r="BI447" s="119"/>
      <c r="BJ447" s="119"/>
      <c r="BK447" s="119"/>
      <c r="BL447" s="26"/>
      <c r="BM447" s="119"/>
      <c r="BN447" s="26"/>
      <c r="BO447" s="119"/>
      <c r="BP447" s="119"/>
      <c r="BQ447" s="119"/>
      <c r="BR447" s="119"/>
      <c r="BS447" s="119"/>
      <c r="BT447" s="119"/>
      <c r="BU447" s="119"/>
      <c r="BV447" s="119"/>
      <c r="BW447" s="119"/>
      <c r="BX447" s="119"/>
      <c r="BY447" s="119"/>
      <c r="BZ447" s="119"/>
      <c r="CA447" s="119"/>
      <c r="CB447" s="119"/>
      <c r="CC447" s="119"/>
      <c r="CD447" s="119"/>
      <c r="CE447" s="119"/>
      <c r="CF447" s="119"/>
      <c r="CG447" s="119"/>
      <c r="CH447" s="119"/>
      <c r="CI447" s="119"/>
      <c r="CJ447" s="119"/>
      <c r="CK447" s="119"/>
      <c r="CL447" s="119"/>
      <c r="CM447" s="119"/>
      <c r="CN447" s="119"/>
      <c r="CO447" s="119"/>
      <c r="CP447" s="119"/>
      <c r="CQ447" s="119"/>
      <c r="CR447" s="119"/>
      <c r="CS447" s="119"/>
      <c r="CT447" s="119"/>
      <c r="CU447" s="119"/>
      <c r="CV447" s="119"/>
      <c r="CW447" s="119"/>
      <c r="CX447" s="119"/>
      <c r="CY447" s="119"/>
      <c r="CZ447" s="119"/>
      <c r="DA447" s="119"/>
      <c r="DB447" s="119"/>
      <c r="DC447" s="119"/>
      <c r="DD447" s="119"/>
      <c r="DE447" s="119"/>
      <c r="DF447" s="119"/>
      <c r="DG447" s="119"/>
      <c r="DH447" s="119"/>
      <c r="DI447" s="119"/>
      <c r="DJ447" s="119"/>
      <c r="DK447" s="119"/>
      <c r="DL447" s="119"/>
      <c r="DM447" s="119"/>
      <c r="DN447" s="119"/>
      <c r="DO447" s="119"/>
      <c r="DP447" s="119"/>
      <c r="DQ447" s="119"/>
      <c r="DR447" s="119"/>
      <c r="DS447" s="119"/>
      <c r="DT447" s="119"/>
      <c r="DU447" s="119"/>
      <c r="DV447" s="119"/>
      <c r="DW447" s="119"/>
      <c r="DX447" s="119"/>
      <c r="DY447" s="119"/>
      <c r="DZ447" s="119"/>
      <c r="EA447" s="119"/>
      <c r="EB447" s="119"/>
      <c r="EC447" s="119"/>
      <c r="ED447" s="119"/>
      <c r="EE447" s="119"/>
      <c r="EF447" s="119"/>
      <c r="EG447" s="119"/>
      <c r="EH447" s="119"/>
      <c r="EI447" s="119"/>
      <c r="EJ447" s="119"/>
      <c r="EK447" s="119"/>
      <c r="EL447" s="119"/>
      <c r="EM447" s="119"/>
      <c r="EN447" s="119"/>
      <c r="EO447" s="119"/>
      <c r="EP447" s="119"/>
      <c r="EQ447" s="119"/>
      <c r="ER447" s="119"/>
      <c r="ES447" s="119"/>
      <c r="ET447" s="119"/>
      <c r="EU447" s="119"/>
      <c r="EV447" s="119"/>
      <c r="EW447" s="119"/>
      <c r="EX447" s="119"/>
      <c r="EY447" s="119"/>
      <c r="EZ447" s="119"/>
      <c r="FA447" s="119"/>
      <c r="FB447" s="119"/>
      <c r="FC447" s="119"/>
      <c r="FD447" s="119"/>
      <c r="FE447" s="119"/>
      <c r="FF447" s="119"/>
      <c r="FG447" s="119"/>
      <c r="FH447" s="119"/>
      <c r="FI447" s="119"/>
      <c r="FJ447" s="119"/>
      <c r="FK447" s="119"/>
      <c r="FL447" s="119"/>
      <c r="FM447" s="119"/>
      <c r="FN447" s="119"/>
      <c r="FO447" s="119"/>
      <c r="FP447" s="119"/>
      <c r="FQ447" s="119"/>
      <c r="FR447" s="119"/>
      <c r="FS447" s="119"/>
      <c r="FT447" s="119"/>
      <c r="FU447" s="119"/>
      <c r="FV447" s="119"/>
      <c r="FW447" s="119"/>
      <c r="FX447" s="119"/>
      <c r="FY447" s="119"/>
      <c r="FZ447" s="119"/>
      <c r="GA447" s="119"/>
      <c r="GB447" s="119"/>
      <c r="GC447" s="119"/>
      <c r="GD447" s="119"/>
      <c r="GE447" s="119"/>
      <c r="GF447" s="119"/>
      <c r="GG447" s="119"/>
      <c r="GH447" s="119"/>
      <c r="GI447" s="119"/>
      <c r="GJ447" s="119"/>
      <c r="GK447" s="119"/>
      <c r="GL447" s="119"/>
      <c r="GM447" s="119"/>
      <c r="GN447" s="119"/>
      <c r="GO447" s="119"/>
      <c r="GP447" s="119"/>
      <c r="GQ447" s="119"/>
      <c r="GR447" s="119"/>
      <c r="GS447" s="119"/>
      <c r="GT447" s="119"/>
      <c r="GU447" s="119"/>
      <c r="GV447" s="119"/>
      <c r="GW447" s="119"/>
      <c r="GX447" s="119"/>
      <c r="GY447" s="119"/>
      <c r="GZ447" s="119"/>
      <c r="HA447" s="119"/>
      <c r="HB447" s="119"/>
      <c r="HC447" s="119"/>
      <c r="HD447" s="119"/>
      <c r="HE447" s="119"/>
      <c r="HF447" s="119"/>
      <c r="HG447" s="119"/>
      <c r="HH447" s="119"/>
      <c r="HI447" s="119"/>
      <c r="HJ447" s="119"/>
      <c r="HK447" s="119"/>
      <c r="HL447" s="119"/>
      <c r="HM447" s="119"/>
      <c r="HN447" s="119"/>
      <c r="HO447" s="119"/>
      <c r="HP447" s="119"/>
      <c r="HQ447" s="119"/>
      <c r="HR447" s="119"/>
      <c r="HS447" s="119"/>
      <c r="HT447" s="119"/>
      <c r="HU447" s="119"/>
      <c r="HV447" s="119"/>
      <c r="HW447" s="119"/>
      <c r="HX447" s="119"/>
      <c r="HY447" s="119"/>
      <c r="HZ447" s="119"/>
      <c r="IA447" s="119"/>
      <c r="IB447" s="119"/>
      <c r="IC447" s="119"/>
      <c r="ID447" s="119"/>
      <c r="IE447" s="119"/>
      <c r="IF447" s="119"/>
      <c r="IG447" s="119"/>
      <c r="IH447" s="119"/>
      <c r="II447" s="119"/>
      <c r="IJ447" s="119"/>
      <c r="IK447" s="119"/>
      <c r="IL447" s="119"/>
      <c r="IM447" s="119"/>
      <c r="IN447" s="119"/>
      <c r="IO447" s="119"/>
      <c r="IP447" s="119"/>
      <c r="IQ447" s="119"/>
      <c r="IR447" s="119"/>
      <c r="IS447" s="119"/>
      <c r="IT447" s="119"/>
      <c r="IU447" s="119"/>
      <c r="IV447" s="119"/>
      <c r="IW447" s="119"/>
      <c r="IX447" s="119"/>
      <c r="IY447" s="119"/>
      <c r="IZ447" s="119"/>
      <c r="JA447" s="119"/>
      <c r="JB447" s="119"/>
      <c r="JC447" s="119"/>
      <c r="JD447" s="119"/>
      <c r="JE447" s="119"/>
      <c r="JF447" s="119"/>
      <c r="JG447" s="119"/>
      <c r="JH447" s="119"/>
      <c r="JI447" s="119"/>
      <c r="JJ447" s="119"/>
      <c r="JK447" s="119"/>
      <c r="JL447" s="119"/>
      <c r="JM447" s="119"/>
      <c r="JN447" s="119"/>
      <c r="JO447" s="119"/>
      <c r="JP447" s="119"/>
      <c r="JQ447" s="119"/>
      <c r="JR447" s="119"/>
      <c r="JS447" s="119"/>
      <c r="JT447" s="119"/>
      <c r="JU447" s="119"/>
      <c r="JV447" s="119"/>
      <c r="JW447" s="119"/>
      <c r="JX447" s="119"/>
      <c r="JY447" s="119"/>
      <c r="JZ447" s="119"/>
      <c r="KA447" s="119"/>
      <c r="KB447" s="119"/>
      <c r="KC447" s="119"/>
      <c r="KD447" s="119"/>
      <c r="KE447" s="119"/>
      <c r="KF447" s="119"/>
      <c r="KG447" s="119"/>
      <c r="KH447" s="119"/>
      <c r="KI447" s="119"/>
      <c r="KJ447" s="119"/>
      <c r="KK447" s="119"/>
      <c r="KL447" s="119"/>
      <c r="KM447" s="119"/>
      <c r="KN447" s="119"/>
      <c r="KO447" s="119"/>
      <c r="KP447" s="119"/>
      <c r="KQ447" s="119"/>
      <c r="KR447" s="119"/>
      <c r="KS447" s="119"/>
      <c r="KT447" s="119"/>
      <c r="KU447" s="119"/>
      <c r="KV447" s="119"/>
      <c r="KW447" s="119"/>
      <c r="KX447" s="119"/>
      <c r="KY447" s="119"/>
      <c r="KZ447" s="119"/>
      <c r="LA447" s="119"/>
      <c r="LB447" s="119"/>
      <c r="LC447" s="119"/>
      <c r="LD447" s="119"/>
      <c r="LE447" s="119"/>
      <c r="LF447" s="119"/>
      <c r="LG447" s="119"/>
      <c r="LH447" s="119"/>
      <c r="LI447" s="119"/>
      <c r="LJ447" s="119"/>
      <c r="LK447" s="119"/>
      <c r="LL447" s="119"/>
      <c r="LM447" s="119"/>
      <c r="LN447" s="119"/>
      <c r="LO447" s="119"/>
      <c r="LP447" s="119"/>
      <c r="LQ447" s="119"/>
      <c r="LR447" s="119"/>
      <c r="LS447" s="119"/>
      <c r="LT447" s="119"/>
      <c r="LU447" s="119"/>
      <c r="LV447" s="119"/>
      <c r="LW447" s="119"/>
      <c r="LX447" s="119"/>
      <c r="LY447" s="119"/>
      <c r="LZ447" s="119"/>
      <c r="MA447" s="119"/>
      <c r="MB447" s="119"/>
      <c r="MC447" s="119"/>
      <c r="MD447" s="119"/>
      <c r="ME447" s="119"/>
      <c r="MF447" s="119"/>
      <c r="MG447" s="119"/>
      <c r="MH447" s="119"/>
      <c r="MI447" s="119"/>
      <c r="MJ447" s="119"/>
      <c r="MK447" s="119"/>
      <c r="ML447" s="119"/>
      <c r="MM447" s="119"/>
      <c r="MN447" s="119"/>
      <c r="MO447" s="119"/>
      <c r="MP447" s="119"/>
      <c r="MQ447" s="119"/>
      <c r="MR447" s="119"/>
      <c r="MS447" s="119"/>
      <c r="MT447" s="119"/>
      <c r="MU447" s="119"/>
      <c r="MV447" s="119"/>
      <c r="MW447" s="119"/>
      <c r="MX447" s="119"/>
      <c r="MY447" s="119"/>
      <c r="MZ447" s="119"/>
    </row>
    <row r="448" spans="1:364" s="27" customFormat="1" x14ac:dyDescent="0.25">
      <c r="A448" s="122"/>
      <c r="B448" s="122"/>
      <c r="C448" s="126"/>
      <c r="D448" s="128"/>
      <c r="E448" s="109"/>
      <c r="F448" s="131"/>
      <c r="G448" s="131"/>
      <c r="H448" s="105" t="s">
        <v>439</v>
      </c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9"/>
      <c r="T448" s="119"/>
      <c r="U448" s="119"/>
      <c r="V448" s="119"/>
      <c r="W448" s="119"/>
      <c r="X448" s="119"/>
      <c r="Y448" s="119"/>
      <c r="Z448" s="119"/>
      <c r="AA448" s="119"/>
      <c r="AB448" s="119"/>
      <c r="AC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9"/>
      <c r="AT448" s="119"/>
      <c r="AU448" s="119"/>
      <c r="AV448" s="119"/>
      <c r="AW448" s="119"/>
      <c r="AX448" s="119"/>
      <c r="AY448" s="119"/>
      <c r="AZ448" s="119"/>
      <c r="BA448" s="119"/>
      <c r="BB448" s="119"/>
      <c r="BC448" s="119"/>
      <c r="BD448" s="119"/>
      <c r="BE448" s="119"/>
      <c r="BF448" s="119"/>
      <c r="BG448" s="119"/>
      <c r="BH448" s="119"/>
      <c r="BI448" s="119"/>
      <c r="BJ448" s="119"/>
      <c r="BK448" s="119"/>
      <c r="BL448" s="26"/>
      <c r="BM448" s="119"/>
      <c r="BN448" s="26"/>
      <c r="BO448" s="119"/>
      <c r="BP448" s="119"/>
      <c r="BQ448" s="119"/>
      <c r="BR448" s="119"/>
      <c r="BS448" s="119"/>
      <c r="BT448" s="119"/>
      <c r="BU448" s="119"/>
      <c r="BV448" s="119"/>
      <c r="BW448" s="119"/>
      <c r="BX448" s="119"/>
      <c r="BY448" s="119"/>
      <c r="BZ448" s="119"/>
      <c r="CA448" s="119"/>
      <c r="CB448" s="119"/>
      <c r="CC448" s="119"/>
      <c r="CD448" s="119"/>
      <c r="CE448" s="119"/>
      <c r="CF448" s="119"/>
      <c r="CG448" s="119"/>
      <c r="CH448" s="119"/>
      <c r="CI448" s="119"/>
      <c r="CJ448" s="119"/>
      <c r="CK448" s="119"/>
      <c r="CL448" s="119"/>
      <c r="CM448" s="119"/>
      <c r="CN448" s="119"/>
      <c r="CO448" s="119"/>
      <c r="CP448" s="119"/>
      <c r="CQ448" s="119"/>
      <c r="CR448" s="119"/>
      <c r="CS448" s="119"/>
      <c r="CT448" s="119"/>
      <c r="CU448" s="119"/>
      <c r="CV448" s="119"/>
      <c r="CW448" s="119"/>
      <c r="CX448" s="119"/>
      <c r="CY448" s="119"/>
      <c r="CZ448" s="119"/>
      <c r="DA448" s="119"/>
      <c r="DB448" s="119"/>
      <c r="DC448" s="119"/>
      <c r="DD448" s="119"/>
      <c r="DE448" s="119"/>
      <c r="DF448" s="119"/>
      <c r="DG448" s="119"/>
      <c r="DH448" s="119"/>
      <c r="DI448" s="119"/>
      <c r="DJ448" s="119"/>
      <c r="DK448" s="119"/>
      <c r="DL448" s="119"/>
      <c r="DM448" s="119"/>
      <c r="DN448" s="119"/>
      <c r="DO448" s="119"/>
      <c r="DP448" s="119"/>
      <c r="DQ448" s="119"/>
      <c r="DR448" s="119"/>
      <c r="DS448" s="119"/>
      <c r="DT448" s="119"/>
      <c r="DU448" s="119"/>
      <c r="DV448" s="119"/>
      <c r="DW448" s="119"/>
      <c r="DX448" s="119"/>
      <c r="DY448" s="119"/>
      <c r="DZ448" s="119"/>
      <c r="EA448" s="119"/>
      <c r="EB448" s="119"/>
      <c r="EC448" s="119"/>
      <c r="ED448" s="119"/>
      <c r="EE448" s="119"/>
      <c r="EF448" s="119"/>
      <c r="EG448" s="119"/>
      <c r="EH448" s="119"/>
      <c r="EI448" s="119"/>
      <c r="EJ448" s="119"/>
      <c r="EK448" s="119"/>
      <c r="EL448" s="119"/>
      <c r="EM448" s="119"/>
      <c r="EN448" s="119"/>
      <c r="EO448" s="119"/>
      <c r="EP448" s="119"/>
      <c r="EQ448" s="119"/>
      <c r="ER448" s="119"/>
      <c r="ES448" s="119"/>
      <c r="ET448" s="119"/>
      <c r="EU448" s="119"/>
      <c r="EV448" s="119"/>
      <c r="EW448" s="119"/>
      <c r="EX448" s="119"/>
      <c r="EY448" s="119"/>
      <c r="EZ448" s="119"/>
      <c r="FA448" s="119"/>
      <c r="FB448" s="119"/>
      <c r="FC448" s="119"/>
      <c r="FD448" s="119"/>
      <c r="FE448" s="119"/>
      <c r="FF448" s="119"/>
      <c r="FG448" s="119"/>
      <c r="FH448" s="119"/>
      <c r="FI448" s="119"/>
      <c r="FJ448" s="119"/>
      <c r="FK448" s="119"/>
      <c r="FL448" s="119"/>
      <c r="FM448" s="119"/>
      <c r="FN448" s="119"/>
      <c r="FO448" s="119"/>
      <c r="FP448" s="119"/>
      <c r="FQ448" s="119"/>
      <c r="FR448" s="119"/>
      <c r="FS448" s="119"/>
      <c r="FT448" s="119"/>
      <c r="FU448" s="119"/>
      <c r="FV448" s="119"/>
      <c r="FW448" s="119"/>
      <c r="FX448" s="119"/>
      <c r="FY448" s="119"/>
      <c r="FZ448" s="119"/>
      <c r="GA448" s="119"/>
      <c r="GB448" s="119"/>
      <c r="GC448" s="119"/>
      <c r="GD448" s="119"/>
      <c r="GE448" s="119"/>
      <c r="GF448" s="119"/>
      <c r="GG448" s="119"/>
      <c r="GH448" s="119"/>
      <c r="GI448" s="119"/>
      <c r="GJ448" s="119"/>
      <c r="GK448" s="119"/>
      <c r="GL448" s="119"/>
      <c r="GM448" s="119"/>
      <c r="GN448" s="119"/>
      <c r="GO448" s="119"/>
      <c r="GP448" s="119"/>
      <c r="GQ448" s="119"/>
      <c r="GR448" s="119"/>
      <c r="GS448" s="119"/>
      <c r="GT448" s="119"/>
      <c r="GU448" s="119"/>
      <c r="GV448" s="119"/>
      <c r="GW448" s="119"/>
      <c r="GX448" s="119"/>
      <c r="GY448" s="119"/>
      <c r="GZ448" s="119"/>
      <c r="HA448" s="119"/>
      <c r="HB448" s="119"/>
      <c r="HC448" s="119"/>
      <c r="HD448" s="119"/>
      <c r="HE448" s="119"/>
      <c r="HF448" s="119"/>
      <c r="HG448" s="119"/>
      <c r="HH448" s="119"/>
      <c r="HI448" s="119"/>
      <c r="HJ448" s="119"/>
      <c r="HK448" s="119"/>
      <c r="HL448" s="119"/>
      <c r="HM448" s="119"/>
      <c r="HN448" s="119"/>
      <c r="HO448" s="119"/>
      <c r="HP448" s="119"/>
      <c r="HQ448" s="119"/>
      <c r="HR448" s="119"/>
      <c r="HS448" s="119"/>
      <c r="HT448" s="119"/>
      <c r="HU448" s="119"/>
      <c r="HV448" s="119"/>
      <c r="HW448" s="119"/>
      <c r="HX448" s="119"/>
      <c r="HY448" s="119"/>
      <c r="HZ448" s="119"/>
      <c r="IA448" s="119"/>
      <c r="IB448" s="119"/>
      <c r="IC448" s="119"/>
      <c r="ID448" s="119"/>
      <c r="IE448" s="119"/>
      <c r="IF448" s="119"/>
      <c r="IG448" s="119"/>
      <c r="IH448" s="119"/>
      <c r="II448" s="119"/>
      <c r="IJ448" s="119"/>
      <c r="IK448" s="119"/>
      <c r="IL448" s="119"/>
      <c r="IM448" s="119"/>
      <c r="IN448" s="119"/>
      <c r="IO448" s="119"/>
      <c r="IP448" s="119"/>
      <c r="IQ448" s="119"/>
      <c r="IR448" s="119"/>
      <c r="IS448" s="119"/>
      <c r="IT448" s="119"/>
      <c r="IU448" s="119"/>
      <c r="IV448" s="119"/>
      <c r="IW448" s="119"/>
      <c r="IX448" s="119"/>
      <c r="IY448" s="119"/>
      <c r="IZ448" s="119"/>
      <c r="JA448" s="119"/>
      <c r="JB448" s="119"/>
      <c r="JC448" s="119"/>
      <c r="JD448" s="119"/>
      <c r="JE448" s="119"/>
      <c r="JF448" s="119"/>
      <c r="JG448" s="119"/>
      <c r="JH448" s="119"/>
      <c r="JI448" s="119"/>
      <c r="JJ448" s="119"/>
      <c r="JK448" s="119"/>
      <c r="JL448" s="119"/>
      <c r="JM448" s="119"/>
      <c r="JN448" s="119"/>
      <c r="JO448" s="119"/>
      <c r="JP448" s="119"/>
      <c r="JQ448" s="119"/>
      <c r="JR448" s="119"/>
      <c r="JS448" s="119"/>
      <c r="JT448" s="119"/>
      <c r="JU448" s="119"/>
      <c r="JV448" s="119"/>
      <c r="JW448" s="119"/>
      <c r="JX448" s="119"/>
      <c r="JY448" s="119"/>
      <c r="JZ448" s="119"/>
      <c r="KA448" s="119"/>
      <c r="KB448" s="119"/>
      <c r="KC448" s="119"/>
      <c r="KD448" s="119"/>
      <c r="KE448" s="119"/>
      <c r="KF448" s="119"/>
      <c r="KG448" s="119"/>
      <c r="KH448" s="119"/>
      <c r="KI448" s="119"/>
      <c r="KJ448" s="119"/>
      <c r="KK448" s="119"/>
      <c r="KL448" s="119"/>
      <c r="KM448" s="119"/>
      <c r="KN448" s="119"/>
      <c r="KO448" s="119"/>
      <c r="KP448" s="119"/>
      <c r="KQ448" s="119"/>
      <c r="KR448" s="119"/>
      <c r="KS448" s="119"/>
      <c r="KT448" s="119"/>
      <c r="KU448" s="119"/>
      <c r="KV448" s="119"/>
      <c r="KW448" s="119"/>
      <c r="KX448" s="119"/>
      <c r="KY448" s="119"/>
      <c r="KZ448" s="119"/>
      <c r="LA448" s="119"/>
      <c r="LB448" s="119"/>
      <c r="LC448" s="119"/>
      <c r="LD448" s="119"/>
      <c r="LE448" s="119"/>
      <c r="LF448" s="119"/>
      <c r="LG448" s="119"/>
      <c r="LH448" s="119"/>
      <c r="LI448" s="119"/>
      <c r="LJ448" s="119"/>
      <c r="LK448" s="119"/>
      <c r="LL448" s="119"/>
      <c r="LM448" s="119"/>
      <c r="LN448" s="119"/>
      <c r="LO448" s="119"/>
      <c r="LP448" s="119"/>
      <c r="LQ448" s="119"/>
      <c r="LR448" s="119"/>
      <c r="LS448" s="119"/>
      <c r="LT448" s="119"/>
      <c r="LU448" s="119"/>
      <c r="LV448" s="119"/>
      <c r="LW448" s="119"/>
      <c r="LX448" s="119"/>
      <c r="LY448" s="119"/>
      <c r="LZ448" s="119"/>
      <c r="MA448" s="119"/>
      <c r="MB448" s="119"/>
      <c r="MC448" s="119"/>
      <c r="MD448" s="119"/>
      <c r="ME448" s="119"/>
      <c r="MF448" s="119"/>
      <c r="MG448" s="119"/>
      <c r="MH448" s="119"/>
      <c r="MI448" s="119"/>
      <c r="MJ448" s="119"/>
      <c r="MK448" s="119"/>
      <c r="ML448" s="119"/>
      <c r="MM448" s="119"/>
      <c r="MN448" s="119"/>
      <c r="MO448" s="119"/>
      <c r="MP448" s="119"/>
      <c r="MQ448" s="119"/>
      <c r="MR448" s="119"/>
      <c r="MS448" s="119"/>
      <c r="MT448" s="119"/>
      <c r="MU448" s="119"/>
      <c r="MV448" s="119"/>
      <c r="MW448" s="119"/>
      <c r="MX448" s="119"/>
      <c r="MY448" s="119"/>
      <c r="MZ448" s="119"/>
    </row>
    <row r="449" spans="1:364" s="27" customFormat="1" x14ac:dyDescent="0.25">
      <c r="A449" s="122"/>
      <c r="B449" s="122"/>
      <c r="C449" s="126"/>
      <c r="D449" s="128"/>
      <c r="E449" s="109" t="s">
        <v>493</v>
      </c>
      <c r="F449" s="131"/>
      <c r="G449" s="131"/>
      <c r="H449" s="106" t="s">
        <v>438</v>
      </c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19"/>
      <c r="T449" s="119"/>
      <c r="U449" s="119"/>
      <c r="V449" s="119"/>
      <c r="W449" s="119"/>
      <c r="X449" s="119"/>
      <c r="Y449" s="119"/>
      <c r="Z449" s="119"/>
      <c r="AA449" s="119"/>
      <c r="AB449" s="119"/>
      <c r="AC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9"/>
      <c r="AT449" s="119"/>
      <c r="AU449" s="119"/>
      <c r="AV449" s="119"/>
      <c r="AW449" s="119"/>
      <c r="AX449" s="119"/>
      <c r="AY449" s="119"/>
      <c r="AZ449" s="119"/>
      <c r="BA449" s="119"/>
      <c r="BB449" s="119"/>
      <c r="BC449" s="119"/>
      <c r="BD449" s="119"/>
      <c r="BE449" s="119"/>
      <c r="BF449" s="119"/>
      <c r="BG449" s="119"/>
      <c r="BH449" s="119"/>
      <c r="BI449" s="119"/>
      <c r="BJ449" s="119"/>
      <c r="BK449" s="119"/>
      <c r="BL449" s="26"/>
      <c r="BM449" s="119"/>
      <c r="BN449" s="119"/>
      <c r="BO449" s="119"/>
      <c r="BP449" s="119"/>
      <c r="BQ449" s="119"/>
      <c r="BR449" s="119"/>
      <c r="BS449" s="119"/>
      <c r="BT449" s="119"/>
      <c r="BU449" s="119"/>
      <c r="BV449" s="119"/>
      <c r="BW449" s="119"/>
      <c r="BX449" s="119"/>
      <c r="BY449" s="119"/>
      <c r="BZ449" s="119"/>
      <c r="CA449" s="119"/>
      <c r="CB449" s="119"/>
      <c r="CC449" s="119"/>
      <c r="CD449" s="119"/>
      <c r="CE449" s="119"/>
      <c r="CF449" s="119"/>
      <c r="CG449" s="119"/>
      <c r="CH449" s="119"/>
      <c r="CI449" s="119"/>
      <c r="CJ449" s="119"/>
      <c r="CK449" s="119"/>
      <c r="CL449" s="119"/>
      <c r="CM449" s="119"/>
      <c r="CN449" s="119"/>
      <c r="CO449" s="119"/>
      <c r="CP449" s="119"/>
      <c r="CQ449" s="119"/>
      <c r="CR449" s="119"/>
      <c r="CS449" s="119"/>
      <c r="CT449" s="119"/>
      <c r="CU449" s="119"/>
      <c r="CV449" s="119"/>
      <c r="CW449" s="119"/>
      <c r="CX449" s="119"/>
      <c r="CY449" s="119"/>
      <c r="CZ449" s="119"/>
      <c r="DA449" s="119"/>
      <c r="DB449" s="119"/>
      <c r="DC449" s="119"/>
      <c r="DD449" s="119"/>
      <c r="DE449" s="119"/>
      <c r="DF449" s="119"/>
      <c r="DG449" s="119"/>
      <c r="DH449" s="119"/>
      <c r="DI449" s="119"/>
      <c r="DJ449" s="119"/>
      <c r="DK449" s="119"/>
      <c r="DL449" s="119"/>
      <c r="DM449" s="119"/>
      <c r="DN449" s="119"/>
      <c r="DO449" s="119"/>
      <c r="DP449" s="119"/>
      <c r="DQ449" s="119"/>
      <c r="DR449" s="119"/>
      <c r="DS449" s="119"/>
      <c r="DT449" s="119"/>
      <c r="DU449" s="119"/>
      <c r="DV449" s="119"/>
      <c r="DW449" s="119"/>
      <c r="DX449" s="119"/>
      <c r="DY449" s="119"/>
      <c r="DZ449" s="119"/>
      <c r="EA449" s="119"/>
      <c r="EB449" s="119"/>
      <c r="EC449" s="119"/>
      <c r="ED449" s="119"/>
      <c r="EE449" s="119"/>
      <c r="EF449" s="119"/>
      <c r="EG449" s="119"/>
      <c r="EH449" s="119"/>
      <c r="EI449" s="119"/>
      <c r="EJ449" s="119"/>
      <c r="EK449" s="119"/>
      <c r="EL449" s="119"/>
      <c r="EM449" s="119"/>
      <c r="EN449" s="119"/>
      <c r="EO449" s="119"/>
      <c r="EP449" s="119"/>
      <c r="EQ449" s="119"/>
      <c r="ER449" s="119"/>
      <c r="ES449" s="119"/>
      <c r="ET449" s="119"/>
      <c r="EU449" s="119"/>
      <c r="EV449" s="119"/>
      <c r="EW449" s="119"/>
      <c r="EX449" s="119"/>
      <c r="EY449" s="119"/>
      <c r="EZ449" s="119"/>
      <c r="FA449" s="119"/>
      <c r="FB449" s="119"/>
      <c r="FC449" s="119"/>
      <c r="FD449" s="119"/>
      <c r="FE449" s="119"/>
      <c r="FF449" s="119"/>
      <c r="FG449" s="119"/>
      <c r="FH449" s="119"/>
      <c r="FI449" s="119"/>
      <c r="FJ449" s="119"/>
      <c r="FK449" s="119"/>
      <c r="FL449" s="119"/>
      <c r="FM449" s="119"/>
      <c r="FN449" s="119"/>
      <c r="FO449" s="119"/>
      <c r="FP449" s="119"/>
      <c r="FQ449" s="119"/>
      <c r="FR449" s="119"/>
      <c r="FS449" s="119"/>
      <c r="FT449" s="119"/>
      <c r="FU449" s="119"/>
      <c r="FV449" s="119"/>
      <c r="FW449" s="119"/>
      <c r="FX449" s="119"/>
      <c r="FY449" s="119"/>
      <c r="FZ449" s="119"/>
      <c r="GA449" s="119"/>
      <c r="GB449" s="119"/>
      <c r="GC449" s="119"/>
      <c r="GD449" s="119"/>
      <c r="GE449" s="119"/>
      <c r="GF449" s="119"/>
      <c r="GG449" s="119"/>
      <c r="GH449" s="119"/>
      <c r="GI449" s="119"/>
      <c r="GJ449" s="119"/>
      <c r="GK449" s="119"/>
      <c r="GL449" s="119"/>
      <c r="GM449" s="119"/>
      <c r="GN449" s="119"/>
      <c r="GO449" s="119"/>
      <c r="GP449" s="119"/>
      <c r="GQ449" s="119"/>
      <c r="GR449" s="119"/>
      <c r="GS449" s="119"/>
      <c r="GT449" s="119"/>
      <c r="GU449" s="119"/>
      <c r="GV449" s="119"/>
      <c r="GW449" s="119"/>
      <c r="GX449" s="119"/>
      <c r="GY449" s="119"/>
      <c r="GZ449" s="119"/>
      <c r="HA449" s="119"/>
      <c r="HB449" s="119"/>
      <c r="HC449" s="119"/>
      <c r="HD449" s="119"/>
      <c r="HE449" s="119"/>
      <c r="HF449" s="119"/>
      <c r="HG449" s="119"/>
      <c r="HH449" s="119"/>
      <c r="HI449" s="119"/>
      <c r="HJ449" s="119"/>
      <c r="HK449" s="119"/>
      <c r="HL449" s="119"/>
      <c r="HM449" s="119"/>
      <c r="HN449" s="119"/>
      <c r="HO449" s="119"/>
      <c r="HP449" s="119"/>
      <c r="HQ449" s="119"/>
      <c r="HR449" s="119"/>
      <c r="HS449" s="119"/>
      <c r="HT449" s="119"/>
      <c r="HU449" s="119"/>
      <c r="HV449" s="119"/>
      <c r="HW449" s="119"/>
      <c r="HX449" s="119"/>
      <c r="HY449" s="119"/>
      <c r="HZ449" s="119"/>
      <c r="IA449" s="119"/>
      <c r="IB449" s="119"/>
      <c r="IC449" s="119"/>
      <c r="ID449" s="119"/>
      <c r="IE449" s="119"/>
      <c r="IF449" s="119"/>
      <c r="IG449" s="119"/>
      <c r="IH449" s="119"/>
      <c r="II449" s="119"/>
      <c r="IJ449" s="119"/>
      <c r="IK449" s="119"/>
      <c r="IL449" s="119"/>
      <c r="IM449" s="119"/>
      <c r="IN449" s="119"/>
      <c r="IO449" s="119"/>
      <c r="IP449" s="119"/>
      <c r="IQ449" s="119"/>
      <c r="IR449" s="119"/>
      <c r="IS449" s="119"/>
      <c r="IT449" s="119"/>
      <c r="IU449" s="119"/>
      <c r="IV449" s="119"/>
      <c r="IW449" s="119"/>
      <c r="IX449" s="119"/>
      <c r="IY449" s="119"/>
      <c r="IZ449" s="119"/>
      <c r="JA449" s="119"/>
      <c r="JB449" s="119"/>
      <c r="JC449" s="119"/>
      <c r="JD449" s="119"/>
      <c r="JE449" s="119"/>
      <c r="JF449" s="119"/>
      <c r="JG449" s="119"/>
      <c r="JH449" s="119"/>
      <c r="JI449" s="119"/>
      <c r="JJ449" s="119"/>
      <c r="JK449" s="119"/>
      <c r="JL449" s="119"/>
      <c r="JM449" s="119"/>
      <c r="JN449" s="119"/>
      <c r="JO449" s="119"/>
      <c r="JP449" s="119"/>
      <c r="JQ449" s="119"/>
      <c r="JR449" s="119"/>
      <c r="JS449" s="119"/>
      <c r="JT449" s="119"/>
      <c r="JU449" s="119"/>
      <c r="JV449" s="119"/>
      <c r="JW449" s="119"/>
      <c r="JX449" s="119"/>
      <c r="JY449" s="119"/>
      <c r="JZ449" s="119"/>
      <c r="KA449" s="119"/>
      <c r="KB449" s="119"/>
      <c r="KC449" s="119"/>
      <c r="KD449" s="119"/>
      <c r="KE449" s="119"/>
      <c r="KF449" s="119"/>
      <c r="KG449" s="119"/>
      <c r="KH449" s="119"/>
      <c r="KI449" s="119"/>
      <c r="KJ449" s="119"/>
      <c r="KK449" s="119"/>
      <c r="KL449" s="119"/>
      <c r="KM449" s="119"/>
      <c r="KN449" s="119"/>
      <c r="KO449" s="119"/>
      <c r="KP449" s="119"/>
      <c r="KQ449" s="119"/>
      <c r="KR449" s="119"/>
      <c r="KS449" s="119"/>
      <c r="KT449" s="119"/>
      <c r="KU449" s="119"/>
      <c r="KV449" s="119"/>
      <c r="KW449" s="119"/>
      <c r="KX449" s="119"/>
      <c r="KY449" s="119"/>
      <c r="KZ449" s="119"/>
      <c r="LA449" s="119"/>
      <c r="LB449" s="119"/>
      <c r="LC449" s="119"/>
      <c r="LD449" s="119"/>
      <c r="LE449" s="119"/>
      <c r="LF449" s="119"/>
      <c r="LG449" s="119"/>
      <c r="LH449" s="119"/>
      <c r="LI449" s="119"/>
      <c r="LJ449" s="119"/>
      <c r="LK449" s="119"/>
      <c r="LL449" s="119"/>
      <c r="LM449" s="119"/>
      <c r="LN449" s="119"/>
      <c r="LO449" s="119"/>
      <c r="LP449" s="119"/>
      <c r="LQ449" s="119"/>
      <c r="LR449" s="119"/>
      <c r="LS449" s="119"/>
      <c r="LT449" s="119"/>
      <c r="LU449" s="119"/>
      <c r="LV449" s="119"/>
      <c r="LW449" s="119"/>
      <c r="LX449" s="119"/>
      <c r="LY449" s="119"/>
      <c r="LZ449" s="119"/>
      <c r="MA449" s="119"/>
      <c r="MB449" s="119"/>
      <c r="MC449" s="119"/>
      <c r="MD449" s="119"/>
      <c r="ME449" s="119"/>
      <c r="MF449" s="119"/>
      <c r="MG449" s="119"/>
      <c r="MH449" s="119"/>
      <c r="MI449" s="119"/>
      <c r="MJ449" s="119"/>
      <c r="MK449" s="119"/>
      <c r="ML449" s="119"/>
      <c r="MM449" s="119"/>
      <c r="MN449" s="119"/>
      <c r="MO449" s="119"/>
      <c r="MP449" s="119"/>
      <c r="MQ449" s="119"/>
      <c r="MR449" s="119"/>
      <c r="MS449" s="119"/>
      <c r="MT449" s="119"/>
      <c r="MU449" s="119"/>
      <c r="MV449" s="119"/>
      <c r="MW449" s="119"/>
      <c r="MX449" s="119"/>
      <c r="MY449" s="119"/>
      <c r="MZ449" s="119"/>
    </row>
    <row r="450" spans="1:364" s="27" customFormat="1" x14ac:dyDescent="0.25">
      <c r="A450" s="123"/>
      <c r="B450" s="123"/>
      <c r="C450" s="126"/>
      <c r="D450" s="129"/>
      <c r="E450" s="109"/>
      <c r="F450" s="131"/>
      <c r="G450" s="132"/>
      <c r="H450" s="114" t="s">
        <v>149</v>
      </c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19"/>
      <c r="T450" s="119"/>
      <c r="U450" s="119"/>
      <c r="V450" s="119"/>
      <c r="W450" s="119"/>
      <c r="X450" s="119"/>
      <c r="Y450" s="119"/>
      <c r="Z450" s="119"/>
      <c r="AA450" s="119"/>
      <c r="AB450" s="119"/>
      <c r="AC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9"/>
      <c r="AT450" s="119"/>
      <c r="AU450" s="119"/>
      <c r="AV450" s="119"/>
      <c r="AW450" s="119"/>
      <c r="AX450" s="119"/>
      <c r="AY450" s="119"/>
      <c r="AZ450" s="119"/>
      <c r="BA450" s="119"/>
      <c r="BB450" s="119"/>
      <c r="BC450" s="119"/>
      <c r="BD450" s="119"/>
      <c r="BE450" s="119"/>
      <c r="BF450" s="119"/>
      <c r="BG450" s="119"/>
      <c r="BH450" s="119"/>
      <c r="BI450" s="119"/>
      <c r="BJ450" s="119"/>
      <c r="BK450" s="119"/>
      <c r="BL450" s="26"/>
      <c r="BM450" s="119"/>
      <c r="BN450" s="119"/>
      <c r="BO450" s="119"/>
      <c r="BP450" s="119"/>
      <c r="BQ450" s="119"/>
      <c r="BR450" s="119"/>
      <c r="BS450" s="119"/>
      <c r="BT450" s="119"/>
      <c r="BU450" s="119"/>
      <c r="BV450" s="119"/>
      <c r="BW450" s="119"/>
      <c r="BX450" s="119"/>
      <c r="BY450" s="119"/>
      <c r="BZ450" s="119"/>
      <c r="CA450" s="119"/>
      <c r="CB450" s="119"/>
      <c r="CC450" s="119"/>
      <c r="CD450" s="119"/>
      <c r="CE450" s="119"/>
      <c r="CF450" s="119"/>
      <c r="CG450" s="119"/>
      <c r="CH450" s="119"/>
      <c r="CI450" s="119"/>
      <c r="CJ450" s="119"/>
      <c r="CK450" s="119"/>
      <c r="CL450" s="119"/>
      <c r="CM450" s="119"/>
      <c r="CN450" s="119"/>
      <c r="CO450" s="119"/>
      <c r="CP450" s="119"/>
      <c r="CQ450" s="119"/>
      <c r="CR450" s="119"/>
      <c r="CS450" s="119"/>
      <c r="CT450" s="119"/>
      <c r="CU450" s="119"/>
      <c r="CV450" s="119"/>
      <c r="CW450" s="119"/>
      <c r="CX450" s="119"/>
      <c r="CY450" s="119"/>
      <c r="CZ450" s="119"/>
      <c r="DA450" s="119"/>
      <c r="DB450" s="119"/>
      <c r="DC450" s="119"/>
      <c r="DD450" s="119"/>
      <c r="DE450" s="119"/>
      <c r="DF450" s="119"/>
      <c r="DG450" s="119"/>
      <c r="DH450" s="119"/>
      <c r="DI450" s="119"/>
      <c r="DJ450" s="119"/>
      <c r="DK450" s="119"/>
      <c r="DL450" s="119"/>
      <c r="DM450" s="119"/>
      <c r="DN450" s="119"/>
      <c r="DO450" s="119"/>
      <c r="DP450" s="119"/>
      <c r="DQ450" s="119"/>
      <c r="DR450" s="119"/>
      <c r="DS450" s="119"/>
      <c r="DT450" s="119"/>
      <c r="DU450" s="119"/>
      <c r="DV450" s="119"/>
      <c r="DW450" s="119"/>
      <c r="DX450" s="119"/>
      <c r="DY450" s="119"/>
      <c r="DZ450" s="119"/>
      <c r="EA450" s="119"/>
      <c r="EB450" s="119"/>
      <c r="EC450" s="119"/>
      <c r="ED450" s="119"/>
      <c r="EE450" s="119"/>
      <c r="EF450" s="119"/>
      <c r="EG450" s="119"/>
      <c r="EH450" s="119"/>
      <c r="EI450" s="119"/>
      <c r="EJ450" s="119"/>
      <c r="EK450" s="119"/>
      <c r="EL450" s="119"/>
      <c r="EM450" s="119"/>
      <c r="EN450" s="119"/>
      <c r="EO450" s="119"/>
      <c r="EP450" s="119"/>
      <c r="EQ450" s="119"/>
      <c r="ER450" s="119"/>
      <c r="ES450" s="119"/>
      <c r="ET450" s="119"/>
      <c r="EU450" s="119"/>
      <c r="EV450" s="119"/>
      <c r="EW450" s="119"/>
      <c r="EX450" s="119"/>
      <c r="EY450" s="119"/>
      <c r="EZ450" s="119"/>
      <c r="FA450" s="119"/>
      <c r="FB450" s="119"/>
      <c r="FC450" s="119"/>
      <c r="FD450" s="119"/>
      <c r="FE450" s="119"/>
      <c r="FF450" s="119"/>
      <c r="FG450" s="119"/>
      <c r="FH450" s="119"/>
      <c r="FI450" s="119"/>
      <c r="FJ450" s="119"/>
      <c r="FK450" s="119"/>
      <c r="FL450" s="119"/>
      <c r="FM450" s="119"/>
      <c r="FN450" s="119"/>
      <c r="FO450" s="119"/>
      <c r="FP450" s="119"/>
      <c r="FQ450" s="119"/>
      <c r="FR450" s="119"/>
      <c r="FS450" s="119"/>
      <c r="FT450" s="119"/>
      <c r="FU450" s="119"/>
      <c r="FV450" s="119"/>
      <c r="FW450" s="119"/>
      <c r="FX450" s="119"/>
      <c r="FY450" s="119"/>
      <c r="FZ450" s="119"/>
      <c r="GA450" s="119"/>
      <c r="GB450" s="119"/>
      <c r="GC450" s="119"/>
      <c r="GD450" s="119"/>
      <c r="GE450" s="119"/>
      <c r="GF450" s="119"/>
      <c r="GG450" s="119"/>
      <c r="GH450" s="119"/>
      <c r="GI450" s="119"/>
      <c r="GJ450" s="119"/>
      <c r="GK450" s="119"/>
      <c r="GL450" s="119"/>
      <c r="GM450" s="119"/>
      <c r="GN450" s="119"/>
      <c r="GO450" s="119"/>
      <c r="GP450" s="119"/>
      <c r="GQ450" s="119"/>
      <c r="GR450" s="119"/>
      <c r="GS450" s="119"/>
      <c r="GT450" s="119"/>
      <c r="GU450" s="119"/>
      <c r="GV450" s="119"/>
      <c r="GW450" s="119"/>
      <c r="GX450" s="119"/>
      <c r="GY450" s="119"/>
      <c r="GZ450" s="119"/>
      <c r="HA450" s="119"/>
      <c r="HB450" s="119"/>
      <c r="HC450" s="119"/>
      <c r="HD450" s="119"/>
      <c r="HE450" s="119"/>
      <c r="HF450" s="119"/>
      <c r="HG450" s="119"/>
      <c r="HH450" s="119"/>
      <c r="HI450" s="119"/>
      <c r="HJ450" s="119"/>
      <c r="HK450" s="119"/>
      <c r="HL450" s="119"/>
      <c r="HM450" s="119"/>
      <c r="HN450" s="119"/>
      <c r="HO450" s="119"/>
      <c r="HP450" s="119"/>
      <c r="HQ450" s="119"/>
      <c r="HR450" s="119"/>
      <c r="HS450" s="119"/>
      <c r="HT450" s="119"/>
      <c r="HU450" s="119"/>
      <c r="HV450" s="119"/>
      <c r="HW450" s="119"/>
      <c r="HX450" s="119"/>
      <c r="HY450" s="119"/>
      <c r="HZ450" s="119"/>
      <c r="IA450" s="119"/>
      <c r="IB450" s="119"/>
      <c r="IC450" s="119"/>
      <c r="ID450" s="119"/>
      <c r="IE450" s="119"/>
      <c r="IF450" s="119"/>
      <c r="IG450" s="119"/>
      <c r="IH450" s="119"/>
      <c r="II450" s="119"/>
      <c r="IJ450" s="119"/>
      <c r="IK450" s="119"/>
      <c r="IL450" s="119"/>
      <c r="IM450" s="119"/>
      <c r="IN450" s="119"/>
      <c r="IO450" s="119"/>
      <c r="IP450" s="119"/>
      <c r="IQ450" s="119"/>
      <c r="IR450" s="119"/>
      <c r="IS450" s="119"/>
      <c r="IT450" s="119"/>
      <c r="IU450" s="119"/>
      <c r="IV450" s="119"/>
      <c r="IW450" s="119"/>
      <c r="IX450" s="119"/>
      <c r="IY450" s="119"/>
      <c r="IZ450" s="119"/>
      <c r="JA450" s="119"/>
      <c r="JB450" s="119"/>
      <c r="JC450" s="119"/>
      <c r="JD450" s="119"/>
      <c r="JE450" s="119"/>
      <c r="JF450" s="119"/>
      <c r="JG450" s="119"/>
      <c r="JH450" s="119"/>
      <c r="JI450" s="119"/>
      <c r="JJ450" s="119"/>
      <c r="JK450" s="119"/>
      <c r="JL450" s="119"/>
      <c r="JM450" s="119"/>
      <c r="JN450" s="119"/>
      <c r="JO450" s="119"/>
      <c r="JP450" s="119"/>
      <c r="JQ450" s="119"/>
      <c r="JR450" s="119"/>
      <c r="JS450" s="119"/>
      <c r="JT450" s="119"/>
      <c r="JU450" s="119"/>
      <c r="JV450" s="119"/>
      <c r="JW450" s="119"/>
      <c r="JX450" s="119"/>
      <c r="JY450" s="119"/>
      <c r="JZ450" s="119"/>
      <c r="KA450" s="119"/>
      <c r="KB450" s="119"/>
      <c r="KC450" s="119"/>
      <c r="KD450" s="119"/>
      <c r="KE450" s="119"/>
      <c r="KF450" s="119"/>
      <c r="KG450" s="119"/>
      <c r="KH450" s="119"/>
      <c r="KI450" s="119"/>
      <c r="KJ450" s="119"/>
      <c r="KK450" s="119"/>
      <c r="KL450" s="119"/>
      <c r="KM450" s="119"/>
      <c r="KN450" s="119"/>
      <c r="KO450" s="119"/>
      <c r="KP450" s="119"/>
      <c r="KQ450" s="119"/>
      <c r="KR450" s="119"/>
      <c r="KS450" s="119"/>
      <c r="KT450" s="119"/>
      <c r="KU450" s="119"/>
      <c r="KV450" s="119"/>
      <c r="KW450" s="119"/>
      <c r="KX450" s="119"/>
      <c r="KY450" s="119"/>
      <c r="KZ450" s="119"/>
      <c r="LA450" s="119"/>
      <c r="LB450" s="119"/>
      <c r="LC450" s="119"/>
      <c r="LD450" s="119"/>
      <c r="LE450" s="119"/>
      <c r="LF450" s="119"/>
      <c r="LG450" s="119"/>
      <c r="LH450" s="119"/>
      <c r="LI450" s="119"/>
      <c r="LJ450" s="119"/>
      <c r="LK450" s="119"/>
      <c r="LL450" s="119"/>
      <c r="LM450" s="119"/>
      <c r="LN450" s="119"/>
      <c r="LO450" s="119"/>
      <c r="LP450" s="119"/>
      <c r="LQ450" s="119"/>
      <c r="LR450" s="119"/>
      <c r="LS450" s="119"/>
      <c r="LT450" s="119"/>
      <c r="LU450" s="119"/>
      <c r="LV450" s="119"/>
      <c r="LW450" s="119"/>
      <c r="LX450" s="119"/>
      <c r="LY450" s="119"/>
      <c r="LZ450" s="119"/>
      <c r="MA450" s="119"/>
      <c r="MB450" s="119"/>
      <c r="MC450" s="119"/>
      <c r="MD450" s="119"/>
      <c r="ME450" s="119"/>
      <c r="MF450" s="119"/>
      <c r="MG450" s="119"/>
      <c r="MH450" s="119"/>
      <c r="MI450" s="119"/>
      <c r="MJ450" s="119"/>
      <c r="MK450" s="119"/>
      <c r="ML450" s="119"/>
      <c r="MM450" s="119"/>
      <c r="MN450" s="119"/>
      <c r="MO450" s="119"/>
      <c r="MP450" s="119"/>
      <c r="MQ450" s="119"/>
      <c r="MR450" s="119"/>
      <c r="MS450" s="119"/>
      <c r="MT450" s="119"/>
      <c r="MU450" s="119"/>
      <c r="MV450" s="119"/>
      <c r="MW450" s="119"/>
      <c r="MX450" s="119"/>
      <c r="MY450" s="119"/>
      <c r="MZ450" s="119"/>
    </row>
    <row r="451" spans="1:364" s="27" customFormat="1" x14ac:dyDescent="0.25">
      <c r="A451" s="121"/>
      <c r="B451" s="124" t="e">
        <f>VLOOKUP(A451,Rules!$B$8:$C$154,2,0)</f>
        <v>#N/A</v>
      </c>
      <c r="C451" s="125">
        <f t="shared" ref="C451" si="12">SUM(I452:XX452)</f>
        <v>0</v>
      </c>
      <c r="D451" s="127"/>
      <c r="E451" s="110" t="s">
        <v>492</v>
      </c>
      <c r="F451" s="130" t="e">
        <f>VLOOKUP(A451,Table2[],10,0)</f>
        <v>#N/A</v>
      </c>
      <c r="G451" s="130"/>
      <c r="H451" s="113" t="s">
        <v>440</v>
      </c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9"/>
      <c r="T451" s="119"/>
      <c r="U451" s="119"/>
      <c r="V451" s="119"/>
      <c r="W451" s="119"/>
      <c r="X451" s="119"/>
      <c r="Y451" s="119"/>
      <c r="Z451" s="119"/>
      <c r="AA451" s="119"/>
      <c r="AB451" s="119"/>
      <c r="AC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9"/>
      <c r="AT451" s="119"/>
      <c r="AU451" s="119"/>
      <c r="AV451" s="119"/>
      <c r="AW451" s="119"/>
      <c r="AX451" s="119"/>
      <c r="AY451" s="119"/>
      <c r="AZ451" s="119"/>
      <c r="BA451" s="119"/>
      <c r="BB451" s="119"/>
      <c r="BC451" s="119"/>
      <c r="BD451" s="119"/>
      <c r="BE451" s="119"/>
      <c r="BF451" s="119"/>
      <c r="BG451" s="119"/>
      <c r="BH451" s="119"/>
      <c r="BI451" s="119"/>
      <c r="BJ451" s="119"/>
      <c r="BK451" s="119"/>
      <c r="BL451" s="26"/>
      <c r="BM451" s="119"/>
      <c r="BN451" s="26"/>
      <c r="BO451" s="119"/>
      <c r="BP451" s="119"/>
      <c r="BQ451" s="119"/>
      <c r="BR451" s="119"/>
      <c r="BS451" s="119"/>
      <c r="BT451" s="119"/>
      <c r="BU451" s="119"/>
      <c r="BV451" s="119"/>
      <c r="BW451" s="119"/>
      <c r="BX451" s="119"/>
      <c r="BY451" s="119"/>
      <c r="BZ451" s="119"/>
      <c r="CA451" s="119"/>
      <c r="CB451" s="119"/>
      <c r="CC451" s="119"/>
      <c r="CD451" s="119"/>
      <c r="CE451" s="119"/>
      <c r="CF451" s="119"/>
      <c r="CG451" s="119"/>
      <c r="CH451" s="119"/>
      <c r="CI451" s="119"/>
      <c r="CJ451" s="119"/>
      <c r="CK451" s="119"/>
      <c r="CL451" s="119"/>
      <c r="CM451" s="119"/>
      <c r="CN451" s="119"/>
      <c r="CO451" s="119"/>
      <c r="CP451" s="119"/>
      <c r="CQ451" s="119"/>
      <c r="CR451" s="119"/>
      <c r="CS451" s="119"/>
      <c r="CT451" s="119"/>
      <c r="CU451" s="119"/>
      <c r="CV451" s="119"/>
      <c r="CW451" s="119"/>
      <c r="CX451" s="119"/>
      <c r="CY451" s="119"/>
      <c r="CZ451" s="119"/>
      <c r="DA451" s="119"/>
      <c r="DB451" s="119"/>
      <c r="DC451" s="119"/>
      <c r="DD451" s="119"/>
      <c r="DE451" s="119"/>
      <c r="DF451" s="119"/>
      <c r="DG451" s="119"/>
      <c r="DH451" s="119"/>
      <c r="DI451" s="119"/>
      <c r="DJ451" s="119"/>
      <c r="DK451" s="119"/>
      <c r="DL451" s="119"/>
      <c r="DM451" s="119"/>
      <c r="DN451" s="119"/>
      <c r="DO451" s="119"/>
      <c r="DP451" s="119"/>
      <c r="DQ451" s="119"/>
      <c r="DR451" s="119"/>
      <c r="DS451" s="119"/>
      <c r="DT451" s="119"/>
      <c r="DU451" s="119"/>
      <c r="DV451" s="119"/>
      <c r="DW451" s="119"/>
      <c r="DX451" s="119"/>
      <c r="DY451" s="119"/>
      <c r="DZ451" s="119"/>
      <c r="EA451" s="119"/>
      <c r="EB451" s="119"/>
      <c r="EC451" s="119"/>
      <c r="ED451" s="119"/>
      <c r="EE451" s="119"/>
      <c r="EF451" s="119"/>
      <c r="EG451" s="119"/>
      <c r="EH451" s="119"/>
      <c r="EI451" s="119"/>
      <c r="EJ451" s="119"/>
      <c r="EK451" s="119"/>
      <c r="EL451" s="119"/>
      <c r="EM451" s="119"/>
      <c r="EN451" s="119"/>
      <c r="EO451" s="119"/>
      <c r="EP451" s="119"/>
      <c r="EQ451" s="119"/>
      <c r="ER451" s="119"/>
      <c r="ES451" s="119"/>
      <c r="ET451" s="119"/>
      <c r="EU451" s="119"/>
      <c r="EV451" s="119"/>
      <c r="EW451" s="119"/>
      <c r="EX451" s="119"/>
      <c r="EY451" s="119"/>
      <c r="EZ451" s="119"/>
      <c r="FA451" s="119"/>
      <c r="FB451" s="119"/>
      <c r="FC451" s="119"/>
      <c r="FD451" s="119"/>
      <c r="FE451" s="119"/>
      <c r="FF451" s="119"/>
      <c r="FG451" s="119"/>
      <c r="FH451" s="119"/>
      <c r="FI451" s="119"/>
      <c r="FJ451" s="119"/>
      <c r="FK451" s="119"/>
      <c r="FL451" s="119"/>
      <c r="FM451" s="119"/>
      <c r="FN451" s="119"/>
      <c r="FO451" s="119"/>
      <c r="FP451" s="119"/>
      <c r="FQ451" s="119"/>
      <c r="FR451" s="119"/>
      <c r="FS451" s="119"/>
      <c r="FT451" s="119"/>
      <c r="FU451" s="119"/>
      <c r="FV451" s="119"/>
      <c r="FW451" s="119"/>
      <c r="FX451" s="119"/>
      <c r="FY451" s="119"/>
      <c r="FZ451" s="119"/>
      <c r="GA451" s="119"/>
      <c r="GB451" s="119"/>
      <c r="GC451" s="119"/>
      <c r="GD451" s="119"/>
      <c r="GE451" s="119"/>
      <c r="GF451" s="119"/>
      <c r="GG451" s="119"/>
      <c r="GH451" s="119"/>
      <c r="GI451" s="119"/>
      <c r="GJ451" s="119"/>
      <c r="GK451" s="119"/>
      <c r="GL451" s="119"/>
      <c r="GM451" s="119"/>
      <c r="GN451" s="119"/>
      <c r="GO451" s="119"/>
      <c r="GP451" s="119"/>
      <c r="GQ451" s="119"/>
      <c r="GR451" s="119"/>
      <c r="GS451" s="119"/>
      <c r="GT451" s="119"/>
      <c r="GU451" s="119"/>
      <c r="GV451" s="119"/>
      <c r="GW451" s="119"/>
      <c r="GX451" s="119"/>
      <c r="GY451" s="119"/>
      <c r="GZ451" s="119"/>
      <c r="HA451" s="119"/>
      <c r="HB451" s="119"/>
      <c r="HC451" s="119"/>
      <c r="HD451" s="119"/>
      <c r="HE451" s="119"/>
      <c r="HF451" s="119"/>
      <c r="HG451" s="119"/>
      <c r="HH451" s="119"/>
      <c r="HI451" s="119"/>
      <c r="HJ451" s="119"/>
      <c r="HK451" s="119"/>
      <c r="HL451" s="119"/>
      <c r="HM451" s="119"/>
      <c r="HN451" s="119"/>
      <c r="HO451" s="119"/>
      <c r="HP451" s="119"/>
      <c r="HQ451" s="119"/>
      <c r="HR451" s="119"/>
      <c r="HS451" s="119"/>
      <c r="HT451" s="119"/>
      <c r="HU451" s="119"/>
      <c r="HV451" s="119"/>
      <c r="HW451" s="119"/>
      <c r="HX451" s="119"/>
      <c r="HY451" s="119"/>
      <c r="HZ451" s="119"/>
      <c r="IA451" s="119"/>
      <c r="IB451" s="119"/>
      <c r="IC451" s="119"/>
      <c r="ID451" s="119"/>
      <c r="IE451" s="119"/>
      <c r="IF451" s="119"/>
      <c r="IG451" s="119"/>
      <c r="IH451" s="119"/>
      <c r="II451" s="119"/>
      <c r="IJ451" s="119"/>
      <c r="IK451" s="119"/>
      <c r="IL451" s="119"/>
      <c r="IM451" s="119"/>
      <c r="IN451" s="119"/>
      <c r="IO451" s="119"/>
      <c r="IP451" s="119"/>
      <c r="IQ451" s="119"/>
      <c r="IR451" s="119"/>
      <c r="IS451" s="119"/>
      <c r="IT451" s="119"/>
      <c r="IU451" s="119"/>
      <c r="IV451" s="119"/>
      <c r="IW451" s="119"/>
      <c r="IX451" s="119"/>
      <c r="IY451" s="119"/>
      <c r="IZ451" s="119"/>
      <c r="JA451" s="119"/>
      <c r="JB451" s="119"/>
      <c r="JC451" s="119"/>
      <c r="JD451" s="119"/>
      <c r="JE451" s="119"/>
      <c r="JF451" s="119"/>
      <c r="JG451" s="119"/>
      <c r="JH451" s="119"/>
      <c r="JI451" s="119"/>
      <c r="JJ451" s="119"/>
      <c r="JK451" s="119"/>
      <c r="JL451" s="119"/>
      <c r="JM451" s="119"/>
      <c r="JN451" s="119"/>
      <c r="JO451" s="119"/>
      <c r="JP451" s="119"/>
      <c r="JQ451" s="119"/>
      <c r="JR451" s="119"/>
      <c r="JS451" s="119"/>
      <c r="JT451" s="119"/>
      <c r="JU451" s="119"/>
      <c r="JV451" s="119"/>
      <c r="JW451" s="119"/>
      <c r="JX451" s="119"/>
      <c r="JY451" s="119"/>
      <c r="JZ451" s="119"/>
      <c r="KA451" s="119"/>
      <c r="KB451" s="119"/>
      <c r="KC451" s="119"/>
      <c r="KD451" s="119"/>
      <c r="KE451" s="119"/>
      <c r="KF451" s="119"/>
      <c r="KG451" s="119"/>
      <c r="KH451" s="119"/>
      <c r="KI451" s="119"/>
      <c r="KJ451" s="119"/>
      <c r="KK451" s="119"/>
      <c r="KL451" s="119"/>
      <c r="KM451" s="119"/>
      <c r="KN451" s="119"/>
      <c r="KO451" s="119"/>
      <c r="KP451" s="119"/>
      <c r="KQ451" s="119"/>
      <c r="KR451" s="119"/>
      <c r="KS451" s="119"/>
      <c r="KT451" s="119"/>
      <c r="KU451" s="119"/>
      <c r="KV451" s="119"/>
      <c r="KW451" s="119"/>
      <c r="KX451" s="119"/>
      <c r="KY451" s="119"/>
      <c r="KZ451" s="119"/>
      <c r="LA451" s="119"/>
      <c r="LB451" s="119"/>
      <c r="LC451" s="119"/>
      <c r="LD451" s="119"/>
      <c r="LE451" s="119"/>
      <c r="LF451" s="119"/>
      <c r="LG451" s="119"/>
      <c r="LH451" s="119"/>
      <c r="LI451" s="119"/>
      <c r="LJ451" s="119"/>
      <c r="LK451" s="119"/>
      <c r="LL451" s="119"/>
      <c r="LM451" s="119"/>
      <c r="LN451" s="119"/>
      <c r="LO451" s="119"/>
      <c r="LP451" s="119"/>
      <c r="LQ451" s="119"/>
      <c r="LR451" s="119"/>
      <c r="LS451" s="119"/>
      <c r="LT451" s="119"/>
      <c r="LU451" s="119"/>
      <c r="LV451" s="119"/>
      <c r="LW451" s="119"/>
      <c r="LX451" s="119"/>
      <c r="LY451" s="119"/>
      <c r="LZ451" s="119"/>
      <c r="MA451" s="119"/>
      <c r="MB451" s="119"/>
      <c r="MC451" s="119"/>
      <c r="MD451" s="119"/>
      <c r="ME451" s="119"/>
      <c r="MF451" s="119"/>
      <c r="MG451" s="119"/>
      <c r="MH451" s="119"/>
      <c r="MI451" s="119"/>
      <c r="MJ451" s="119"/>
      <c r="MK451" s="119"/>
      <c r="ML451" s="119"/>
      <c r="MM451" s="119"/>
      <c r="MN451" s="119"/>
      <c r="MO451" s="119"/>
      <c r="MP451" s="119"/>
      <c r="MQ451" s="119"/>
      <c r="MR451" s="119"/>
      <c r="MS451" s="119"/>
      <c r="MT451" s="119"/>
      <c r="MU451" s="119"/>
      <c r="MV451" s="119"/>
      <c r="MW451" s="119"/>
      <c r="MX451" s="119"/>
      <c r="MY451" s="119"/>
      <c r="MZ451" s="119"/>
    </row>
    <row r="452" spans="1:364" s="27" customFormat="1" x14ac:dyDescent="0.25">
      <c r="A452" s="122"/>
      <c r="B452" s="122"/>
      <c r="C452" s="126"/>
      <c r="D452" s="128"/>
      <c r="E452" s="109"/>
      <c r="F452" s="131"/>
      <c r="G452" s="131"/>
      <c r="H452" s="105" t="s">
        <v>439</v>
      </c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9"/>
      <c r="T452" s="119"/>
      <c r="U452" s="119"/>
      <c r="V452" s="119"/>
      <c r="W452" s="119"/>
      <c r="X452" s="119"/>
      <c r="Y452" s="119"/>
      <c r="Z452" s="119"/>
      <c r="AA452" s="119"/>
      <c r="AB452" s="119"/>
      <c r="AC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9"/>
      <c r="AT452" s="119"/>
      <c r="AU452" s="119"/>
      <c r="AV452" s="119"/>
      <c r="AW452" s="119"/>
      <c r="AX452" s="119"/>
      <c r="AY452" s="119"/>
      <c r="AZ452" s="119"/>
      <c r="BA452" s="119"/>
      <c r="BB452" s="119"/>
      <c r="BC452" s="119"/>
      <c r="BD452" s="119"/>
      <c r="BE452" s="119"/>
      <c r="BF452" s="119"/>
      <c r="BG452" s="119"/>
      <c r="BH452" s="119"/>
      <c r="BI452" s="119"/>
      <c r="BJ452" s="119"/>
      <c r="BK452" s="119"/>
      <c r="BL452" s="26"/>
      <c r="BM452" s="119"/>
      <c r="BN452" s="26"/>
      <c r="BO452" s="119"/>
      <c r="BP452" s="119"/>
      <c r="BQ452" s="119"/>
      <c r="BR452" s="119"/>
      <c r="BS452" s="119"/>
      <c r="BT452" s="119"/>
      <c r="BU452" s="119"/>
      <c r="BV452" s="119"/>
      <c r="BW452" s="119"/>
      <c r="BX452" s="119"/>
      <c r="BY452" s="119"/>
      <c r="BZ452" s="119"/>
      <c r="CA452" s="119"/>
      <c r="CB452" s="119"/>
      <c r="CC452" s="119"/>
      <c r="CD452" s="119"/>
      <c r="CE452" s="119"/>
      <c r="CF452" s="119"/>
      <c r="CG452" s="119"/>
      <c r="CH452" s="119"/>
      <c r="CI452" s="119"/>
      <c r="CJ452" s="119"/>
      <c r="CK452" s="119"/>
      <c r="CL452" s="119"/>
      <c r="CM452" s="119"/>
      <c r="CN452" s="119"/>
      <c r="CO452" s="119"/>
      <c r="CP452" s="119"/>
      <c r="CQ452" s="119"/>
      <c r="CR452" s="119"/>
      <c r="CS452" s="119"/>
      <c r="CT452" s="119"/>
      <c r="CU452" s="119"/>
      <c r="CV452" s="119"/>
      <c r="CW452" s="119"/>
      <c r="CX452" s="119"/>
      <c r="CY452" s="119"/>
      <c r="CZ452" s="119"/>
      <c r="DA452" s="119"/>
      <c r="DB452" s="119"/>
      <c r="DC452" s="119"/>
      <c r="DD452" s="119"/>
      <c r="DE452" s="119"/>
      <c r="DF452" s="119"/>
      <c r="DG452" s="119"/>
      <c r="DH452" s="119"/>
      <c r="DI452" s="119"/>
      <c r="DJ452" s="119"/>
      <c r="DK452" s="119"/>
      <c r="DL452" s="119"/>
      <c r="DM452" s="119"/>
      <c r="DN452" s="119"/>
      <c r="DO452" s="119"/>
      <c r="DP452" s="119"/>
      <c r="DQ452" s="119"/>
      <c r="DR452" s="119"/>
      <c r="DS452" s="119"/>
      <c r="DT452" s="119"/>
      <c r="DU452" s="119"/>
      <c r="DV452" s="119"/>
      <c r="DW452" s="119"/>
      <c r="DX452" s="119"/>
      <c r="DY452" s="119"/>
      <c r="DZ452" s="119"/>
      <c r="EA452" s="119"/>
      <c r="EB452" s="119"/>
      <c r="EC452" s="119"/>
      <c r="ED452" s="119"/>
      <c r="EE452" s="119"/>
      <c r="EF452" s="119"/>
      <c r="EG452" s="119"/>
      <c r="EH452" s="119"/>
      <c r="EI452" s="119"/>
      <c r="EJ452" s="119"/>
      <c r="EK452" s="119"/>
      <c r="EL452" s="119"/>
      <c r="EM452" s="119"/>
      <c r="EN452" s="119"/>
      <c r="EO452" s="119"/>
      <c r="EP452" s="119"/>
      <c r="EQ452" s="119"/>
      <c r="ER452" s="119"/>
      <c r="ES452" s="119"/>
      <c r="ET452" s="119"/>
      <c r="EU452" s="119"/>
      <c r="EV452" s="119"/>
      <c r="EW452" s="119"/>
      <c r="EX452" s="119"/>
      <c r="EY452" s="119"/>
      <c r="EZ452" s="119"/>
      <c r="FA452" s="119"/>
      <c r="FB452" s="119"/>
      <c r="FC452" s="119"/>
      <c r="FD452" s="119"/>
      <c r="FE452" s="119"/>
      <c r="FF452" s="119"/>
      <c r="FG452" s="119"/>
      <c r="FH452" s="119"/>
      <c r="FI452" s="119"/>
      <c r="FJ452" s="119"/>
      <c r="FK452" s="119"/>
      <c r="FL452" s="119"/>
      <c r="FM452" s="119"/>
      <c r="FN452" s="119"/>
      <c r="FO452" s="119"/>
      <c r="FP452" s="119"/>
      <c r="FQ452" s="119"/>
      <c r="FR452" s="119"/>
      <c r="FS452" s="119"/>
      <c r="FT452" s="119"/>
      <c r="FU452" s="119"/>
      <c r="FV452" s="119"/>
      <c r="FW452" s="119"/>
      <c r="FX452" s="119"/>
      <c r="FY452" s="119"/>
      <c r="FZ452" s="119"/>
      <c r="GA452" s="119"/>
      <c r="GB452" s="119"/>
      <c r="GC452" s="119"/>
      <c r="GD452" s="119"/>
      <c r="GE452" s="119"/>
      <c r="GF452" s="119"/>
      <c r="GG452" s="119"/>
      <c r="GH452" s="119"/>
      <c r="GI452" s="119"/>
      <c r="GJ452" s="119"/>
      <c r="GK452" s="119"/>
      <c r="GL452" s="119"/>
      <c r="GM452" s="119"/>
      <c r="GN452" s="119"/>
      <c r="GO452" s="119"/>
      <c r="GP452" s="119"/>
      <c r="GQ452" s="119"/>
      <c r="GR452" s="119"/>
      <c r="GS452" s="119"/>
      <c r="GT452" s="119"/>
      <c r="GU452" s="119"/>
      <c r="GV452" s="119"/>
      <c r="GW452" s="119"/>
      <c r="GX452" s="119"/>
      <c r="GY452" s="119"/>
      <c r="GZ452" s="119"/>
      <c r="HA452" s="119"/>
      <c r="HB452" s="119"/>
      <c r="HC452" s="119"/>
      <c r="HD452" s="119"/>
      <c r="HE452" s="119"/>
      <c r="HF452" s="119"/>
      <c r="HG452" s="119"/>
      <c r="HH452" s="119"/>
      <c r="HI452" s="119"/>
      <c r="HJ452" s="119"/>
      <c r="HK452" s="119"/>
      <c r="HL452" s="119"/>
      <c r="HM452" s="119"/>
      <c r="HN452" s="119"/>
      <c r="HO452" s="119"/>
      <c r="HP452" s="119"/>
      <c r="HQ452" s="119"/>
      <c r="HR452" s="119"/>
      <c r="HS452" s="119"/>
      <c r="HT452" s="119"/>
      <c r="HU452" s="119"/>
      <c r="HV452" s="119"/>
      <c r="HW452" s="119"/>
      <c r="HX452" s="119"/>
      <c r="HY452" s="119"/>
      <c r="HZ452" s="119"/>
      <c r="IA452" s="119"/>
      <c r="IB452" s="119"/>
      <c r="IC452" s="119"/>
      <c r="ID452" s="119"/>
      <c r="IE452" s="119"/>
      <c r="IF452" s="119"/>
      <c r="IG452" s="119"/>
      <c r="IH452" s="119"/>
      <c r="II452" s="119"/>
      <c r="IJ452" s="119"/>
      <c r="IK452" s="119"/>
      <c r="IL452" s="119"/>
      <c r="IM452" s="119"/>
      <c r="IN452" s="119"/>
      <c r="IO452" s="119"/>
      <c r="IP452" s="119"/>
      <c r="IQ452" s="119"/>
      <c r="IR452" s="119"/>
      <c r="IS452" s="119"/>
      <c r="IT452" s="119"/>
      <c r="IU452" s="119"/>
      <c r="IV452" s="119"/>
      <c r="IW452" s="119"/>
      <c r="IX452" s="119"/>
      <c r="IY452" s="119"/>
      <c r="IZ452" s="119"/>
      <c r="JA452" s="119"/>
      <c r="JB452" s="119"/>
      <c r="JC452" s="119"/>
      <c r="JD452" s="119"/>
      <c r="JE452" s="119"/>
      <c r="JF452" s="119"/>
      <c r="JG452" s="119"/>
      <c r="JH452" s="119"/>
      <c r="JI452" s="119"/>
      <c r="JJ452" s="119"/>
      <c r="JK452" s="119"/>
      <c r="JL452" s="119"/>
      <c r="JM452" s="119"/>
      <c r="JN452" s="119"/>
      <c r="JO452" s="119"/>
      <c r="JP452" s="119"/>
      <c r="JQ452" s="119"/>
      <c r="JR452" s="119"/>
      <c r="JS452" s="119"/>
      <c r="JT452" s="119"/>
      <c r="JU452" s="119"/>
      <c r="JV452" s="119"/>
      <c r="JW452" s="119"/>
      <c r="JX452" s="119"/>
      <c r="JY452" s="119"/>
      <c r="JZ452" s="119"/>
      <c r="KA452" s="119"/>
      <c r="KB452" s="119"/>
      <c r="KC452" s="119"/>
      <c r="KD452" s="119"/>
      <c r="KE452" s="119"/>
      <c r="KF452" s="119"/>
      <c r="KG452" s="119"/>
      <c r="KH452" s="119"/>
      <c r="KI452" s="119"/>
      <c r="KJ452" s="119"/>
      <c r="KK452" s="119"/>
      <c r="KL452" s="119"/>
      <c r="KM452" s="119"/>
      <c r="KN452" s="119"/>
      <c r="KO452" s="119"/>
      <c r="KP452" s="119"/>
      <c r="KQ452" s="119"/>
      <c r="KR452" s="119"/>
      <c r="KS452" s="119"/>
      <c r="KT452" s="119"/>
      <c r="KU452" s="119"/>
      <c r="KV452" s="119"/>
      <c r="KW452" s="119"/>
      <c r="KX452" s="119"/>
      <c r="KY452" s="119"/>
      <c r="KZ452" s="119"/>
      <c r="LA452" s="119"/>
      <c r="LB452" s="119"/>
      <c r="LC452" s="119"/>
      <c r="LD452" s="119"/>
      <c r="LE452" s="119"/>
      <c r="LF452" s="119"/>
      <c r="LG452" s="119"/>
      <c r="LH452" s="119"/>
      <c r="LI452" s="119"/>
      <c r="LJ452" s="119"/>
      <c r="LK452" s="119"/>
      <c r="LL452" s="119"/>
      <c r="LM452" s="119"/>
      <c r="LN452" s="119"/>
      <c r="LO452" s="119"/>
      <c r="LP452" s="119"/>
      <c r="LQ452" s="119"/>
      <c r="LR452" s="119"/>
      <c r="LS452" s="119"/>
      <c r="LT452" s="119"/>
      <c r="LU452" s="119"/>
      <c r="LV452" s="119"/>
      <c r="LW452" s="119"/>
      <c r="LX452" s="119"/>
      <c r="LY452" s="119"/>
      <c r="LZ452" s="119"/>
      <c r="MA452" s="119"/>
      <c r="MB452" s="119"/>
      <c r="MC452" s="119"/>
      <c r="MD452" s="119"/>
      <c r="ME452" s="119"/>
      <c r="MF452" s="119"/>
      <c r="MG452" s="119"/>
      <c r="MH452" s="119"/>
      <c r="MI452" s="119"/>
      <c r="MJ452" s="119"/>
      <c r="MK452" s="119"/>
      <c r="ML452" s="119"/>
      <c r="MM452" s="119"/>
      <c r="MN452" s="119"/>
      <c r="MO452" s="119"/>
      <c r="MP452" s="119"/>
      <c r="MQ452" s="119"/>
      <c r="MR452" s="119"/>
      <c r="MS452" s="119"/>
      <c r="MT452" s="119"/>
      <c r="MU452" s="119"/>
      <c r="MV452" s="119"/>
      <c r="MW452" s="119"/>
      <c r="MX452" s="119"/>
      <c r="MY452" s="119"/>
      <c r="MZ452" s="119"/>
    </row>
    <row r="453" spans="1:364" s="27" customFormat="1" x14ac:dyDescent="0.25">
      <c r="A453" s="122"/>
      <c r="B453" s="122"/>
      <c r="C453" s="126"/>
      <c r="D453" s="128"/>
      <c r="E453" s="109" t="s">
        <v>493</v>
      </c>
      <c r="F453" s="131"/>
      <c r="G453" s="131"/>
      <c r="H453" s="106" t="s">
        <v>438</v>
      </c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19"/>
      <c r="T453" s="119"/>
      <c r="U453" s="119"/>
      <c r="V453" s="119"/>
      <c r="W453" s="119"/>
      <c r="X453" s="119"/>
      <c r="Y453" s="119"/>
      <c r="Z453" s="119"/>
      <c r="AA453" s="119"/>
      <c r="AB453" s="119"/>
      <c r="AC453" s="119"/>
      <c r="AD453" s="119"/>
      <c r="AE453" s="119"/>
      <c r="AF453" s="119"/>
      <c r="AG453" s="119"/>
      <c r="AH453" s="119"/>
      <c r="AI453" s="119"/>
      <c r="AJ453" s="119"/>
      <c r="AK453" s="119"/>
      <c r="AL453" s="119"/>
      <c r="AM453" s="119"/>
      <c r="AN453" s="119"/>
      <c r="AO453" s="119"/>
      <c r="AP453" s="119"/>
      <c r="AQ453" s="119"/>
      <c r="AR453" s="119"/>
      <c r="AS453" s="119"/>
      <c r="AT453" s="119"/>
      <c r="AU453" s="119"/>
      <c r="AV453" s="119"/>
      <c r="AW453" s="119"/>
      <c r="AX453" s="119"/>
      <c r="AY453" s="119"/>
      <c r="AZ453" s="119"/>
      <c r="BA453" s="119"/>
      <c r="BB453" s="119"/>
      <c r="BC453" s="119"/>
      <c r="BD453" s="119"/>
      <c r="BE453" s="119"/>
      <c r="BF453" s="119"/>
      <c r="BG453" s="119"/>
      <c r="BH453" s="119"/>
      <c r="BI453" s="119"/>
      <c r="BJ453" s="119"/>
      <c r="BK453" s="119"/>
      <c r="BL453" s="26"/>
      <c r="BM453" s="119"/>
      <c r="BN453" s="119"/>
      <c r="BO453" s="119"/>
      <c r="BP453" s="119"/>
      <c r="BQ453" s="119"/>
      <c r="BR453" s="119"/>
      <c r="BS453" s="119"/>
      <c r="BT453" s="119"/>
      <c r="BU453" s="119"/>
      <c r="BV453" s="119"/>
      <c r="BW453" s="119"/>
      <c r="BX453" s="119"/>
      <c r="BY453" s="119"/>
      <c r="BZ453" s="119"/>
      <c r="CA453" s="119"/>
      <c r="CB453" s="119"/>
      <c r="CC453" s="119"/>
      <c r="CD453" s="119"/>
      <c r="CE453" s="119"/>
      <c r="CF453" s="119"/>
      <c r="CG453" s="119"/>
      <c r="CH453" s="119"/>
      <c r="CI453" s="119"/>
      <c r="CJ453" s="119"/>
      <c r="CK453" s="119"/>
      <c r="CL453" s="119"/>
      <c r="CM453" s="119"/>
      <c r="CN453" s="119"/>
      <c r="CO453" s="119"/>
      <c r="CP453" s="119"/>
      <c r="CQ453" s="119"/>
      <c r="CR453" s="119"/>
      <c r="CS453" s="119"/>
      <c r="CT453" s="119"/>
      <c r="CU453" s="119"/>
      <c r="CV453" s="119"/>
      <c r="CW453" s="119"/>
      <c r="CX453" s="119"/>
      <c r="CY453" s="119"/>
      <c r="CZ453" s="119"/>
      <c r="DA453" s="119"/>
      <c r="DB453" s="119"/>
      <c r="DC453" s="119"/>
      <c r="DD453" s="119"/>
      <c r="DE453" s="119"/>
      <c r="DF453" s="119"/>
      <c r="DG453" s="119"/>
      <c r="DH453" s="119"/>
      <c r="DI453" s="119"/>
      <c r="DJ453" s="119"/>
      <c r="DK453" s="119"/>
      <c r="DL453" s="119"/>
      <c r="DM453" s="119"/>
      <c r="DN453" s="119"/>
      <c r="DO453" s="119"/>
      <c r="DP453" s="119"/>
      <c r="DQ453" s="119"/>
      <c r="DR453" s="119"/>
      <c r="DS453" s="119"/>
      <c r="DT453" s="119"/>
      <c r="DU453" s="119"/>
      <c r="DV453" s="119"/>
      <c r="DW453" s="119"/>
      <c r="DX453" s="119"/>
      <c r="DY453" s="119"/>
      <c r="DZ453" s="119"/>
      <c r="EA453" s="119"/>
      <c r="EB453" s="119"/>
      <c r="EC453" s="119"/>
      <c r="ED453" s="119"/>
      <c r="EE453" s="119"/>
      <c r="EF453" s="119"/>
      <c r="EG453" s="119"/>
      <c r="EH453" s="119"/>
      <c r="EI453" s="119"/>
      <c r="EJ453" s="119"/>
      <c r="EK453" s="119"/>
      <c r="EL453" s="119"/>
      <c r="EM453" s="119"/>
      <c r="EN453" s="119"/>
      <c r="EO453" s="119"/>
      <c r="EP453" s="119"/>
      <c r="EQ453" s="119"/>
      <c r="ER453" s="119"/>
      <c r="ES453" s="119"/>
      <c r="ET453" s="119"/>
      <c r="EU453" s="119"/>
      <c r="EV453" s="119"/>
      <c r="EW453" s="119"/>
      <c r="EX453" s="119"/>
      <c r="EY453" s="119"/>
      <c r="EZ453" s="119"/>
      <c r="FA453" s="119"/>
      <c r="FB453" s="119"/>
      <c r="FC453" s="119"/>
      <c r="FD453" s="119"/>
      <c r="FE453" s="119"/>
      <c r="FF453" s="119"/>
      <c r="FG453" s="119"/>
      <c r="FH453" s="119"/>
      <c r="FI453" s="119"/>
      <c r="FJ453" s="119"/>
      <c r="FK453" s="119"/>
      <c r="FL453" s="119"/>
      <c r="FM453" s="119"/>
      <c r="FN453" s="119"/>
      <c r="FO453" s="119"/>
      <c r="FP453" s="119"/>
      <c r="FQ453" s="119"/>
      <c r="FR453" s="119"/>
      <c r="FS453" s="119"/>
      <c r="FT453" s="119"/>
      <c r="FU453" s="119"/>
      <c r="FV453" s="119"/>
      <c r="FW453" s="119"/>
      <c r="FX453" s="119"/>
      <c r="FY453" s="119"/>
      <c r="FZ453" s="119"/>
      <c r="GA453" s="119"/>
      <c r="GB453" s="119"/>
      <c r="GC453" s="119"/>
      <c r="GD453" s="119"/>
      <c r="GE453" s="119"/>
      <c r="GF453" s="119"/>
      <c r="GG453" s="119"/>
      <c r="GH453" s="119"/>
      <c r="GI453" s="119"/>
      <c r="GJ453" s="119"/>
      <c r="GK453" s="119"/>
      <c r="GL453" s="119"/>
      <c r="GM453" s="119"/>
      <c r="GN453" s="119"/>
      <c r="GO453" s="119"/>
      <c r="GP453" s="119"/>
      <c r="GQ453" s="119"/>
      <c r="GR453" s="119"/>
      <c r="GS453" s="119"/>
      <c r="GT453" s="119"/>
      <c r="GU453" s="119"/>
      <c r="GV453" s="119"/>
      <c r="GW453" s="119"/>
      <c r="GX453" s="119"/>
      <c r="GY453" s="119"/>
      <c r="GZ453" s="119"/>
      <c r="HA453" s="119"/>
      <c r="HB453" s="119"/>
      <c r="HC453" s="119"/>
      <c r="HD453" s="119"/>
      <c r="HE453" s="119"/>
      <c r="HF453" s="119"/>
      <c r="HG453" s="119"/>
      <c r="HH453" s="119"/>
      <c r="HI453" s="119"/>
      <c r="HJ453" s="119"/>
      <c r="HK453" s="119"/>
      <c r="HL453" s="119"/>
      <c r="HM453" s="119"/>
      <c r="HN453" s="119"/>
      <c r="HO453" s="119"/>
      <c r="HP453" s="119"/>
      <c r="HQ453" s="119"/>
      <c r="HR453" s="119"/>
      <c r="HS453" s="119"/>
      <c r="HT453" s="119"/>
      <c r="HU453" s="119"/>
      <c r="HV453" s="119"/>
      <c r="HW453" s="119"/>
      <c r="HX453" s="119"/>
      <c r="HY453" s="119"/>
      <c r="HZ453" s="119"/>
      <c r="IA453" s="119"/>
      <c r="IB453" s="119"/>
      <c r="IC453" s="119"/>
      <c r="ID453" s="119"/>
      <c r="IE453" s="119"/>
      <c r="IF453" s="119"/>
      <c r="IG453" s="119"/>
      <c r="IH453" s="119"/>
      <c r="II453" s="119"/>
      <c r="IJ453" s="119"/>
      <c r="IK453" s="119"/>
      <c r="IL453" s="119"/>
      <c r="IM453" s="119"/>
      <c r="IN453" s="119"/>
      <c r="IO453" s="119"/>
      <c r="IP453" s="119"/>
      <c r="IQ453" s="119"/>
      <c r="IR453" s="119"/>
      <c r="IS453" s="119"/>
      <c r="IT453" s="119"/>
      <c r="IU453" s="119"/>
      <c r="IV453" s="119"/>
      <c r="IW453" s="119"/>
      <c r="IX453" s="119"/>
      <c r="IY453" s="119"/>
      <c r="IZ453" s="119"/>
      <c r="JA453" s="119"/>
      <c r="JB453" s="119"/>
      <c r="JC453" s="119"/>
      <c r="JD453" s="119"/>
      <c r="JE453" s="119"/>
      <c r="JF453" s="119"/>
      <c r="JG453" s="119"/>
      <c r="JH453" s="119"/>
      <c r="JI453" s="119"/>
      <c r="JJ453" s="119"/>
      <c r="JK453" s="119"/>
      <c r="JL453" s="119"/>
      <c r="JM453" s="119"/>
      <c r="JN453" s="119"/>
      <c r="JO453" s="119"/>
      <c r="JP453" s="119"/>
      <c r="JQ453" s="119"/>
      <c r="JR453" s="119"/>
      <c r="JS453" s="119"/>
      <c r="JT453" s="119"/>
      <c r="JU453" s="119"/>
      <c r="JV453" s="119"/>
      <c r="JW453" s="119"/>
      <c r="JX453" s="119"/>
      <c r="JY453" s="119"/>
      <c r="JZ453" s="119"/>
      <c r="KA453" s="119"/>
      <c r="KB453" s="119"/>
      <c r="KC453" s="119"/>
      <c r="KD453" s="119"/>
      <c r="KE453" s="119"/>
      <c r="KF453" s="119"/>
      <c r="KG453" s="119"/>
      <c r="KH453" s="119"/>
      <c r="KI453" s="119"/>
      <c r="KJ453" s="119"/>
      <c r="KK453" s="119"/>
      <c r="KL453" s="119"/>
      <c r="KM453" s="119"/>
      <c r="KN453" s="119"/>
      <c r="KO453" s="119"/>
      <c r="KP453" s="119"/>
      <c r="KQ453" s="119"/>
      <c r="KR453" s="119"/>
      <c r="KS453" s="119"/>
      <c r="KT453" s="119"/>
      <c r="KU453" s="119"/>
      <c r="KV453" s="119"/>
      <c r="KW453" s="119"/>
      <c r="KX453" s="119"/>
      <c r="KY453" s="119"/>
      <c r="KZ453" s="119"/>
      <c r="LA453" s="119"/>
      <c r="LB453" s="119"/>
      <c r="LC453" s="119"/>
      <c r="LD453" s="119"/>
      <c r="LE453" s="119"/>
      <c r="LF453" s="119"/>
      <c r="LG453" s="119"/>
      <c r="LH453" s="119"/>
      <c r="LI453" s="119"/>
      <c r="LJ453" s="119"/>
      <c r="LK453" s="119"/>
      <c r="LL453" s="119"/>
      <c r="LM453" s="119"/>
      <c r="LN453" s="119"/>
      <c r="LO453" s="119"/>
      <c r="LP453" s="119"/>
      <c r="LQ453" s="119"/>
      <c r="LR453" s="119"/>
      <c r="LS453" s="119"/>
      <c r="LT453" s="119"/>
      <c r="LU453" s="119"/>
      <c r="LV453" s="119"/>
      <c r="LW453" s="119"/>
      <c r="LX453" s="119"/>
      <c r="LY453" s="119"/>
      <c r="LZ453" s="119"/>
      <c r="MA453" s="119"/>
      <c r="MB453" s="119"/>
      <c r="MC453" s="119"/>
      <c r="MD453" s="119"/>
      <c r="ME453" s="119"/>
      <c r="MF453" s="119"/>
      <c r="MG453" s="119"/>
      <c r="MH453" s="119"/>
      <c r="MI453" s="119"/>
      <c r="MJ453" s="119"/>
      <c r="MK453" s="119"/>
      <c r="ML453" s="119"/>
      <c r="MM453" s="119"/>
      <c r="MN453" s="119"/>
      <c r="MO453" s="119"/>
      <c r="MP453" s="119"/>
      <c r="MQ453" s="119"/>
      <c r="MR453" s="119"/>
      <c r="MS453" s="119"/>
      <c r="MT453" s="119"/>
      <c r="MU453" s="119"/>
      <c r="MV453" s="119"/>
      <c r="MW453" s="119"/>
      <c r="MX453" s="119"/>
      <c r="MY453" s="119"/>
      <c r="MZ453" s="119"/>
    </row>
    <row r="454" spans="1:364" s="27" customFormat="1" x14ac:dyDescent="0.25">
      <c r="A454" s="123"/>
      <c r="B454" s="123"/>
      <c r="C454" s="126"/>
      <c r="D454" s="129"/>
      <c r="E454" s="109"/>
      <c r="F454" s="131"/>
      <c r="G454" s="132"/>
      <c r="H454" s="114" t="s">
        <v>149</v>
      </c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19"/>
      <c r="T454" s="119"/>
      <c r="U454" s="119"/>
      <c r="V454" s="119"/>
      <c r="W454" s="119"/>
      <c r="X454" s="119"/>
      <c r="Y454" s="119"/>
      <c r="Z454" s="119"/>
      <c r="AA454" s="119"/>
      <c r="AB454" s="119"/>
      <c r="AC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9"/>
      <c r="AT454" s="119"/>
      <c r="AU454" s="119"/>
      <c r="AV454" s="119"/>
      <c r="AW454" s="119"/>
      <c r="AX454" s="119"/>
      <c r="AY454" s="119"/>
      <c r="AZ454" s="119"/>
      <c r="BA454" s="119"/>
      <c r="BB454" s="119"/>
      <c r="BC454" s="119"/>
      <c r="BD454" s="119"/>
      <c r="BE454" s="119"/>
      <c r="BF454" s="119"/>
      <c r="BG454" s="119"/>
      <c r="BH454" s="119"/>
      <c r="BI454" s="119"/>
      <c r="BJ454" s="119"/>
      <c r="BK454" s="119"/>
      <c r="BL454" s="26"/>
      <c r="BM454" s="119"/>
      <c r="BN454" s="119"/>
      <c r="BO454" s="119"/>
      <c r="BP454" s="119"/>
      <c r="BQ454" s="119"/>
      <c r="BR454" s="119"/>
      <c r="BS454" s="119"/>
      <c r="BT454" s="119"/>
      <c r="BU454" s="119"/>
      <c r="BV454" s="119"/>
      <c r="BW454" s="119"/>
      <c r="BX454" s="119"/>
      <c r="BY454" s="119"/>
      <c r="BZ454" s="119"/>
      <c r="CA454" s="119"/>
      <c r="CB454" s="119"/>
      <c r="CC454" s="119"/>
      <c r="CD454" s="119"/>
      <c r="CE454" s="119"/>
      <c r="CF454" s="119"/>
      <c r="CG454" s="119"/>
      <c r="CH454" s="119"/>
      <c r="CI454" s="119"/>
      <c r="CJ454" s="119"/>
      <c r="CK454" s="119"/>
      <c r="CL454" s="119"/>
      <c r="CM454" s="119"/>
      <c r="CN454" s="119"/>
      <c r="CO454" s="119"/>
      <c r="CP454" s="119"/>
      <c r="CQ454" s="119"/>
      <c r="CR454" s="119"/>
      <c r="CS454" s="119"/>
      <c r="CT454" s="119"/>
      <c r="CU454" s="119"/>
      <c r="CV454" s="119"/>
      <c r="CW454" s="119"/>
      <c r="CX454" s="119"/>
      <c r="CY454" s="119"/>
      <c r="CZ454" s="119"/>
      <c r="DA454" s="119"/>
      <c r="DB454" s="119"/>
      <c r="DC454" s="119"/>
      <c r="DD454" s="119"/>
      <c r="DE454" s="119"/>
      <c r="DF454" s="119"/>
      <c r="DG454" s="119"/>
      <c r="DH454" s="119"/>
      <c r="DI454" s="119"/>
      <c r="DJ454" s="119"/>
      <c r="DK454" s="119"/>
      <c r="DL454" s="119"/>
      <c r="DM454" s="119"/>
      <c r="DN454" s="119"/>
      <c r="DO454" s="119"/>
      <c r="DP454" s="119"/>
      <c r="DQ454" s="119"/>
      <c r="DR454" s="119"/>
      <c r="DS454" s="119"/>
      <c r="DT454" s="119"/>
      <c r="DU454" s="119"/>
      <c r="DV454" s="119"/>
      <c r="DW454" s="119"/>
      <c r="DX454" s="119"/>
      <c r="DY454" s="119"/>
      <c r="DZ454" s="119"/>
      <c r="EA454" s="119"/>
      <c r="EB454" s="119"/>
      <c r="EC454" s="119"/>
      <c r="ED454" s="119"/>
      <c r="EE454" s="119"/>
      <c r="EF454" s="119"/>
      <c r="EG454" s="119"/>
      <c r="EH454" s="119"/>
      <c r="EI454" s="119"/>
      <c r="EJ454" s="119"/>
      <c r="EK454" s="119"/>
      <c r="EL454" s="119"/>
      <c r="EM454" s="119"/>
      <c r="EN454" s="119"/>
      <c r="EO454" s="119"/>
      <c r="EP454" s="119"/>
      <c r="EQ454" s="119"/>
      <c r="ER454" s="119"/>
      <c r="ES454" s="119"/>
      <c r="ET454" s="119"/>
      <c r="EU454" s="119"/>
      <c r="EV454" s="119"/>
      <c r="EW454" s="119"/>
      <c r="EX454" s="119"/>
      <c r="EY454" s="119"/>
      <c r="EZ454" s="119"/>
      <c r="FA454" s="119"/>
      <c r="FB454" s="119"/>
      <c r="FC454" s="119"/>
      <c r="FD454" s="119"/>
      <c r="FE454" s="119"/>
      <c r="FF454" s="119"/>
      <c r="FG454" s="119"/>
      <c r="FH454" s="119"/>
      <c r="FI454" s="119"/>
      <c r="FJ454" s="119"/>
      <c r="FK454" s="119"/>
      <c r="FL454" s="119"/>
      <c r="FM454" s="119"/>
      <c r="FN454" s="119"/>
      <c r="FO454" s="119"/>
      <c r="FP454" s="119"/>
      <c r="FQ454" s="119"/>
      <c r="FR454" s="119"/>
      <c r="FS454" s="119"/>
      <c r="FT454" s="119"/>
      <c r="FU454" s="119"/>
      <c r="FV454" s="119"/>
      <c r="FW454" s="119"/>
      <c r="FX454" s="119"/>
      <c r="FY454" s="119"/>
      <c r="FZ454" s="119"/>
      <c r="GA454" s="119"/>
      <c r="GB454" s="119"/>
      <c r="GC454" s="119"/>
      <c r="GD454" s="119"/>
      <c r="GE454" s="119"/>
      <c r="GF454" s="119"/>
      <c r="GG454" s="119"/>
      <c r="GH454" s="119"/>
      <c r="GI454" s="119"/>
      <c r="GJ454" s="119"/>
      <c r="GK454" s="119"/>
      <c r="GL454" s="119"/>
      <c r="GM454" s="119"/>
      <c r="GN454" s="119"/>
      <c r="GO454" s="119"/>
      <c r="GP454" s="119"/>
      <c r="GQ454" s="119"/>
      <c r="GR454" s="119"/>
      <c r="GS454" s="119"/>
      <c r="GT454" s="119"/>
      <c r="GU454" s="119"/>
      <c r="GV454" s="119"/>
      <c r="GW454" s="119"/>
      <c r="GX454" s="119"/>
      <c r="GY454" s="119"/>
      <c r="GZ454" s="119"/>
      <c r="HA454" s="119"/>
      <c r="HB454" s="119"/>
      <c r="HC454" s="119"/>
      <c r="HD454" s="119"/>
      <c r="HE454" s="119"/>
      <c r="HF454" s="119"/>
      <c r="HG454" s="119"/>
      <c r="HH454" s="119"/>
      <c r="HI454" s="119"/>
      <c r="HJ454" s="119"/>
      <c r="HK454" s="119"/>
      <c r="HL454" s="119"/>
      <c r="HM454" s="119"/>
      <c r="HN454" s="119"/>
      <c r="HO454" s="119"/>
      <c r="HP454" s="119"/>
      <c r="HQ454" s="119"/>
      <c r="HR454" s="119"/>
      <c r="HS454" s="119"/>
      <c r="HT454" s="119"/>
      <c r="HU454" s="119"/>
      <c r="HV454" s="119"/>
      <c r="HW454" s="119"/>
      <c r="HX454" s="119"/>
      <c r="HY454" s="119"/>
      <c r="HZ454" s="119"/>
      <c r="IA454" s="119"/>
      <c r="IB454" s="119"/>
      <c r="IC454" s="119"/>
      <c r="ID454" s="119"/>
      <c r="IE454" s="119"/>
      <c r="IF454" s="119"/>
      <c r="IG454" s="119"/>
      <c r="IH454" s="119"/>
      <c r="II454" s="119"/>
      <c r="IJ454" s="119"/>
      <c r="IK454" s="119"/>
      <c r="IL454" s="119"/>
      <c r="IM454" s="119"/>
      <c r="IN454" s="119"/>
      <c r="IO454" s="119"/>
      <c r="IP454" s="119"/>
      <c r="IQ454" s="119"/>
      <c r="IR454" s="119"/>
      <c r="IS454" s="119"/>
      <c r="IT454" s="119"/>
      <c r="IU454" s="119"/>
      <c r="IV454" s="119"/>
      <c r="IW454" s="119"/>
      <c r="IX454" s="119"/>
      <c r="IY454" s="119"/>
      <c r="IZ454" s="119"/>
      <c r="JA454" s="119"/>
      <c r="JB454" s="119"/>
      <c r="JC454" s="119"/>
      <c r="JD454" s="119"/>
      <c r="JE454" s="119"/>
      <c r="JF454" s="119"/>
      <c r="JG454" s="119"/>
      <c r="JH454" s="119"/>
      <c r="JI454" s="119"/>
      <c r="JJ454" s="119"/>
      <c r="JK454" s="119"/>
      <c r="JL454" s="119"/>
      <c r="JM454" s="119"/>
      <c r="JN454" s="119"/>
      <c r="JO454" s="119"/>
      <c r="JP454" s="119"/>
      <c r="JQ454" s="119"/>
      <c r="JR454" s="119"/>
      <c r="JS454" s="119"/>
      <c r="JT454" s="119"/>
      <c r="JU454" s="119"/>
      <c r="JV454" s="119"/>
      <c r="JW454" s="119"/>
      <c r="JX454" s="119"/>
      <c r="JY454" s="119"/>
      <c r="JZ454" s="119"/>
      <c r="KA454" s="119"/>
      <c r="KB454" s="119"/>
      <c r="KC454" s="119"/>
      <c r="KD454" s="119"/>
      <c r="KE454" s="119"/>
      <c r="KF454" s="119"/>
      <c r="KG454" s="119"/>
      <c r="KH454" s="119"/>
      <c r="KI454" s="119"/>
      <c r="KJ454" s="119"/>
      <c r="KK454" s="119"/>
      <c r="KL454" s="119"/>
      <c r="KM454" s="119"/>
      <c r="KN454" s="119"/>
      <c r="KO454" s="119"/>
      <c r="KP454" s="119"/>
      <c r="KQ454" s="119"/>
      <c r="KR454" s="119"/>
      <c r="KS454" s="119"/>
      <c r="KT454" s="119"/>
      <c r="KU454" s="119"/>
      <c r="KV454" s="119"/>
      <c r="KW454" s="119"/>
      <c r="KX454" s="119"/>
      <c r="KY454" s="119"/>
      <c r="KZ454" s="119"/>
      <c r="LA454" s="119"/>
      <c r="LB454" s="119"/>
      <c r="LC454" s="119"/>
      <c r="LD454" s="119"/>
      <c r="LE454" s="119"/>
      <c r="LF454" s="119"/>
      <c r="LG454" s="119"/>
      <c r="LH454" s="119"/>
      <c r="LI454" s="119"/>
      <c r="LJ454" s="119"/>
      <c r="LK454" s="119"/>
      <c r="LL454" s="119"/>
      <c r="LM454" s="119"/>
      <c r="LN454" s="119"/>
      <c r="LO454" s="119"/>
      <c r="LP454" s="119"/>
      <c r="LQ454" s="119"/>
      <c r="LR454" s="119"/>
      <c r="LS454" s="119"/>
      <c r="LT454" s="119"/>
      <c r="LU454" s="119"/>
      <c r="LV454" s="119"/>
      <c r="LW454" s="119"/>
      <c r="LX454" s="119"/>
      <c r="LY454" s="119"/>
      <c r="LZ454" s="119"/>
      <c r="MA454" s="119"/>
      <c r="MB454" s="119"/>
      <c r="MC454" s="119"/>
      <c r="MD454" s="119"/>
      <c r="ME454" s="119"/>
      <c r="MF454" s="119"/>
      <c r="MG454" s="119"/>
      <c r="MH454" s="119"/>
      <c r="MI454" s="119"/>
      <c r="MJ454" s="119"/>
      <c r="MK454" s="119"/>
      <c r="ML454" s="119"/>
      <c r="MM454" s="119"/>
      <c r="MN454" s="119"/>
      <c r="MO454" s="119"/>
      <c r="MP454" s="119"/>
      <c r="MQ454" s="119"/>
      <c r="MR454" s="119"/>
      <c r="MS454" s="119"/>
      <c r="MT454" s="119"/>
      <c r="MU454" s="119"/>
      <c r="MV454" s="119"/>
      <c r="MW454" s="119"/>
      <c r="MX454" s="119"/>
      <c r="MY454" s="119"/>
      <c r="MZ454" s="119"/>
    </row>
    <row r="455" spans="1:364" s="27" customFormat="1" x14ac:dyDescent="0.25">
      <c r="A455" s="121"/>
      <c r="B455" s="124" t="e">
        <f>VLOOKUP(A455,Rules!$B$8:$C$154,2,0)</f>
        <v>#N/A</v>
      </c>
      <c r="C455" s="125">
        <f t="shared" ref="C455" si="13">SUM(I456:XX456)</f>
        <v>0</v>
      </c>
      <c r="D455" s="127"/>
      <c r="E455" s="110" t="s">
        <v>492</v>
      </c>
      <c r="F455" s="130" t="e">
        <f>VLOOKUP(A455,Table2[],10,0)</f>
        <v>#N/A</v>
      </c>
      <c r="G455" s="130"/>
      <c r="H455" s="113" t="s">
        <v>440</v>
      </c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9"/>
      <c r="T455" s="119"/>
      <c r="U455" s="119"/>
      <c r="V455" s="119"/>
      <c r="W455" s="119"/>
      <c r="X455" s="119"/>
      <c r="Y455" s="119"/>
      <c r="Z455" s="119"/>
      <c r="AA455" s="119"/>
      <c r="AB455" s="119"/>
      <c r="AC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9"/>
      <c r="AT455" s="119"/>
      <c r="AU455" s="119"/>
      <c r="AV455" s="119"/>
      <c r="AW455" s="119"/>
      <c r="AX455" s="119"/>
      <c r="AY455" s="119"/>
      <c r="AZ455" s="119"/>
      <c r="BA455" s="119"/>
      <c r="BB455" s="119"/>
      <c r="BC455" s="119"/>
      <c r="BD455" s="119"/>
      <c r="BE455" s="119"/>
      <c r="BF455" s="119"/>
      <c r="BG455" s="119"/>
      <c r="BH455" s="119"/>
      <c r="BI455" s="119"/>
      <c r="BJ455" s="119"/>
      <c r="BK455" s="119"/>
      <c r="BL455" s="26"/>
      <c r="BM455" s="119"/>
      <c r="BN455" s="26"/>
      <c r="BO455" s="119"/>
      <c r="BP455" s="119"/>
      <c r="BQ455" s="119"/>
      <c r="BR455" s="119"/>
      <c r="BS455" s="119"/>
      <c r="BT455" s="119"/>
      <c r="BU455" s="119"/>
      <c r="BV455" s="119"/>
      <c r="BW455" s="119"/>
      <c r="BX455" s="119"/>
      <c r="BY455" s="119"/>
      <c r="BZ455" s="119"/>
      <c r="CA455" s="119"/>
      <c r="CB455" s="119"/>
      <c r="CC455" s="119"/>
      <c r="CD455" s="119"/>
      <c r="CE455" s="119"/>
      <c r="CF455" s="119"/>
      <c r="CG455" s="119"/>
      <c r="CH455" s="119"/>
      <c r="CI455" s="119"/>
      <c r="CJ455" s="119"/>
      <c r="CK455" s="119"/>
      <c r="CL455" s="119"/>
      <c r="CM455" s="119"/>
      <c r="CN455" s="119"/>
      <c r="CO455" s="119"/>
      <c r="CP455" s="119"/>
      <c r="CQ455" s="119"/>
      <c r="CR455" s="119"/>
      <c r="CS455" s="119"/>
      <c r="CT455" s="119"/>
      <c r="CU455" s="119"/>
      <c r="CV455" s="119"/>
      <c r="CW455" s="119"/>
      <c r="CX455" s="119"/>
      <c r="CY455" s="119"/>
      <c r="CZ455" s="119"/>
      <c r="DA455" s="119"/>
      <c r="DB455" s="119"/>
      <c r="DC455" s="119"/>
      <c r="DD455" s="119"/>
      <c r="DE455" s="119"/>
      <c r="DF455" s="119"/>
      <c r="DG455" s="119"/>
      <c r="DH455" s="119"/>
      <c r="DI455" s="119"/>
      <c r="DJ455" s="119"/>
      <c r="DK455" s="119"/>
      <c r="DL455" s="119"/>
      <c r="DM455" s="119"/>
      <c r="DN455" s="119"/>
      <c r="DO455" s="119"/>
      <c r="DP455" s="119"/>
      <c r="DQ455" s="119"/>
      <c r="DR455" s="119"/>
      <c r="DS455" s="119"/>
      <c r="DT455" s="119"/>
      <c r="DU455" s="119"/>
      <c r="DV455" s="119"/>
      <c r="DW455" s="119"/>
      <c r="DX455" s="119"/>
      <c r="DY455" s="119"/>
      <c r="DZ455" s="119"/>
      <c r="EA455" s="119"/>
      <c r="EB455" s="119"/>
      <c r="EC455" s="119"/>
      <c r="ED455" s="119"/>
      <c r="EE455" s="119"/>
      <c r="EF455" s="119"/>
      <c r="EG455" s="119"/>
      <c r="EH455" s="119"/>
      <c r="EI455" s="119"/>
      <c r="EJ455" s="119"/>
      <c r="EK455" s="119"/>
      <c r="EL455" s="119"/>
      <c r="EM455" s="119"/>
      <c r="EN455" s="119"/>
      <c r="EO455" s="119"/>
      <c r="EP455" s="119"/>
      <c r="EQ455" s="119"/>
      <c r="ER455" s="119"/>
      <c r="ES455" s="119"/>
      <c r="ET455" s="119"/>
      <c r="EU455" s="119"/>
      <c r="EV455" s="119"/>
      <c r="EW455" s="119"/>
      <c r="EX455" s="119"/>
      <c r="EY455" s="119"/>
      <c r="EZ455" s="119"/>
      <c r="FA455" s="119"/>
      <c r="FB455" s="119"/>
      <c r="FC455" s="119"/>
      <c r="FD455" s="119"/>
      <c r="FE455" s="119"/>
      <c r="FF455" s="119"/>
      <c r="FG455" s="119"/>
      <c r="FH455" s="119"/>
      <c r="FI455" s="119"/>
      <c r="FJ455" s="119"/>
      <c r="FK455" s="119"/>
      <c r="FL455" s="119"/>
      <c r="FM455" s="119"/>
      <c r="FN455" s="119"/>
      <c r="FO455" s="119"/>
      <c r="FP455" s="119"/>
      <c r="FQ455" s="119"/>
      <c r="FR455" s="119"/>
      <c r="FS455" s="119"/>
      <c r="FT455" s="119"/>
      <c r="FU455" s="119"/>
      <c r="FV455" s="119"/>
      <c r="FW455" s="119"/>
      <c r="FX455" s="119"/>
      <c r="FY455" s="119"/>
      <c r="FZ455" s="119"/>
      <c r="GA455" s="119"/>
      <c r="GB455" s="119"/>
      <c r="GC455" s="119"/>
      <c r="GD455" s="119"/>
      <c r="GE455" s="119"/>
      <c r="GF455" s="119"/>
      <c r="GG455" s="119"/>
      <c r="GH455" s="119"/>
      <c r="GI455" s="119"/>
      <c r="GJ455" s="119"/>
      <c r="GK455" s="119"/>
      <c r="GL455" s="119"/>
      <c r="GM455" s="119"/>
      <c r="GN455" s="119"/>
      <c r="GO455" s="119"/>
      <c r="GP455" s="119"/>
      <c r="GQ455" s="119"/>
      <c r="GR455" s="119"/>
      <c r="GS455" s="119"/>
      <c r="GT455" s="119"/>
      <c r="GU455" s="119"/>
      <c r="GV455" s="119"/>
      <c r="GW455" s="119"/>
      <c r="GX455" s="119"/>
      <c r="GY455" s="119"/>
      <c r="GZ455" s="119"/>
      <c r="HA455" s="119"/>
      <c r="HB455" s="119"/>
      <c r="HC455" s="119"/>
      <c r="HD455" s="119"/>
      <c r="HE455" s="119"/>
      <c r="HF455" s="119"/>
      <c r="HG455" s="119"/>
      <c r="HH455" s="119"/>
      <c r="HI455" s="119"/>
      <c r="HJ455" s="119"/>
      <c r="HK455" s="119"/>
      <c r="HL455" s="119"/>
      <c r="HM455" s="119"/>
      <c r="HN455" s="119"/>
      <c r="HO455" s="119"/>
      <c r="HP455" s="119"/>
      <c r="HQ455" s="119"/>
      <c r="HR455" s="119"/>
      <c r="HS455" s="119"/>
      <c r="HT455" s="119"/>
      <c r="HU455" s="119"/>
      <c r="HV455" s="119"/>
      <c r="HW455" s="119"/>
      <c r="HX455" s="119"/>
      <c r="HY455" s="119"/>
      <c r="HZ455" s="119"/>
      <c r="IA455" s="119"/>
      <c r="IB455" s="119"/>
      <c r="IC455" s="119"/>
      <c r="ID455" s="119"/>
      <c r="IE455" s="119"/>
      <c r="IF455" s="119"/>
      <c r="IG455" s="119"/>
      <c r="IH455" s="119"/>
      <c r="II455" s="119"/>
      <c r="IJ455" s="119"/>
      <c r="IK455" s="119"/>
      <c r="IL455" s="119"/>
      <c r="IM455" s="119"/>
      <c r="IN455" s="119"/>
      <c r="IO455" s="119"/>
      <c r="IP455" s="119"/>
      <c r="IQ455" s="119"/>
      <c r="IR455" s="119"/>
      <c r="IS455" s="119"/>
      <c r="IT455" s="119"/>
      <c r="IU455" s="119"/>
      <c r="IV455" s="119"/>
      <c r="IW455" s="119"/>
      <c r="IX455" s="119"/>
      <c r="IY455" s="119"/>
      <c r="IZ455" s="119"/>
      <c r="JA455" s="119"/>
      <c r="JB455" s="119"/>
      <c r="JC455" s="119"/>
      <c r="JD455" s="119"/>
      <c r="JE455" s="119"/>
      <c r="JF455" s="119"/>
      <c r="JG455" s="119"/>
      <c r="JH455" s="119"/>
      <c r="JI455" s="119"/>
      <c r="JJ455" s="119"/>
      <c r="JK455" s="119"/>
      <c r="JL455" s="119"/>
      <c r="JM455" s="119"/>
      <c r="JN455" s="119"/>
      <c r="JO455" s="119"/>
      <c r="JP455" s="119"/>
      <c r="JQ455" s="119"/>
      <c r="JR455" s="119"/>
      <c r="JS455" s="119"/>
      <c r="JT455" s="119"/>
      <c r="JU455" s="119"/>
      <c r="JV455" s="119"/>
      <c r="JW455" s="119"/>
      <c r="JX455" s="119"/>
      <c r="JY455" s="119"/>
      <c r="JZ455" s="119"/>
      <c r="KA455" s="119"/>
      <c r="KB455" s="119"/>
      <c r="KC455" s="119"/>
      <c r="KD455" s="119"/>
      <c r="KE455" s="119"/>
      <c r="KF455" s="119"/>
      <c r="KG455" s="119"/>
      <c r="KH455" s="119"/>
      <c r="KI455" s="119"/>
      <c r="KJ455" s="119"/>
      <c r="KK455" s="119"/>
      <c r="KL455" s="119"/>
      <c r="KM455" s="119"/>
      <c r="KN455" s="119"/>
      <c r="KO455" s="119"/>
      <c r="KP455" s="119"/>
      <c r="KQ455" s="119"/>
      <c r="KR455" s="119"/>
      <c r="KS455" s="119"/>
      <c r="KT455" s="119"/>
      <c r="KU455" s="119"/>
      <c r="KV455" s="119"/>
      <c r="KW455" s="119"/>
      <c r="KX455" s="119"/>
      <c r="KY455" s="119"/>
      <c r="KZ455" s="119"/>
      <c r="LA455" s="119"/>
      <c r="LB455" s="119"/>
      <c r="LC455" s="119"/>
      <c r="LD455" s="119"/>
      <c r="LE455" s="119"/>
      <c r="LF455" s="119"/>
      <c r="LG455" s="119"/>
      <c r="LH455" s="119"/>
      <c r="LI455" s="119"/>
      <c r="LJ455" s="119"/>
      <c r="LK455" s="119"/>
      <c r="LL455" s="119"/>
      <c r="LM455" s="119"/>
      <c r="LN455" s="119"/>
      <c r="LO455" s="119"/>
      <c r="LP455" s="119"/>
      <c r="LQ455" s="119"/>
      <c r="LR455" s="119"/>
      <c r="LS455" s="119"/>
      <c r="LT455" s="119"/>
      <c r="LU455" s="119"/>
      <c r="LV455" s="119"/>
      <c r="LW455" s="119"/>
      <c r="LX455" s="119"/>
      <c r="LY455" s="119"/>
      <c r="LZ455" s="119"/>
      <c r="MA455" s="119"/>
      <c r="MB455" s="119"/>
      <c r="MC455" s="119"/>
      <c r="MD455" s="119"/>
      <c r="ME455" s="119"/>
      <c r="MF455" s="119"/>
      <c r="MG455" s="119"/>
      <c r="MH455" s="119"/>
      <c r="MI455" s="119"/>
      <c r="MJ455" s="119"/>
      <c r="MK455" s="119"/>
      <c r="ML455" s="119"/>
      <c r="MM455" s="119"/>
      <c r="MN455" s="119"/>
      <c r="MO455" s="119"/>
      <c r="MP455" s="119"/>
      <c r="MQ455" s="119"/>
      <c r="MR455" s="119"/>
      <c r="MS455" s="119"/>
      <c r="MT455" s="119"/>
      <c r="MU455" s="119"/>
      <c r="MV455" s="119"/>
      <c r="MW455" s="119"/>
      <c r="MX455" s="119"/>
      <c r="MY455" s="119"/>
      <c r="MZ455" s="119"/>
    </row>
    <row r="456" spans="1:364" s="27" customFormat="1" x14ac:dyDescent="0.25">
      <c r="A456" s="122"/>
      <c r="B456" s="122"/>
      <c r="C456" s="126"/>
      <c r="D456" s="128"/>
      <c r="E456" s="109"/>
      <c r="F456" s="131"/>
      <c r="G456" s="131"/>
      <c r="H456" s="105" t="s">
        <v>439</v>
      </c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9"/>
      <c r="T456" s="119"/>
      <c r="U456" s="119"/>
      <c r="V456" s="119"/>
      <c r="W456" s="119"/>
      <c r="X456" s="119"/>
      <c r="Y456" s="119"/>
      <c r="Z456" s="119"/>
      <c r="AA456" s="119"/>
      <c r="AB456" s="119"/>
      <c r="AC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9"/>
      <c r="AT456" s="119"/>
      <c r="AU456" s="119"/>
      <c r="AV456" s="119"/>
      <c r="AW456" s="119"/>
      <c r="AX456" s="119"/>
      <c r="AY456" s="119"/>
      <c r="AZ456" s="119"/>
      <c r="BA456" s="119"/>
      <c r="BB456" s="119"/>
      <c r="BC456" s="119"/>
      <c r="BD456" s="119"/>
      <c r="BE456" s="119"/>
      <c r="BF456" s="119"/>
      <c r="BG456" s="119"/>
      <c r="BH456" s="119"/>
      <c r="BI456" s="119"/>
      <c r="BJ456" s="119"/>
      <c r="BK456" s="119"/>
      <c r="BL456" s="26"/>
      <c r="BM456" s="119"/>
      <c r="BN456" s="26"/>
      <c r="BO456" s="119"/>
      <c r="BP456" s="119"/>
      <c r="BQ456" s="119"/>
      <c r="BR456" s="119"/>
      <c r="BS456" s="119"/>
      <c r="BT456" s="119"/>
      <c r="BU456" s="119"/>
      <c r="BV456" s="119"/>
      <c r="BW456" s="119"/>
      <c r="BX456" s="119"/>
      <c r="BY456" s="119"/>
      <c r="BZ456" s="119"/>
      <c r="CA456" s="119"/>
      <c r="CB456" s="119"/>
      <c r="CC456" s="119"/>
      <c r="CD456" s="119"/>
      <c r="CE456" s="119"/>
      <c r="CF456" s="119"/>
      <c r="CG456" s="119"/>
      <c r="CH456" s="119"/>
      <c r="CI456" s="119"/>
      <c r="CJ456" s="119"/>
      <c r="CK456" s="119"/>
      <c r="CL456" s="119"/>
      <c r="CM456" s="119"/>
      <c r="CN456" s="119"/>
      <c r="CO456" s="119"/>
      <c r="CP456" s="119"/>
      <c r="CQ456" s="119"/>
      <c r="CR456" s="119"/>
      <c r="CS456" s="119"/>
      <c r="CT456" s="119"/>
      <c r="CU456" s="119"/>
      <c r="CV456" s="119"/>
      <c r="CW456" s="119"/>
      <c r="CX456" s="119"/>
      <c r="CY456" s="119"/>
      <c r="CZ456" s="119"/>
      <c r="DA456" s="119"/>
      <c r="DB456" s="119"/>
      <c r="DC456" s="119"/>
      <c r="DD456" s="119"/>
      <c r="DE456" s="119"/>
      <c r="DF456" s="119"/>
      <c r="DG456" s="119"/>
      <c r="DH456" s="119"/>
      <c r="DI456" s="119"/>
      <c r="DJ456" s="119"/>
      <c r="DK456" s="119"/>
      <c r="DL456" s="119"/>
      <c r="DM456" s="119"/>
      <c r="DN456" s="119"/>
      <c r="DO456" s="119"/>
      <c r="DP456" s="119"/>
      <c r="DQ456" s="119"/>
      <c r="DR456" s="119"/>
      <c r="DS456" s="119"/>
      <c r="DT456" s="119"/>
      <c r="DU456" s="119"/>
      <c r="DV456" s="119"/>
      <c r="DW456" s="119"/>
      <c r="DX456" s="119"/>
      <c r="DY456" s="119"/>
      <c r="DZ456" s="119"/>
      <c r="EA456" s="119"/>
      <c r="EB456" s="119"/>
      <c r="EC456" s="119"/>
      <c r="ED456" s="119"/>
      <c r="EE456" s="119"/>
      <c r="EF456" s="119"/>
      <c r="EG456" s="119"/>
      <c r="EH456" s="119"/>
      <c r="EI456" s="119"/>
      <c r="EJ456" s="119"/>
      <c r="EK456" s="119"/>
      <c r="EL456" s="119"/>
      <c r="EM456" s="119"/>
      <c r="EN456" s="119"/>
      <c r="EO456" s="119"/>
      <c r="EP456" s="119"/>
      <c r="EQ456" s="119"/>
      <c r="ER456" s="119"/>
      <c r="ES456" s="119"/>
      <c r="ET456" s="119"/>
      <c r="EU456" s="119"/>
      <c r="EV456" s="119"/>
      <c r="EW456" s="119"/>
      <c r="EX456" s="119"/>
      <c r="EY456" s="119"/>
      <c r="EZ456" s="119"/>
      <c r="FA456" s="119"/>
      <c r="FB456" s="119"/>
      <c r="FC456" s="119"/>
      <c r="FD456" s="119"/>
      <c r="FE456" s="119"/>
      <c r="FF456" s="119"/>
      <c r="FG456" s="119"/>
      <c r="FH456" s="119"/>
      <c r="FI456" s="119"/>
      <c r="FJ456" s="119"/>
      <c r="FK456" s="119"/>
      <c r="FL456" s="119"/>
      <c r="FM456" s="119"/>
      <c r="FN456" s="119"/>
      <c r="FO456" s="119"/>
      <c r="FP456" s="119"/>
      <c r="FQ456" s="119"/>
      <c r="FR456" s="119"/>
      <c r="FS456" s="119"/>
      <c r="FT456" s="119"/>
      <c r="FU456" s="119"/>
      <c r="FV456" s="119"/>
      <c r="FW456" s="119"/>
      <c r="FX456" s="119"/>
      <c r="FY456" s="119"/>
      <c r="FZ456" s="119"/>
      <c r="GA456" s="119"/>
      <c r="GB456" s="119"/>
      <c r="GC456" s="119"/>
      <c r="GD456" s="119"/>
      <c r="GE456" s="119"/>
      <c r="GF456" s="119"/>
      <c r="GG456" s="119"/>
      <c r="GH456" s="119"/>
      <c r="GI456" s="119"/>
      <c r="GJ456" s="119"/>
      <c r="GK456" s="119"/>
      <c r="GL456" s="119"/>
      <c r="GM456" s="119"/>
      <c r="GN456" s="119"/>
      <c r="GO456" s="119"/>
      <c r="GP456" s="119"/>
      <c r="GQ456" s="119"/>
      <c r="GR456" s="119"/>
      <c r="GS456" s="119"/>
      <c r="GT456" s="119"/>
      <c r="GU456" s="119"/>
      <c r="GV456" s="119"/>
      <c r="GW456" s="119"/>
      <c r="GX456" s="119"/>
      <c r="GY456" s="119"/>
      <c r="GZ456" s="119"/>
      <c r="HA456" s="119"/>
      <c r="HB456" s="119"/>
      <c r="HC456" s="119"/>
      <c r="HD456" s="119"/>
      <c r="HE456" s="119"/>
      <c r="HF456" s="119"/>
      <c r="HG456" s="119"/>
      <c r="HH456" s="119"/>
      <c r="HI456" s="119"/>
      <c r="HJ456" s="119"/>
      <c r="HK456" s="119"/>
      <c r="HL456" s="119"/>
      <c r="HM456" s="119"/>
      <c r="HN456" s="119"/>
      <c r="HO456" s="119"/>
      <c r="HP456" s="119"/>
      <c r="HQ456" s="119"/>
      <c r="HR456" s="119"/>
      <c r="HS456" s="119"/>
      <c r="HT456" s="119"/>
      <c r="HU456" s="119"/>
      <c r="HV456" s="119"/>
      <c r="HW456" s="119"/>
      <c r="HX456" s="119"/>
      <c r="HY456" s="119"/>
      <c r="HZ456" s="119"/>
      <c r="IA456" s="119"/>
      <c r="IB456" s="119"/>
      <c r="IC456" s="119"/>
      <c r="ID456" s="119"/>
      <c r="IE456" s="119"/>
      <c r="IF456" s="119"/>
      <c r="IG456" s="119"/>
      <c r="IH456" s="119"/>
      <c r="II456" s="119"/>
      <c r="IJ456" s="119"/>
      <c r="IK456" s="119"/>
      <c r="IL456" s="119"/>
      <c r="IM456" s="119"/>
      <c r="IN456" s="119"/>
      <c r="IO456" s="119"/>
      <c r="IP456" s="119"/>
      <c r="IQ456" s="119"/>
      <c r="IR456" s="119"/>
      <c r="IS456" s="119"/>
      <c r="IT456" s="119"/>
      <c r="IU456" s="119"/>
      <c r="IV456" s="119"/>
      <c r="IW456" s="119"/>
      <c r="IX456" s="119"/>
      <c r="IY456" s="119"/>
      <c r="IZ456" s="119"/>
      <c r="JA456" s="119"/>
      <c r="JB456" s="119"/>
      <c r="JC456" s="119"/>
      <c r="JD456" s="119"/>
      <c r="JE456" s="119"/>
      <c r="JF456" s="119"/>
      <c r="JG456" s="119"/>
      <c r="JH456" s="119"/>
      <c r="JI456" s="119"/>
      <c r="JJ456" s="119"/>
      <c r="JK456" s="119"/>
      <c r="JL456" s="119"/>
      <c r="JM456" s="119"/>
      <c r="JN456" s="119"/>
      <c r="JO456" s="119"/>
      <c r="JP456" s="119"/>
      <c r="JQ456" s="119"/>
      <c r="JR456" s="119"/>
      <c r="JS456" s="119"/>
      <c r="JT456" s="119"/>
      <c r="JU456" s="119"/>
      <c r="JV456" s="119"/>
      <c r="JW456" s="119"/>
      <c r="JX456" s="119"/>
      <c r="JY456" s="119"/>
      <c r="JZ456" s="119"/>
      <c r="KA456" s="119"/>
      <c r="KB456" s="119"/>
      <c r="KC456" s="119"/>
      <c r="KD456" s="119"/>
      <c r="KE456" s="119"/>
      <c r="KF456" s="119"/>
      <c r="KG456" s="119"/>
      <c r="KH456" s="119"/>
      <c r="KI456" s="119"/>
      <c r="KJ456" s="119"/>
      <c r="KK456" s="119"/>
      <c r="KL456" s="119"/>
      <c r="KM456" s="119"/>
      <c r="KN456" s="119"/>
      <c r="KO456" s="119"/>
      <c r="KP456" s="119"/>
      <c r="KQ456" s="119"/>
      <c r="KR456" s="119"/>
      <c r="KS456" s="119"/>
      <c r="KT456" s="119"/>
      <c r="KU456" s="119"/>
      <c r="KV456" s="119"/>
      <c r="KW456" s="119"/>
      <c r="KX456" s="119"/>
      <c r="KY456" s="119"/>
      <c r="KZ456" s="119"/>
      <c r="LA456" s="119"/>
      <c r="LB456" s="119"/>
      <c r="LC456" s="119"/>
      <c r="LD456" s="119"/>
      <c r="LE456" s="119"/>
      <c r="LF456" s="119"/>
      <c r="LG456" s="119"/>
      <c r="LH456" s="119"/>
      <c r="LI456" s="119"/>
      <c r="LJ456" s="119"/>
      <c r="LK456" s="119"/>
      <c r="LL456" s="119"/>
      <c r="LM456" s="119"/>
      <c r="LN456" s="119"/>
      <c r="LO456" s="119"/>
      <c r="LP456" s="119"/>
      <c r="LQ456" s="119"/>
      <c r="LR456" s="119"/>
      <c r="LS456" s="119"/>
      <c r="LT456" s="119"/>
      <c r="LU456" s="119"/>
      <c r="LV456" s="119"/>
      <c r="LW456" s="119"/>
      <c r="LX456" s="119"/>
      <c r="LY456" s="119"/>
      <c r="LZ456" s="119"/>
      <c r="MA456" s="119"/>
      <c r="MB456" s="119"/>
      <c r="MC456" s="119"/>
      <c r="MD456" s="119"/>
      <c r="ME456" s="119"/>
      <c r="MF456" s="119"/>
      <c r="MG456" s="119"/>
      <c r="MH456" s="119"/>
      <c r="MI456" s="119"/>
      <c r="MJ456" s="119"/>
      <c r="MK456" s="119"/>
      <c r="ML456" s="119"/>
      <c r="MM456" s="119"/>
      <c r="MN456" s="119"/>
      <c r="MO456" s="119"/>
      <c r="MP456" s="119"/>
      <c r="MQ456" s="119"/>
      <c r="MR456" s="119"/>
      <c r="MS456" s="119"/>
      <c r="MT456" s="119"/>
      <c r="MU456" s="119"/>
      <c r="MV456" s="119"/>
      <c r="MW456" s="119"/>
      <c r="MX456" s="119"/>
      <c r="MY456" s="119"/>
      <c r="MZ456" s="119"/>
    </row>
    <row r="457" spans="1:364" s="27" customFormat="1" x14ac:dyDescent="0.25">
      <c r="A457" s="122"/>
      <c r="B457" s="122"/>
      <c r="C457" s="126"/>
      <c r="D457" s="128"/>
      <c r="E457" s="109" t="s">
        <v>493</v>
      </c>
      <c r="F457" s="131"/>
      <c r="G457" s="131"/>
      <c r="H457" s="106" t="s">
        <v>438</v>
      </c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19"/>
      <c r="T457" s="119"/>
      <c r="U457" s="119"/>
      <c r="V457" s="119"/>
      <c r="W457" s="119"/>
      <c r="X457" s="119"/>
      <c r="Y457" s="119"/>
      <c r="Z457" s="119"/>
      <c r="AA457" s="119"/>
      <c r="AB457" s="119"/>
      <c r="AC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9"/>
      <c r="AT457" s="119"/>
      <c r="AU457" s="119"/>
      <c r="AV457" s="119"/>
      <c r="AW457" s="119"/>
      <c r="AX457" s="119"/>
      <c r="AY457" s="119"/>
      <c r="AZ457" s="119"/>
      <c r="BA457" s="119"/>
      <c r="BB457" s="119"/>
      <c r="BC457" s="119"/>
      <c r="BD457" s="119"/>
      <c r="BE457" s="119"/>
      <c r="BF457" s="119"/>
      <c r="BG457" s="119"/>
      <c r="BH457" s="119"/>
      <c r="BI457" s="119"/>
      <c r="BJ457" s="119"/>
      <c r="BK457" s="119"/>
      <c r="BL457" s="26"/>
      <c r="BM457" s="119"/>
      <c r="BN457" s="119"/>
      <c r="BO457" s="119"/>
      <c r="BP457" s="119"/>
      <c r="BQ457" s="119"/>
      <c r="BR457" s="119"/>
      <c r="BS457" s="119"/>
      <c r="BT457" s="119"/>
      <c r="BU457" s="119"/>
      <c r="BV457" s="119"/>
      <c r="BW457" s="119"/>
      <c r="BX457" s="119"/>
      <c r="BY457" s="119"/>
      <c r="BZ457" s="119"/>
      <c r="CA457" s="119"/>
      <c r="CB457" s="119"/>
      <c r="CC457" s="119"/>
      <c r="CD457" s="119"/>
      <c r="CE457" s="119"/>
      <c r="CF457" s="119"/>
      <c r="CG457" s="119"/>
      <c r="CH457" s="119"/>
      <c r="CI457" s="119"/>
      <c r="CJ457" s="119"/>
      <c r="CK457" s="119"/>
      <c r="CL457" s="119"/>
      <c r="CM457" s="119"/>
      <c r="CN457" s="119"/>
      <c r="CO457" s="119"/>
      <c r="CP457" s="119"/>
      <c r="CQ457" s="119"/>
      <c r="CR457" s="119"/>
      <c r="CS457" s="119"/>
      <c r="CT457" s="119"/>
      <c r="CU457" s="119"/>
      <c r="CV457" s="119"/>
      <c r="CW457" s="119"/>
      <c r="CX457" s="119"/>
      <c r="CY457" s="119"/>
      <c r="CZ457" s="119"/>
      <c r="DA457" s="119"/>
      <c r="DB457" s="119"/>
      <c r="DC457" s="119"/>
      <c r="DD457" s="119"/>
      <c r="DE457" s="119"/>
      <c r="DF457" s="119"/>
      <c r="DG457" s="119"/>
      <c r="DH457" s="119"/>
      <c r="DI457" s="119"/>
      <c r="DJ457" s="119"/>
      <c r="DK457" s="119"/>
      <c r="DL457" s="119"/>
      <c r="DM457" s="119"/>
      <c r="DN457" s="119"/>
      <c r="DO457" s="119"/>
      <c r="DP457" s="119"/>
      <c r="DQ457" s="119"/>
      <c r="DR457" s="119"/>
      <c r="DS457" s="119"/>
      <c r="DT457" s="119"/>
      <c r="DU457" s="119"/>
      <c r="DV457" s="119"/>
      <c r="DW457" s="119"/>
      <c r="DX457" s="119"/>
      <c r="DY457" s="119"/>
      <c r="DZ457" s="119"/>
      <c r="EA457" s="119"/>
      <c r="EB457" s="119"/>
      <c r="EC457" s="119"/>
      <c r="ED457" s="119"/>
      <c r="EE457" s="119"/>
      <c r="EF457" s="119"/>
      <c r="EG457" s="119"/>
      <c r="EH457" s="119"/>
      <c r="EI457" s="119"/>
      <c r="EJ457" s="119"/>
      <c r="EK457" s="119"/>
      <c r="EL457" s="119"/>
      <c r="EM457" s="119"/>
      <c r="EN457" s="119"/>
      <c r="EO457" s="119"/>
      <c r="EP457" s="119"/>
      <c r="EQ457" s="119"/>
      <c r="ER457" s="119"/>
      <c r="ES457" s="119"/>
      <c r="ET457" s="119"/>
      <c r="EU457" s="119"/>
      <c r="EV457" s="119"/>
      <c r="EW457" s="119"/>
      <c r="EX457" s="119"/>
      <c r="EY457" s="119"/>
      <c r="EZ457" s="119"/>
      <c r="FA457" s="119"/>
      <c r="FB457" s="119"/>
      <c r="FC457" s="119"/>
      <c r="FD457" s="119"/>
      <c r="FE457" s="119"/>
      <c r="FF457" s="119"/>
      <c r="FG457" s="119"/>
      <c r="FH457" s="119"/>
      <c r="FI457" s="119"/>
      <c r="FJ457" s="119"/>
      <c r="FK457" s="119"/>
      <c r="FL457" s="119"/>
      <c r="FM457" s="119"/>
      <c r="FN457" s="119"/>
      <c r="FO457" s="119"/>
      <c r="FP457" s="119"/>
      <c r="FQ457" s="119"/>
      <c r="FR457" s="119"/>
      <c r="FS457" s="119"/>
      <c r="FT457" s="119"/>
      <c r="FU457" s="119"/>
      <c r="FV457" s="119"/>
      <c r="FW457" s="119"/>
      <c r="FX457" s="119"/>
      <c r="FY457" s="119"/>
      <c r="FZ457" s="119"/>
      <c r="GA457" s="119"/>
      <c r="GB457" s="119"/>
      <c r="GC457" s="119"/>
      <c r="GD457" s="119"/>
      <c r="GE457" s="119"/>
      <c r="GF457" s="119"/>
      <c r="GG457" s="119"/>
      <c r="GH457" s="119"/>
      <c r="GI457" s="119"/>
      <c r="GJ457" s="119"/>
      <c r="GK457" s="119"/>
      <c r="GL457" s="119"/>
      <c r="GM457" s="119"/>
      <c r="GN457" s="119"/>
      <c r="GO457" s="119"/>
      <c r="GP457" s="119"/>
      <c r="GQ457" s="119"/>
      <c r="GR457" s="119"/>
      <c r="GS457" s="119"/>
      <c r="GT457" s="119"/>
      <c r="GU457" s="119"/>
      <c r="GV457" s="119"/>
      <c r="GW457" s="119"/>
      <c r="GX457" s="119"/>
      <c r="GY457" s="119"/>
      <c r="GZ457" s="119"/>
      <c r="HA457" s="119"/>
      <c r="HB457" s="119"/>
      <c r="HC457" s="119"/>
      <c r="HD457" s="119"/>
      <c r="HE457" s="119"/>
      <c r="HF457" s="119"/>
      <c r="HG457" s="119"/>
      <c r="HH457" s="119"/>
      <c r="HI457" s="119"/>
      <c r="HJ457" s="119"/>
      <c r="HK457" s="119"/>
      <c r="HL457" s="119"/>
      <c r="HM457" s="119"/>
      <c r="HN457" s="119"/>
      <c r="HO457" s="119"/>
      <c r="HP457" s="119"/>
      <c r="HQ457" s="119"/>
      <c r="HR457" s="119"/>
      <c r="HS457" s="119"/>
      <c r="HT457" s="119"/>
      <c r="HU457" s="119"/>
      <c r="HV457" s="119"/>
      <c r="HW457" s="119"/>
      <c r="HX457" s="119"/>
      <c r="HY457" s="119"/>
      <c r="HZ457" s="119"/>
      <c r="IA457" s="119"/>
      <c r="IB457" s="119"/>
      <c r="IC457" s="119"/>
      <c r="ID457" s="119"/>
      <c r="IE457" s="119"/>
      <c r="IF457" s="119"/>
      <c r="IG457" s="119"/>
      <c r="IH457" s="119"/>
      <c r="II457" s="119"/>
      <c r="IJ457" s="119"/>
      <c r="IK457" s="119"/>
      <c r="IL457" s="119"/>
      <c r="IM457" s="119"/>
      <c r="IN457" s="119"/>
      <c r="IO457" s="119"/>
      <c r="IP457" s="119"/>
      <c r="IQ457" s="119"/>
      <c r="IR457" s="119"/>
      <c r="IS457" s="119"/>
      <c r="IT457" s="119"/>
      <c r="IU457" s="119"/>
      <c r="IV457" s="119"/>
      <c r="IW457" s="119"/>
      <c r="IX457" s="119"/>
      <c r="IY457" s="119"/>
      <c r="IZ457" s="119"/>
      <c r="JA457" s="119"/>
      <c r="JB457" s="119"/>
      <c r="JC457" s="119"/>
      <c r="JD457" s="119"/>
      <c r="JE457" s="119"/>
      <c r="JF457" s="119"/>
      <c r="JG457" s="119"/>
      <c r="JH457" s="119"/>
      <c r="JI457" s="119"/>
      <c r="JJ457" s="119"/>
      <c r="JK457" s="119"/>
      <c r="JL457" s="119"/>
      <c r="JM457" s="119"/>
      <c r="JN457" s="119"/>
      <c r="JO457" s="119"/>
      <c r="JP457" s="119"/>
      <c r="JQ457" s="119"/>
      <c r="JR457" s="119"/>
      <c r="JS457" s="119"/>
      <c r="JT457" s="119"/>
      <c r="JU457" s="119"/>
      <c r="JV457" s="119"/>
      <c r="JW457" s="119"/>
      <c r="JX457" s="119"/>
      <c r="JY457" s="119"/>
      <c r="JZ457" s="119"/>
      <c r="KA457" s="119"/>
      <c r="KB457" s="119"/>
      <c r="KC457" s="119"/>
      <c r="KD457" s="119"/>
      <c r="KE457" s="119"/>
      <c r="KF457" s="119"/>
      <c r="KG457" s="119"/>
      <c r="KH457" s="119"/>
      <c r="KI457" s="119"/>
      <c r="KJ457" s="119"/>
      <c r="KK457" s="119"/>
      <c r="KL457" s="119"/>
      <c r="KM457" s="119"/>
      <c r="KN457" s="119"/>
      <c r="KO457" s="119"/>
      <c r="KP457" s="119"/>
      <c r="KQ457" s="119"/>
      <c r="KR457" s="119"/>
      <c r="KS457" s="119"/>
      <c r="KT457" s="119"/>
      <c r="KU457" s="119"/>
      <c r="KV457" s="119"/>
      <c r="KW457" s="119"/>
      <c r="KX457" s="119"/>
      <c r="KY457" s="119"/>
      <c r="KZ457" s="119"/>
      <c r="LA457" s="119"/>
      <c r="LB457" s="119"/>
      <c r="LC457" s="119"/>
      <c r="LD457" s="119"/>
      <c r="LE457" s="119"/>
      <c r="LF457" s="119"/>
      <c r="LG457" s="119"/>
      <c r="LH457" s="119"/>
      <c r="LI457" s="119"/>
      <c r="LJ457" s="119"/>
      <c r="LK457" s="119"/>
      <c r="LL457" s="119"/>
      <c r="LM457" s="119"/>
      <c r="LN457" s="119"/>
      <c r="LO457" s="119"/>
      <c r="LP457" s="119"/>
      <c r="LQ457" s="119"/>
      <c r="LR457" s="119"/>
      <c r="LS457" s="119"/>
      <c r="LT457" s="119"/>
      <c r="LU457" s="119"/>
      <c r="LV457" s="119"/>
      <c r="LW457" s="119"/>
      <c r="LX457" s="119"/>
      <c r="LY457" s="119"/>
      <c r="LZ457" s="119"/>
      <c r="MA457" s="119"/>
      <c r="MB457" s="119"/>
      <c r="MC457" s="119"/>
      <c r="MD457" s="119"/>
      <c r="ME457" s="119"/>
      <c r="MF457" s="119"/>
      <c r="MG457" s="119"/>
      <c r="MH457" s="119"/>
      <c r="MI457" s="119"/>
      <c r="MJ457" s="119"/>
      <c r="MK457" s="119"/>
      <c r="ML457" s="119"/>
      <c r="MM457" s="119"/>
      <c r="MN457" s="119"/>
      <c r="MO457" s="119"/>
      <c r="MP457" s="119"/>
      <c r="MQ457" s="119"/>
      <c r="MR457" s="119"/>
      <c r="MS457" s="119"/>
      <c r="MT457" s="119"/>
      <c r="MU457" s="119"/>
      <c r="MV457" s="119"/>
      <c r="MW457" s="119"/>
      <c r="MX457" s="119"/>
      <c r="MY457" s="119"/>
      <c r="MZ457" s="119"/>
    </row>
    <row r="458" spans="1:364" s="27" customFormat="1" x14ac:dyDescent="0.25">
      <c r="A458" s="123"/>
      <c r="B458" s="123"/>
      <c r="C458" s="126"/>
      <c r="D458" s="129"/>
      <c r="E458" s="109"/>
      <c r="F458" s="131"/>
      <c r="G458" s="132"/>
      <c r="H458" s="114" t="s">
        <v>149</v>
      </c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19"/>
      <c r="T458" s="119"/>
      <c r="U458" s="119"/>
      <c r="V458" s="119"/>
      <c r="W458" s="119"/>
      <c r="X458" s="119"/>
      <c r="Y458" s="119"/>
      <c r="Z458" s="119"/>
      <c r="AA458" s="119"/>
      <c r="AB458" s="119"/>
      <c r="AC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9"/>
      <c r="AT458" s="119"/>
      <c r="AU458" s="119"/>
      <c r="AV458" s="119"/>
      <c r="AW458" s="119"/>
      <c r="AX458" s="119"/>
      <c r="AY458" s="119"/>
      <c r="AZ458" s="119"/>
      <c r="BA458" s="119"/>
      <c r="BB458" s="119"/>
      <c r="BC458" s="119"/>
      <c r="BD458" s="119"/>
      <c r="BE458" s="119"/>
      <c r="BF458" s="119"/>
      <c r="BG458" s="119"/>
      <c r="BH458" s="119"/>
      <c r="BI458" s="119"/>
      <c r="BJ458" s="119"/>
      <c r="BK458" s="119"/>
      <c r="BL458" s="26"/>
      <c r="BM458" s="119"/>
      <c r="BN458" s="119"/>
      <c r="BO458" s="119"/>
      <c r="BP458" s="119"/>
      <c r="BQ458" s="119"/>
      <c r="BR458" s="119"/>
      <c r="BS458" s="119"/>
      <c r="BT458" s="119"/>
      <c r="BU458" s="119"/>
      <c r="BV458" s="119"/>
      <c r="BW458" s="119"/>
      <c r="BX458" s="119"/>
      <c r="BY458" s="119"/>
      <c r="BZ458" s="119"/>
      <c r="CA458" s="119"/>
      <c r="CB458" s="119"/>
      <c r="CC458" s="119"/>
      <c r="CD458" s="119"/>
      <c r="CE458" s="119"/>
      <c r="CF458" s="119"/>
      <c r="CG458" s="119"/>
      <c r="CH458" s="119"/>
      <c r="CI458" s="119"/>
      <c r="CJ458" s="119"/>
      <c r="CK458" s="119"/>
      <c r="CL458" s="119"/>
      <c r="CM458" s="119"/>
      <c r="CN458" s="119"/>
      <c r="CO458" s="119"/>
      <c r="CP458" s="119"/>
      <c r="CQ458" s="119"/>
      <c r="CR458" s="119"/>
      <c r="CS458" s="119"/>
      <c r="CT458" s="119"/>
      <c r="CU458" s="119"/>
      <c r="CV458" s="119"/>
      <c r="CW458" s="119"/>
      <c r="CX458" s="119"/>
      <c r="CY458" s="119"/>
      <c r="CZ458" s="119"/>
      <c r="DA458" s="119"/>
      <c r="DB458" s="119"/>
      <c r="DC458" s="119"/>
      <c r="DD458" s="119"/>
      <c r="DE458" s="119"/>
      <c r="DF458" s="119"/>
      <c r="DG458" s="119"/>
      <c r="DH458" s="119"/>
      <c r="DI458" s="119"/>
      <c r="DJ458" s="119"/>
      <c r="DK458" s="119"/>
      <c r="DL458" s="119"/>
      <c r="DM458" s="119"/>
      <c r="DN458" s="119"/>
      <c r="DO458" s="119"/>
      <c r="DP458" s="119"/>
      <c r="DQ458" s="119"/>
      <c r="DR458" s="119"/>
      <c r="DS458" s="119"/>
      <c r="DT458" s="119"/>
      <c r="DU458" s="119"/>
      <c r="DV458" s="119"/>
      <c r="DW458" s="119"/>
      <c r="DX458" s="119"/>
      <c r="DY458" s="119"/>
      <c r="DZ458" s="119"/>
      <c r="EA458" s="119"/>
      <c r="EB458" s="119"/>
      <c r="EC458" s="119"/>
      <c r="ED458" s="119"/>
      <c r="EE458" s="119"/>
      <c r="EF458" s="119"/>
      <c r="EG458" s="119"/>
      <c r="EH458" s="119"/>
      <c r="EI458" s="119"/>
      <c r="EJ458" s="119"/>
      <c r="EK458" s="119"/>
      <c r="EL458" s="119"/>
      <c r="EM458" s="119"/>
      <c r="EN458" s="119"/>
      <c r="EO458" s="119"/>
      <c r="EP458" s="119"/>
      <c r="EQ458" s="119"/>
      <c r="ER458" s="119"/>
      <c r="ES458" s="119"/>
      <c r="ET458" s="119"/>
      <c r="EU458" s="119"/>
      <c r="EV458" s="119"/>
      <c r="EW458" s="119"/>
      <c r="EX458" s="119"/>
      <c r="EY458" s="119"/>
      <c r="EZ458" s="119"/>
      <c r="FA458" s="119"/>
      <c r="FB458" s="119"/>
      <c r="FC458" s="119"/>
      <c r="FD458" s="119"/>
      <c r="FE458" s="119"/>
      <c r="FF458" s="119"/>
      <c r="FG458" s="119"/>
      <c r="FH458" s="119"/>
      <c r="FI458" s="119"/>
      <c r="FJ458" s="119"/>
      <c r="FK458" s="119"/>
      <c r="FL458" s="119"/>
      <c r="FM458" s="119"/>
      <c r="FN458" s="119"/>
      <c r="FO458" s="119"/>
      <c r="FP458" s="119"/>
      <c r="FQ458" s="119"/>
      <c r="FR458" s="119"/>
      <c r="FS458" s="119"/>
      <c r="FT458" s="119"/>
      <c r="FU458" s="119"/>
      <c r="FV458" s="119"/>
      <c r="FW458" s="119"/>
      <c r="FX458" s="119"/>
      <c r="FY458" s="119"/>
      <c r="FZ458" s="119"/>
      <c r="GA458" s="119"/>
      <c r="GB458" s="119"/>
      <c r="GC458" s="119"/>
      <c r="GD458" s="119"/>
      <c r="GE458" s="119"/>
      <c r="GF458" s="119"/>
      <c r="GG458" s="119"/>
      <c r="GH458" s="119"/>
      <c r="GI458" s="119"/>
      <c r="GJ458" s="119"/>
      <c r="GK458" s="119"/>
      <c r="GL458" s="119"/>
      <c r="GM458" s="119"/>
      <c r="GN458" s="119"/>
      <c r="GO458" s="119"/>
      <c r="GP458" s="119"/>
      <c r="GQ458" s="119"/>
      <c r="GR458" s="119"/>
      <c r="GS458" s="119"/>
      <c r="GT458" s="119"/>
      <c r="GU458" s="119"/>
      <c r="GV458" s="119"/>
      <c r="GW458" s="119"/>
      <c r="GX458" s="119"/>
      <c r="GY458" s="119"/>
      <c r="GZ458" s="119"/>
      <c r="HA458" s="119"/>
      <c r="HB458" s="119"/>
      <c r="HC458" s="119"/>
      <c r="HD458" s="119"/>
      <c r="HE458" s="119"/>
      <c r="HF458" s="119"/>
      <c r="HG458" s="119"/>
      <c r="HH458" s="119"/>
      <c r="HI458" s="119"/>
      <c r="HJ458" s="119"/>
      <c r="HK458" s="119"/>
      <c r="HL458" s="119"/>
      <c r="HM458" s="119"/>
      <c r="HN458" s="119"/>
      <c r="HO458" s="119"/>
      <c r="HP458" s="119"/>
      <c r="HQ458" s="119"/>
      <c r="HR458" s="119"/>
      <c r="HS458" s="119"/>
      <c r="HT458" s="119"/>
      <c r="HU458" s="119"/>
      <c r="HV458" s="119"/>
      <c r="HW458" s="119"/>
      <c r="HX458" s="119"/>
      <c r="HY458" s="119"/>
      <c r="HZ458" s="119"/>
      <c r="IA458" s="119"/>
      <c r="IB458" s="119"/>
      <c r="IC458" s="119"/>
      <c r="ID458" s="119"/>
      <c r="IE458" s="119"/>
      <c r="IF458" s="119"/>
      <c r="IG458" s="119"/>
      <c r="IH458" s="119"/>
      <c r="II458" s="119"/>
      <c r="IJ458" s="119"/>
      <c r="IK458" s="119"/>
      <c r="IL458" s="119"/>
      <c r="IM458" s="119"/>
      <c r="IN458" s="119"/>
      <c r="IO458" s="119"/>
      <c r="IP458" s="119"/>
      <c r="IQ458" s="119"/>
      <c r="IR458" s="119"/>
      <c r="IS458" s="119"/>
      <c r="IT458" s="119"/>
      <c r="IU458" s="119"/>
      <c r="IV458" s="119"/>
      <c r="IW458" s="119"/>
      <c r="IX458" s="119"/>
      <c r="IY458" s="119"/>
      <c r="IZ458" s="119"/>
      <c r="JA458" s="119"/>
      <c r="JB458" s="119"/>
      <c r="JC458" s="119"/>
      <c r="JD458" s="119"/>
      <c r="JE458" s="119"/>
      <c r="JF458" s="119"/>
      <c r="JG458" s="119"/>
      <c r="JH458" s="119"/>
      <c r="JI458" s="119"/>
      <c r="JJ458" s="119"/>
      <c r="JK458" s="119"/>
      <c r="JL458" s="119"/>
      <c r="JM458" s="119"/>
      <c r="JN458" s="119"/>
      <c r="JO458" s="119"/>
      <c r="JP458" s="119"/>
      <c r="JQ458" s="119"/>
      <c r="JR458" s="119"/>
      <c r="JS458" s="119"/>
      <c r="JT458" s="119"/>
      <c r="JU458" s="119"/>
      <c r="JV458" s="119"/>
      <c r="JW458" s="119"/>
      <c r="JX458" s="119"/>
      <c r="JY458" s="119"/>
      <c r="JZ458" s="119"/>
      <c r="KA458" s="119"/>
      <c r="KB458" s="119"/>
      <c r="KC458" s="119"/>
      <c r="KD458" s="119"/>
      <c r="KE458" s="119"/>
      <c r="KF458" s="119"/>
      <c r="KG458" s="119"/>
      <c r="KH458" s="119"/>
      <c r="KI458" s="119"/>
      <c r="KJ458" s="119"/>
      <c r="KK458" s="119"/>
      <c r="KL458" s="119"/>
      <c r="KM458" s="119"/>
      <c r="KN458" s="119"/>
      <c r="KO458" s="119"/>
      <c r="KP458" s="119"/>
      <c r="KQ458" s="119"/>
      <c r="KR458" s="119"/>
      <c r="KS458" s="119"/>
      <c r="KT458" s="119"/>
      <c r="KU458" s="119"/>
      <c r="KV458" s="119"/>
      <c r="KW458" s="119"/>
      <c r="KX458" s="119"/>
      <c r="KY458" s="119"/>
      <c r="KZ458" s="119"/>
      <c r="LA458" s="119"/>
      <c r="LB458" s="119"/>
      <c r="LC458" s="119"/>
      <c r="LD458" s="119"/>
      <c r="LE458" s="119"/>
      <c r="LF458" s="119"/>
      <c r="LG458" s="119"/>
      <c r="LH458" s="119"/>
      <c r="LI458" s="119"/>
      <c r="LJ458" s="119"/>
      <c r="LK458" s="119"/>
      <c r="LL458" s="119"/>
      <c r="LM458" s="119"/>
      <c r="LN458" s="119"/>
      <c r="LO458" s="119"/>
      <c r="LP458" s="119"/>
      <c r="LQ458" s="119"/>
      <c r="LR458" s="119"/>
      <c r="LS458" s="119"/>
      <c r="LT458" s="119"/>
      <c r="LU458" s="119"/>
      <c r="LV458" s="119"/>
      <c r="LW458" s="119"/>
      <c r="LX458" s="119"/>
      <c r="LY458" s="119"/>
      <c r="LZ458" s="119"/>
      <c r="MA458" s="119"/>
      <c r="MB458" s="119"/>
      <c r="MC458" s="119"/>
      <c r="MD458" s="119"/>
      <c r="ME458" s="119"/>
      <c r="MF458" s="119"/>
      <c r="MG458" s="119"/>
      <c r="MH458" s="119"/>
      <c r="MI458" s="119"/>
      <c r="MJ458" s="119"/>
      <c r="MK458" s="119"/>
      <c r="ML458" s="119"/>
      <c r="MM458" s="119"/>
      <c r="MN458" s="119"/>
      <c r="MO458" s="119"/>
      <c r="MP458" s="119"/>
      <c r="MQ458" s="119"/>
      <c r="MR458" s="119"/>
      <c r="MS458" s="119"/>
      <c r="MT458" s="119"/>
      <c r="MU458" s="119"/>
      <c r="MV458" s="119"/>
      <c r="MW458" s="119"/>
      <c r="MX458" s="119"/>
      <c r="MY458" s="119"/>
      <c r="MZ458" s="119"/>
    </row>
    <row r="459" spans="1:364" s="27" customFormat="1" x14ac:dyDescent="0.25">
      <c r="A459" s="121"/>
      <c r="B459" s="124" t="e">
        <f>VLOOKUP(A459,Rules!$B$8:$C$154,2,0)</f>
        <v>#N/A</v>
      </c>
      <c r="C459" s="125">
        <f t="shared" ref="C459" si="14">SUM(I460:XX460)</f>
        <v>0</v>
      </c>
      <c r="D459" s="127"/>
      <c r="E459" s="110" t="s">
        <v>492</v>
      </c>
      <c r="F459" s="130" t="e">
        <f>VLOOKUP(A459,Table2[],10,0)</f>
        <v>#N/A</v>
      </c>
      <c r="G459" s="130"/>
      <c r="H459" s="113" t="s">
        <v>440</v>
      </c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9"/>
      <c r="T459" s="119"/>
      <c r="U459" s="119"/>
      <c r="V459" s="119"/>
      <c r="W459" s="119"/>
      <c r="X459" s="119"/>
      <c r="Y459" s="119"/>
      <c r="Z459" s="119"/>
      <c r="AA459" s="119"/>
      <c r="AB459" s="119"/>
      <c r="AC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9"/>
      <c r="AT459" s="119"/>
      <c r="AU459" s="119"/>
      <c r="AV459" s="119"/>
      <c r="AW459" s="119"/>
      <c r="AX459" s="119"/>
      <c r="AY459" s="119"/>
      <c r="AZ459" s="119"/>
      <c r="BA459" s="119"/>
      <c r="BB459" s="119"/>
      <c r="BC459" s="119"/>
      <c r="BD459" s="119"/>
      <c r="BE459" s="119"/>
      <c r="BF459" s="119"/>
      <c r="BG459" s="119"/>
      <c r="BH459" s="119"/>
      <c r="BI459" s="119"/>
      <c r="BJ459" s="119"/>
      <c r="BK459" s="119"/>
      <c r="BL459" s="26"/>
      <c r="BM459" s="119"/>
      <c r="BN459" s="26"/>
      <c r="BO459" s="119"/>
      <c r="BP459" s="119"/>
      <c r="BQ459" s="119"/>
      <c r="BR459" s="119"/>
      <c r="BS459" s="119"/>
      <c r="BT459" s="119"/>
      <c r="BU459" s="119"/>
      <c r="BV459" s="119"/>
      <c r="BW459" s="119"/>
      <c r="BX459" s="119"/>
      <c r="BY459" s="119"/>
      <c r="BZ459" s="119"/>
      <c r="CA459" s="119"/>
      <c r="CB459" s="119"/>
      <c r="CC459" s="119"/>
      <c r="CD459" s="119"/>
      <c r="CE459" s="119"/>
      <c r="CF459" s="119"/>
      <c r="CG459" s="119"/>
      <c r="CH459" s="119"/>
      <c r="CI459" s="119"/>
      <c r="CJ459" s="119"/>
      <c r="CK459" s="119"/>
      <c r="CL459" s="119"/>
      <c r="CM459" s="119"/>
      <c r="CN459" s="119"/>
      <c r="CO459" s="119"/>
      <c r="CP459" s="119"/>
      <c r="CQ459" s="119"/>
      <c r="CR459" s="119"/>
      <c r="CS459" s="119"/>
      <c r="CT459" s="119"/>
      <c r="CU459" s="119"/>
      <c r="CV459" s="119"/>
      <c r="CW459" s="119"/>
      <c r="CX459" s="119"/>
      <c r="CY459" s="119"/>
      <c r="CZ459" s="119"/>
      <c r="DA459" s="119"/>
      <c r="DB459" s="119"/>
      <c r="DC459" s="119"/>
      <c r="DD459" s="119"/>
      <c r="DE459" s="119"/>
      <c r="DF459" s="119"/>
      <c r="DG459" s="119"/>
      <c r="DH459" s="119"/>
      <c r="DI459" s="119"/>
      <c r="DJ459" s="119"/>
      <c r="DK459" s="119"/>
      <c r="DL459" s="119"/>
      <c r="DM459" s="119"/>
      <c r="DN459" s="119"/>
      <c r="DO459" s="119"/>
      <c r="DP459" s="119"/>
      <c r="DQ459" s="119"/>
      <c r="DR459" s="119"/>
      <c r="DS459" s="119"/>
      <c r="DT459" s="119"/>
      <c r="DU459" s="119"/>
      <c r="DV459" s="119"/>
      <c r="DW459" s="119"/>
      <c r="DX459" s="119"/>
      <c r="DY459" s="119"/>
      <c r="DZ459" s="119"/>
      <c r="EA459" s="119"/>
      <c r="EB459" s="119"/>
      <c r="EC459" s="119"/>
      <c r="ED459" s="119"/>
      <c r="EE459" s="119"/>
      <c r="EF459" s="119"/>
      <c r="EG459" s="119"/>
      <c r="EH459" s="119"/>
      <c r="EI459" s="119"/>
      <c r="EJ459" s="119"/>
      <c r="EK459" s="119"/>
      <c r="EL459" s="119"/>
      <c r="EM459" s="119"/>
      <c r="EN459" s="119"/>
      <c r="EO459" s="119"/>
      <c r="EP459" s="119"/>
      <c r="EQ459" s="119"/>
      <c r="ER459" s="119"/>
      <c r="ES459" s="119"/>
      <c r="ET459" s="119"/>
      <c r="EU459" s="119"/>
      <c r="EV459" s="119"/>
      <c r="EW459" s="119"/>
      <c r="EX459" s="119"/>
      <c r="EY459" s="119"/>
      <c r="EZ459" s="119"/>
      <c r="FA459" s="119"/>
      <c r="FB459" s="119"/>
      <c r="FC459" s="119"/>
      <c r="FD459" s="119"/>
      <c r="FE459" s="119"/>
      <c r="FF459" s="119"/>
      <c r="FG459" s="119"/>
      <c r="FH459" s="119"/>
      <c r="FI459" s="119"/>
      <c r="FJ459" s="119"/>
      <c r="FK459" s="119"/>
      <c r="FL459" s="119"/>
      <c r="FM459" s="119"/>
      <c r="FN459" s="119"/>
      <c r="FO459" s="119"/>
      <c r="FP459" s="119"/>
      <c r="FQ459" s="119"/>
      <c r="FR459" s="119"/>
      <c r="FS459" s="119"/>
      <c r="FT459" s="119"/>
      <c r="FU459" s="119"/>
      <c r="FV459" s="119"/>
      <c r="FW459" s="119"/>
      <c r="FX459" s="119"/>
      <c r="FY459" s="119"/>
      <c r="FZ459" s="119"/>
      <c r="GA459" s="119"/>
      <c r="GB459" s="119"/>
      <c r="GC459" s="119"/>
      <c r="GD459" s="119"/>
      <c r="GE459" s="119"/>
      <c r="GF459" s="119"/>
      <c r="GG459" s="119"/>
      <c r="GH459" s="119"/>
      <c r="GI459" s="119"/>
      <c r="GJ459" s="119"/>
      <c r="GK459" s="119"/>
      <c r="GL459" s="119"/>
      <c r="GM459" s="119"/>
      <c r="GN459" s="119"/>
      <c r="GO459" s="119"/>
      <c r="GP459" s="119"/>
      <c r="GQ459" s="119"/>
      <c r="GR459" s="119"/>
      <c r="GS459" s="119"/>
      <c r="GT459" s="119"/>
      <c r="GU459" s="119"/>
      <c r="GV459" s="119"/>
      <c r="GW459" s="119"/>
      <c r="GX459" s="119"/>
      <c r="GY459" s="119"/>
      <c r="GZ459" s="119"/>
      <c r="HA459" s="119"/>
      <c r="HB459" s="119"/>
      <c r="HC459" s="119"/>
      <c r="HD459" s="119"/>
      <c r="HE459" s="119"/>
      <c r="HF459" s="119"/>
      <c r="HG459" s="119"/>
      <c r="HH459" s="119"/>
      <c r="HI459" s="119"/>
      <c r="HJ459" s="119"/>
      <c r="HK459" s="119"/>
      <c r="HL459" s="119"/>
      <c r="HM459" s="119"/>
      <c r="HN459" s="119"/>
      <c r="HO459" s="119"/>
      <c r="HP459" s="119"/>
      <c r="HQ459" s="119"/>
      <c r="HR459" s="119"/>
      <c r="HS459" s="119"/>
      <c r="HT459" s="119"/>
      <c r="HU459" s="119"/>
      <c r="HV459" s="119"/>
      <c r="HW459" s="119"/>
      <c r="HX459" s="119"/>
      <c r="HY459" s="119"/>
      <c r="HZ459" s="119"/>
      <c r="IA459" s="119"/>
      <c r="IB459" s="119"/>
      <c r="IC459" s="119"/>
      <c r="ID459" s="119"/>
      <c r="IE459" s="119"/>
      <c r="IF459" s="119"/>
      <c r="IG459" s="119"/>
      <c r="IH459" s="119"/>
      <c r="II459" s="119"/>
      <c r="IJ459" s="119"/>
      <c r="IK459" s="119"/>
      <c r="IL459" s="119"/>
      <c r="IM459" s="119"/>
      <c r="IN459" s="119"/>
      <c r="IO459" s="119"/>
      <c r="IP459" s="119"/>
      <c r="IQ459" s="119"/>
      <c r="IR459" s="119"/>
      <c r="IS459" s="119"/>
      <c r="IT459" s="119"/>
      <c r="IU459" s="119"/>
      <c r="IV459" s="119"/>
      <c r="IW459" s="119"/>
      <c r="IX459" s="119"/>
      <c r="IY459" s="119"/>
      <c r="IZ459" s="119"/>
      <c r="JA459" s="119"/>
      <c r="JB459" s="119"/>
      <c r="JC459" s="119"/>
      <c r="JD459" s="119"/>
      <c r="JE459" s="119"/>
      <c r="JF459" s="119"/>
      <c r="JG459" s="119"/>
      <c r="JH459" s="119"/>
      <c r="JI459" s="119"/>
      <c r="JJ459" s="119"/>
      <c r="JK459" s="119"/>
      <c r="JL459" s="119"/>
      <c r="JM459" s="119"/>
      <c r="JN459" s="119"/>
      <c r="JO459" s="119"/>
      <c r="JP459" s="119"/>
      <c r="JQ459" s="119"/>
      <c r="JR459" s="119"/>
      <c r="JS459" s="119"/>
      <c r="JT459" s="119"/>
      <c r="JU459" s="119"/>
      <c r="JV459" s="119"/>
      <c r="JW459" s="119"/>
      <c r="JX459" s="119"/>
      <c r="JY459" s="119"/>
      <c r="JZ459" s="119"/>
      <c r="KA459" s="119"/>
      <c r="KB459" s="119"/>
      <c r="KC459" s="119"/>
      <c r="KD459" s="119"/>
      <c r="KE459" s="119"/>
      <c r="KF459" s="119"/>
      <c r="KG459" s="119"/>
      <c r="KH459" s="119"/>
      <c r="KI459" s="119"/>
      <c r="KJ459" s="119"/>
      <c r="KK459" s="119"/>
      <c r="KL459" s="119"/>
      <c r="KM459" s="119"/>
      <c r="KN459" s="119"/>
      <c r="KO459" s="119"/>
      <c r="KP459" s="119"/>
      <c r="KQ459" s="119"/>
      <c r="KR459" s="119"/>
      <c r="KS459" s="119"/>
      <c r="KT459" s="119"/>
      <c r="KU459" s="119"/>
      <c r="KV459" s="119"/>
      <c r="KW459" s="119"/>
      <c r="KX459" s="119"/>
      <c r="KY459" s="119"/>
      <c r="KZ459" s="119"/>
      <c r="LA459" s="119"/>
      <c r="LB459" s="119"/>
      <c r="LC459" s="119"/>
      <c r="LD459" s="119"/>
      <c r="LE459" s="119"/>
      <c r="LF459" s="119"/>
      <c r="LG459" s="119"/>
      <c r="LH459" s="119"/>
      <c r="LI459" s="119"/>
      <c r="LJ459" s="119"/>
      <c r="LK459" s="119"/>
      <c r="LL459" s="119"/>
      <c r="LM459" s="119"/>
      <c r="LN459" s="119"/>
      <c r="LO459" s="119"/>
      <c r="LP459" s="119"/>
      <c r="LQ459" s="119"/>
      <c r="LR459" s="119"/>
      <c r="LS459" s="119"/>
      <c r="LT459" s="119"/>
      <c r="LU459" s="119"/>
      <c r="LV459" s="119"/>
      <c r="LW459" s="119"/>
      <c r="LX459" s="119"/>
      <c r="LY459" s="119"/>
      <c r="LZ459" s="119"/>
      <c r="MA459" s="119"/>
      <c r="MB459" s="119"/>
      <c r="MC459" s="119"/>
      <c r="MD459" s="119"/>
      <c r="ME459" s="119"/>
      <c r="MF459" s="119"/>
      <c r="MG459" s="119"/>
      <c r="MH459" s="119"/>
      <c r="MI459" s="119"/>
      <c r="MJ459" s="119"/>
      <c r="MK459" s="119"/>
      <c r="ML459" s="119"/>
      <c r="MM459" s="119"/>
      <c r="MN459" s="119"/>
      <c r="MO459" s="119"/>
      <c r="MP459" s="119"/>
      <c r="MQ459" s="119"/>
      <c r="MR459" s="119"/>
      <c r="MS459" s="119"/>
      <c r="MT459" s="119"/>
      <c r="MU459" s="119"/>
      <c r="MV459" s="119"/>
      <c r="MW459" s="119"/>
      <c r="MX459" s="119"/>
      <c r="MY459" s="119"/>
      <c r="MZ459" s="119"/>
    </row>
    <row r="460" spans="1:364" s="27" customFormat="1" x14ac:dyDescent="0.25">
      <c r="A460" s="122"/>
      <c r="B460" s="122"/>
      <c r="C460" s="126"/>
      <c r="D460" s="128"/>
      <c r="E460" s="109"/>
      <c r="F460" s="131"/>
      <c r="G460" s="131"/>
      <c r="H460" s="105" t="s">
        <v>439</v>
      </c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9"/>
      <c r="T460" s="119"/>
      <c r="U460" s="119"/>
      <c r="V460" s="119"/>
      <c r="W460" s="119"/>
      <c r="X460" s="119"/>
      <c r="Y460" s="119"/>
      <c r="Z460" s="119"/>
      <c r="AA460" s="119"/>
      <c r="AB460" s="119"/>
      <c r="AC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9"/>
      <c r="AT460" s="119"/>
      <c r="AU460" s="119"/>
      <c r="AV460" s="119"/>
      <c r="AW460" s="119"/>
      <c r="AX460" s="119"/>
      <c r="AY460" s="119"/>
      <c r="AZ460" s="119"/>
      <c r="BA460" s="119"/>
      <c r="BB460" s="119"/>
      <c r="BC460" s="119"/>
      <c r="BD460" s="119"/>
      <c r="BE460" s="119"/>
      <c r="BF460" s="119"/>
      <c r="BG460" s="119"/>
      <c r="BH460" s="119"/>
      <c r="BI460" s="119"/>
      <c r="BJ460" s="119"/>
      <c r="BK460" s="119"/>
      <c r="BL460" s="26"/>
      <c r="BM460" s="119"/>
      <c r="BN460" s="26"/>
      <c r="BO460" s="119"/>
      <c r="BP460" s="119"/>
      <c r="BQ460" s="119"/>
      <c r="BR460" s="119"/>
      <c r="BS460" s="119"/>
      <c r="BT460" s="119"/>
      <c r="BU460" s="119"/>
      <c r="BV460" s="119"/>
      <c r="BW460" s="119"/>
      <c r="BX460" s="119"/>
      <c r="BY460" s="119"/>
      <c r="BZ460" s="119"/>
      <c r="CA460" s="119"/>
      <c r="CB460" s="119"/>
      <c r="CC460" s="119"/>
      <c r="CD460" s="119"/>
      <c r="CE460" s="119"/>
      <c r="CF460" s="119"/>
      <c r="CG460" s="119"/>
      <c r="CH460" s="119"/>
      <c r="CI460" s="119"/>
      <c r="CJ460" s="119"/>
      <c r="CK460" s="119"/>
      <c r="CL460" s="119"/>
      <c r="CM460" s="119"/>
      <c r="CN460" s="119"/>
      <c r="CO460" s="119"/>
      <c r="CP460" s="119"/>
      <c r="CQ460" s="119"/>
      <c r="CR460" s="119"/>
      <c r="CS460" s="119"/>
      <c r="CT460" s="119"/>
      <c r="CU460" s="119"/>
      <c r="CV460" s="119"/>
      <c r="CW460" s="119"/>
      <c r="CX460" s="119"/>
      <c r="CY460" s="119"/>
      <c r="CZ460" s="119"/>
      <c r="DA460" s="119"/>
      <c r="DB460" s="119"/>
      <c r="DC460" s="119"/>
      <c r="DD460" s="119"/>
      <c r="DE460" s="119"/>
      <c r="DF460" s="119"/>
      <c r="DG460" s="119"/>
      <c r="DH460" s="119"/>
      <c r="DI460" s="119"/>
      <c r="DJ460" s="119"/>
      <c r="DK460" s="119"/>
      <c r="DL460" s="119"/>
      <c r="DM460" s="119"/>
      <c r="DN460" s="119"/>
      <c r="DO460" s="119"/>
      <c r="DP460" s="119"/>
      <c r="DQ460" s="119"/>
      <c r="DR460" s="119"/>
      <c r="DS460" s="119"/>
      <c r="DT460" s="119"/>
      <c r="DU460" s="119"/>
      <c r="DV460" s="119"/>
      <c r="DW460" s="119"/>
      <c r="DX460" s="119"/>
      <c r="DY460" s="119"/>
      <c r="DZ460" s="119"/>
      <c r="EA460" s="119"/>
      <c r="EB460" s="119"/>
      <c r="EC460" s="119"/>
      <c r="ED460" s="119"/>
      <c r="EE460" s="119"/>
      <c r="EF460" s="119"/>
      <c r="EG460" s="119"/>
      <c r="EH460" s="119"/>
      <c r="EI460" s="119"/>
      <c r="EJ460" s="119"/>
      <c r="EK460" s="119"/>
      <c r="EL460" s="119"/>
      <c r="EM460" s="119"/>
      <c r="EN460" s="119"/>
      <c r="EO460" s="119"/>
      <c r="EP460" s="119"/>
      <c r="EQ460" s="119"/>
      <c r="ER460" s="119"/>
      <c r="ES460" s="119"/>
      <c r="ET460" s="119"/>
      <c r="EU460" s="119"/>
      <c r="EV460" s="119"/>
      <c r="EW460" s="119"/>
      <c r="EX460" s="119"/>
      <c r="EY460" s="119"/>
      <c r="EZ460" s="119"/>
      <c r="FA460" s="119"/>
      <c r="FB460" s="119"/>
      <c r="FC460" s="119"/>
      <c r="FD460" s="119"/>
      <c r="FE460" s="119"/>
      <c r="FF460" s="119"/>
      <c r="FG460" s="119"/>
      <c r="FH460" s="119"/>
      <c r="FI460" s="119"/>
      <c r="FJ460" s="119"/>
      <c r="FK460" s="119"/>
      <c r="FL460" s="119"/>
      <c r="FM460" s="119"/>
      <c r="FN460" s="119"/>
      <c r="FO460" s="119"/>
      <c r="FP460" s="119"/>
      <c r="FQ460" s="119"/>
      <c r="FR460" s="119"/>
      <c r="FS460" s="119"/>
      <c r="FT460" s="119"/>
      <c r="FU460" s="119"/>
      <c r="FV460" s="119"/>
      <c r="FW460" s="119"/>
      <c r="FX460" s="119"/>
      <c r="FY460" s="119"/>
      <c r="FZ460" s="119"/>
      <c r="GA460" s="119"/>
      <c r="GB460" s="119"/>
      <c r="GC460" s="119"/>
      <c r="GD460" s="119"/>
      <c r="GE460" s="119"/>
      <c r="GF460" s="119"/>
      <c r="GG460" s="119"/>
      <c r="GH460" s="119"/>
      <c r="GI460" s="119"/>
      <c r="GJ460" s="119"/>
      <c r="GK460" s="119"/>
      <c r="GL460" s="119"/>
      <c r="GM460" s="119"/>
      <c r="GN460" s="119"/>
      <c r="GO460" s="119"/>
      <c r="GP460" s="119"/>
      <c r="GQ460" s="119"/>
      <c r="GR460" s="119"/>
      <c r="GS460" s="119"/>
      <c r="GT460" s="119"/>
      <c r="GU460" s="119"/>
      <c r="GV460" s="119"/>
      <c r="GW460" s="119"/>
      <c r="GX460" s="119"/>
      <c r="GY460" s="119"/>
      <c r="GZ460" s="119"/>
      <c r="HA460" s="119"/>
      <c r="HB460" s="119"/>
      <c r="HC460" s="119"/>
      <c r="HD460" s="119"/>
      <c r="HE460" s="119"/>
      <c r="HF460" s="119"/>
      <c r="HG460" s="119"/>
      <c r="HH460" s="119"/>
      <c r="HI460" s="119"/>
      <c r="HJ460" s="119"/>
      <c r="HK460" s="119"/>
      <c r="HL460" s="119"/>
      <c r="HM460" s="119"/>
      <c r="HN460" s="119"/>
      <c r="HO460" s="119"/>
      <c r="HP460" s="119"/>
      <c r="HQ460" s="119"/>
      <c r="HR460" s="119"/>
      <c r="HS460" s="119"/>
      <c r="HT460" s="119"/>
      <c r="HU460" s="119"/>
      <c r="HV460" s="119"/>
      <c r="HW460" s="119"/>
      <c r="HX460" s="119"/>
      <c r="HY460" s="119"/>
      <c r="HZ460" s="119"/>
      <c r="IA460" s="119"/>
      <c r="IB460" s="119"/>
      <c r="IC460" s="119"/>
      <c r="ID460" s="119"/>
      <c r="IE460" s="119"/>
      <c r="IF460" s="119"/>
      <c r="IG460" s="119"/>
      <c r="IH460" s="119"/>
      <c r="II460" s="119"/>
      <c r="IJ460" s="119"/>
      <c r="IK460" s="119"/>
      <c r="IL460" s="119"/>
      <c r="IM460" s="119"/>
      <c r="IN460" s="119"/>
      <c r="IO460" s="119"/>
      <c r="IP460" s="119"/>
      <c r="IQ460" s="119"/>
      <c r="IR460" s="119"/>
      <c r="IS460" s="119"/>
      <c r="IT460" s="119"/>
      <c r="IU460" s="119"/>
      <c r="IV460" s="119"/>
      <c r="IW460" s="119"/>
      <c r="IX460" s="119"/>
      <c r="IY460" s="119"/>
      <c r="IZ460" s="119"/>
      <c r="JA460" s="119"/>
      <c r="JB460" s="119"/>
      <c r="JC460" s="119"/>
      <c r="JD460" s="119"/>
      <c r="JE460" s="119"/>
      <c r="JF460" s="119"/>
      <c r="JG460" s="119"/>
      <c r="JH460" s="119"/>
      <c r="JI460" s="119"/>
      <c r="JJ460" s="119"/>
      <c r="JK460" s="119"/>
      <c r="JL460" s="119"/>
      <c r="JM460" s="119"/>
      <c r="JN460" s="119"/>
      <c r="JO460" s="119"/>
      <c r="JP460" s="119"/>
      <c r="JQ460" s="119"/>
      <c r="JR460" s="119"/>
      <c r="JS460" s="119"/>
      <c r="JT460" s="119"/>
      <c r="JU460" s="119"/>
      <c r="JV460" s="119"/>
      <c r="JW460" s="119"/>
      <c r="JX460" s="119"/>
      <c r="JY460" s="119"/>
      <c r="JZ460" s="119"/>
      <c r="KA460" s="119"/>
      <c r="KB460" s="119"/>
      <c r="KC460" s="119"/>
      <c r="KD460" s="119"/>
      <c r="KE460" s="119"/>
      <c r="KF460" s="119"/>
      <c r="KG460" s="119"/>
      <c r="KH460" s="119"/>
      <c r="KI460" s="119"/>
      <c r="KJ460" s="119"/>
      <c r="KK460" s="119"/>
      <c r="KL460" s="119"/>
      <c r="KM460" s="119"/>
      <c r="KN460" s="119"/>
      <c r="KO460" s="119"/>
      <c r="KP460" s="119"/>
      <c r="KQ460" s="119"/>
      <c r="KR460" s="119"/>
      <c r="KS460" s="119"/>
      <c r="KT460" s="119"/>
      <c r="KU460" s="119"/>
      <c r="KV460" s="119"/>
      <c r="KW460" s="119"/>
      <c r="KX460" s="119"/>
      <c r="KY460" s="119"/>
      <c r="KZ460" s="119"/>
      <c r="LA460" s="119"/>
      <c r="LB460" s="119"/>
      <c r="LC460" s="119"/>
      <c r="LD460" s="119"/>
      <c r="LE460" s="119"/>
      <c r="LF460" s="119"/>
      <c r="LG460" s="119"/>
      <c r="LH460" s="119"/>
      <c r="LI460" s="119"/>
      <c r="LJ460" s="119"/>
      <c r="LK460" s="119"/>
      <c r="LL460" s="119"/>
      <c r="LM460" s="119"/>
      <c r="LN460" s="119"/>
      <c r="LO460" s="119"/>
      <c r="LP460" s="119"/>
      <c r="LQ460" s="119"/>
      <c r="LR460" s="119"/>
      <c r="LS460" s="119"/>
      <c r="LT460" s="119"/>
      <c r="LU460" s="119"/>
      <c r="LV460" s="119"/>
      <c r="LW460" s="119"/>
      <c r="LX460" s="119"/>
      <c r="LY460" s="119"/>
      <c r="LZ460" s="119"/>
      <c r="MA460" s="119"/>
      <c r="MB460" s="119"/>
      <c r="MC460" s="119"/>
      <c r="MD460" s="119"/>
      <c r="ME460" s="119"/>
      <c r="MF460" s="119"/>
      <c r="MG460" s="119"/>
      <c r="MH460" s="119"/>
      <c r="MI460" s="119"/>
      <c r="MJ460" s="119"/>
      <c r="MK460" s="119"/>
      <c r="ML460" s="119"/>
      <c r="MM460" s="119"/>
      <c r="MN460" s="119"/>
      <c r="MO460" s="119"/>
      <c r="MP460" s="119"/>
      <c r="MQ460" s="119"/>
      <c r="MR460" s="119"/>
      <c r="MS460" s="119"/>
      <c r="MT460" s="119"/>
      <c r="MU460" s="119"/>
      <c r="MV460" s="119"/>
      <c r="MW460" s="119"/>
      <c r="MX460" s="119"/>
      <c r="MY460" s="119"/>
      <c r="MZ460" s="119"/>
    </row>
    <row r="461" spans="1:364" s="27" customFormat="1" x14ac:dyDescent="0.25">
      <c r="A461" s="122"/>
      <c r="B461" s="122"/>
      <c r="C461" s="126"/>
      <c r="D461" s="128"/>
      <c r="E461" s="109" t="s">
        <v>493</v>
      </c>
      <c r="F461" s="131"/>
      <c r="G461" s="131"/>
      <c r="H461" s="106" t="s">
        <v>438</v>
      </c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19"/>
      <c r="T461" s="119"/>
      <c r="U461" s="119"/>
      <c r="V461" s="119"/>
      <c r="W461" s="119"/>
      <c r="X461" s="119"/>
      <c r="Y461" s="119"/>
      <c r="Z461" s="119"/>
      <c r="AA461" s="119"/>
      <c r="AB461" s="119"/>
      <c r="AC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9"/>
      <c r="AT461" s="119"/>
      <c r="AU461" s="119"/>
      <c r="AV461" s="119"/>
      <c r="AW461" s="119"/>
      <c r="AX461" s="119"/>
      <c r="AY461" s="119"/>
      <c r="AZ461" s="119"/>
      <c r="BA461" s="119"/>
      <c r="BB461" s="119"/>
      <c r="BC461" s="119"/>
      <c r="BD461" s="119"/>
      <c r="BE461" s="119"/>
      <c r="BF461" s="119"/>
      <c r="BG461" s="119"/>
      <c r="BH461" s="119"/>
      <c r="BI461" s="119"/>
      <c r="BJ461" s="119"/>
      <c r="BK461" s="119"/>
      <c r="BL461" s="26"/>
      <c r="BM461" s="119"/>
      <c r="BN461" s="119"/>
      <c r="BO461" s="119"/>
      <c r="BP461" s="119"/>
      <c r="BQ461" s="119"/>
      <c r="BR461" s="119"/>
      <c r="BS461" s="119"/>
      <c r="BT461" s="119"/>
      <c r="BU461" s="119"/>
      <c r="BV461" s="119"/>
      <c r="BW461" s="119"/>
      <c r="BX461" s="119"/>
      <c r="BY461" s="119"/>
      <c r="BZ461" s="119"/>
      <c r="CA461" s="119"/>
      <c r="CB461" s="119"/>
      <c r="CC461" s="119"/>
      <c r="CD461" s="119"/>
      <c r="CE461" s="119"/>
      <c r="CF461" s="119"/>
      <c r="CG461" s="119"/>
      <c r="CH461" s="119"/>
      <c r="CI461" s="119"/>
      <c r="CJ461" s="119"/>
      <c r="CK461" s="119"/>
      <c r="CL461" s="119"/>
      <c r="CM461" s="119"/>
      <c r="CN461" s="119"/>
      <c r="CO461" s="119"/>
      <c r="CP461" s="119"/>
      <c r="CQ461" s="119"/>
      <c r="CR461" s="119"/>
      <c r="CS461" s="119"/>
      <c r="CT461" s="119"/>
      <c r="CU461" s="119"/>
      <c r="CV461" s="119"/>
      <c r="CW461" s="119"/>
      <c r="CX461" s="119"/>
      <c r="CY461" s="119"/>
      <c r="CZ461" s="119"/>
      <c r="DA461" s="119"/>
      <c r="DB461" s="119"/>
      <c r="DC461" s="119"/>
      <c r="DD461" s="119"/>
      <c r="DE461" s="119"/>
      <c r="DF461" s="119"/>
      <c r="DG461" s="119"/>
      <c r="DH461" s="119"/>
      <c r="DI461" s="119"/>
      <c r="DJ461" s="119"/>
      <c r="DK461" s="119"/>
      <c r="DL461" s="119"/>
      <c r="DM461" s="119"/>
      <c r="DN461" s="119"/>
      <c r="DO461" s="119"/>
      <c r="DP461" s="119"/>
      <c r="DQ461" s="119"/>
      <c r="DR461" s="119"/>
      <c r="DS461" s="119"/>
      <c r="DT461" s="119"/>
      <c r="DU461" s="119"/>
      <c r="DV461" s="119"/>
      <c r="DW461" s="119"/>
      <c r="DX461" s="119"/>
      <c r="DY461" s="119"/>
      <c r="DZ461" s="119"/>
      <c r="EA461" s="119"/>
      <c r="EB461" s="119"/>
      <c r="EC461" s="119"/>
      <c r="ED461" s="119"/>
      <c r="EE461" s="119"/>
      <c r="EF461" s="119"/>
      <c r="EG461" s="119"/>
      <c r="EH461" s="119"/>
      <c r="EI461" s="119"/>
      <c r="EJ461" s="119"/>
      <c r="EK461" s="119"/>
      <c r="EL461" s="119"/>
      <c r="EM461" s="119"/>
      <c r="EN461" s="119"/>
      <c r="EO461" s="119"/>
      <c r="EP461" s="119"/>
      <c r="EQ461" s="119"/>
      <c r="ER461" s="119"/>
      <c r="ES461" s="119"/>
      <c r="ET461" s="119"/>
      <c r="EU461" s="119"/>
      <c r="EV461" s="119"/>
      <c r="EW461" s="119"/>
      <c r="EX461" s="119"/>
      <c r="EY461" s="119"/>
      <c r="EZ461" s="119"/>
      <c r="FA461" s="119"/>
      <c r="FB461" s="119"/>
      <c r="FC461" s="119"/>
      <c r="FD461" s="119"/>
      <c r="FE461" s="119"/>
      <c r="FF461" s="119"/>
      <c r="FG461" s="119"/>
      <c r="FH461" s="119"/>
      <c r="FI461" s="119"/>
      <c r="FJ461" s="119"/>
      <c r="FK461" s="119"/>
      <c r="FL461" s="119"/>
      <c r="FM461" s="119"/>
      <c r="FN461" s="119"/>
      <c r="FO461" s="119"/>
      <c r="FP461" s="119"/>
      <c r="FQ461" s="119"/>
      <c r="FR461" s="119"/>
      <c r="FS461" s="119"/>
      <c r="FT461" s="119"/>
      <c r="FU461" s="119"/>
      <c r="FV461" s="119"/>
      <c r="FW461" s="119"/>
      <c r="FX461" s="119"/>
      <c r="FY461" s="119"/>
      <c r="FZ461" s="119"/>
      <c r="GA461" s="119"/>
      <c r="GB461" s="119"/>
      <c r="GC461" s="119"/>
      <c r="GD461" s="119"/>
      <c r="GE461" s="119"/>
      <c r="GF461" s="119"/>
      <c r="GG461" s="119"/>
      <c r="GH461" s="119"/>
      <c r="GI461" s="119"/>
      <c r="GJ461" s="119"/>
      <c r="GK461" s="119"/>
      <c r="GL461" s="119"/>
      <c r="GM461" s="119"/>
      <c r="GN461" s="119"/>
      <c r="GO461" s="119"/>
      <c r="GP461" s="119"/>
      <c r="GQ461" s="119"/>
      <c r="GR461" s="119"/>
      <c r="GS461" s="119"/>
      <c r="GT461" s="119"/>
      <c r="GU461" s="119"/>
      <c r="GV461" s="119"/>
      <c r="GW461" s="119"/>
      <c r="GX461" s="119"/>
      <c r="GY461" s="119"/>
      <c r="GZ461" s="119"/>
      <c r="HA461" s="119"/>
      <c r="HB461" s="119"/>
      <c r="HC461" s="119"/>
      <c r="HD461" s="119"/>
      <c r="HE461" s="119"/>
      <c r="HF461" s="119"/>
      <c r="HG461" s="119"/>
      <c r="HH461" s="119"/>
      <c r="HI461" s="119"/>
      <c r="HJ461" s="119"/>
      <c r="HK461" s="119"/>
      <c r="HL461" s="119"/>
      <c r="HM461" s="119"/>
      <c r="HN461" s="119"/>
      <c r="HO461" s="119"/>
      <c r="HP461" s="119"/>
      <c r="HQ461" s="119"/>
      <c r="HR461" s="119"/>
      <c r="HS461" s="119"/>
      <c r="HT461" s="119"/>
      <c r="HU461" s="119"/>
      <c r="HV461" s="119"/>
      <c r="HW461" s="119"/>
      <c r="HX461" s="119"/>
      <c r="HY461" s="119"/>
      <c r="HZ461" s="119"/>
      <c r="IA461" s="119"/>
      <c r="IB461" s="119"/>
      <c r="IC461" s="119"/>
      <c r="ID461" s="119"/>
      <c r="IE461" s="119"/>
      <c r="IF461" s="119"/>
      <c r="IG461" s="119"/>
      <c r="IH461" s="119"/>
      <c r="II461" s="119"/>
      <c r="IJ461" s="119"/>
      <c r="IK461" s="119"/>
      <c r="IL461" s="119"/>
      <c r="IM461" s="119"/>
      <c r="IN461" s="119"/>
      <c r="IO461" s="119"/>
      <c r="IP461" s="119"/>
      <c r="IQ461" s="119"/>
      <c r="IR461" s="119"/>
      <c r="IS461" s="119"/>
      <c r="IT461" s="119"/>
      <c r="IU461" s="119"/>
      <c r="IV461" s="119"/>
      <c r="IW461" s="119"/>
      <c r="IX461" s="119"/>
      <c r="IY461" s="119"/>
      <c r="IZ461" s="119"/>
      <c r="JA461" s="119"/>
      <c r="JB461" s="119"/>
      <c r="JC461" s="119"/>
      <c r="JD461" s="119"/>
      <c r="JE461" s="119"/>
      <c r="JF461" s="119"/>
      <c r="JG461" s="119"/>
      <c r="JH461" s="119"/>
      <c r="JI461" s="119"/>
      <c r="JJ461" s="119"/>
      <c r="JK461" s="119"/>
      <c r="JL461" s="119"/>
      <c r="JM461" s="119"/>
      <c r="JN461" s="119"/>
      <c r="JO461" s="119"/>
      <c r="JP461" s="119"/>
      <c r="JQ461" s="119"/>
      <c r="JR461" s="119"/>
      <c r="JS461" s="119"/>
      <c r="JT461" s="119"/>
      <c r="JU461" s="119"/>
      <c r="JV461" s="119"/>
      <c r="JW461" s="119"/>
      <c r="JX461" s="119"/>
      <c r="JY461" s="119"/>
      <c r="JZ461" s="119"/>
      <c r="KA461" s="119"/>
      <c r="KB461" s="119"/>
      <c r="KC461" s="119"/>
      <c r="KD461" s="119"/>
      <c r="KE461" s="119"/>
      <c r="KF461" s="119"/>
      <c r="KG461" s="119"/>
      <c r="KH461" s="119"/>
      <c r="KI461" s="119"/>
      <c r="KJ461" s="119"/>
      <c r="KK461" s="119"/>
      <c r="KL461" s="119"/>
      <c r="KM461" s="119"/>
      <c r="KN461" s="119"/>
      <c r="KO461" s="119"/>
      <c r="KP461" s="119"/>
      <c r="KQ461" s="119"/>
      <c r="KR461" s="119"/>
      <c r="KS461" s="119"/>
      <c r="KT461" s="119"/>
      <c r="KU461" s="119"/>
      <c r="KV461" s="119"/>
      <c r="KW461" s="119"/>
      <c r="KX461" s="119"/>
      <c r="KY461" s="119"/>
      <c r="KZ461" s="119"/>
      <c r="LA461" s="119"/>
      <c r="LB461" s="119"/>
      <c r="LC461" s="119"/>
      <c r="LD461" s="119"/>
      <c r="LE461" s="119"/>
      <c r="LF461" s="119"/>
      <c r="LG461" s="119"/>
      <c r="LH461" s="119"/>
      <c r="LI461" s="119"/>
      <c r="LJ461" s="119"/>
      <c r="LK461" s="119"/>
      <c r="LL461" s="119"/>
      <c r="LM461" s="119"/>
      <c r="LN461" s="119"/>
      <c r="LO461" s="119"/>
      <c r="LP461" s="119"/>
      <c r="LQ461" s="119"/>
      <c r="LR461" s="119"/>
      <c r="LS461" s="119"/>
      <c r="LT461" s="119"/>
      <c r="LU461" s="119"/>
      <c r="LV461" s="119"/>
      <c r="LW461" s="119"/>
      <c r="LX461" s="119"/>
      <c r="LY461" s="119"/>
      <c r="LZ461" s="119"/>
      <c r="MA461" s="119"/>
      <c r="MB461" s="119"/>
      <c r="MC461" s="119"/>
      <c r="MD461" s="119"/>
      <c r="ME461" s="119"/>
      <c r="MF461" s="119"/>
      <c r="MG461" s="119"/>
      <c r="MH461" s="119"/>
      <c r="MI461" s="119"/>
      <c r="MJ461" s="119"/>
      <c r="MK461" s="119"/>
      <c r="ML461" s="119"/>
      <c r="MM461" s="119"/>
      <c r="MN461" s="119"/>
      <c r="MO461" s="119"/>
      <c r="MP461" s="119"/>
      <c r="MQ461" s="119"/>
      <c r="MR461" s="119"/>
      <c r="MS461" s="119"/>
      <c r="MT461" s="119"/>
      <c r="MU461" s="119"/>
      <c r="MV461" s="119"/>
      <c r="MW461" s="119"/>
      <c r="MX461" s="119"/>
      <c r="MY461" s="119"/>
      <c r="MZ461" s="119"/>
    </row>
    <row r="462" spans="1:364" s="27" customFormat="1" x14ac:dyDescent="0.25">
      <c r="A462" s="123"/>
      <c r="B462" s="123"/>
      <c r="C462" s="126"/>
      <c r="D462" s="129"/>
      <c r="E462" s="109"/>
      <c r="F462" s="131"/>
      <c r="G462" s="132"/>
      <c r="H462" s="114" t="s">
        <v>149</v>
      </c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19"/>
      <c r="T462" s="119"/>
      <c r="U462" s="119"/>
      <c r="V462" s="119"/>
      <c r="W462" s="119"/>
      <c r="X462" s="119"/>
      <c r="Y462" s="119"/>
      <c r="Z462" s="119"/>
      <c r="AA462" s="119"/>
      <c r="AB462" s="119"/>
      <c r="AC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9"/>
      <c r="AT462" s="119"/>
      <c r="AU462" s="119"/>
      <c r="AV462" s="119"/>
      <c r="AW462" s="119"/>
      <c r="AX462" s="119"/>
      <c r="AY462" s="119"/>
      <c r="AZ462" s="119"/>
      <c r="BA462" s="119"/>
      <c r="BB462" s="119"/>
      <c r="BC462" s="119"/>
      <c r="BD462" s="119"/>
      <c r="BE462" s="119"/>
      <c r="BF462" s="119"/>
      <c r="BG462" s="119"/>
      <c r="BH462" s="119"/>
      <c r="BI462" s="119"/>
      <c r="BJ462" s="119"/>
      <c r="BK462" s="119"/>
      <c r="BL462" s="26"/>
      <c r="BM462" s="119"/>
      <c r="BN462" s="119"/>
      <c r="BO462" s="119"/>
      <c r="BP462" s="119"/>
      <c r="BQ462" s="119"/>
      <c r="BR462" s="119"/>
      <c r="BS462" s="119"/>
      <c r="BT462" s="119"/>
      <c r="BU462" s="119"/>
      <c r="BV462" s="119"/>
      <c r="BW462" s="119"/>
      <c r="BX462" s="119"/>
      <c r="BY462" s="119"/>
      <c r="BZ462" s="119"/>
      <c r="CA462" s="119"/>
      <c r="CB462" s="119"/>
      <c r="CC462" s="119"/>
      <c r="CD462" s="119"/>
      <c r="CE462" s="119"/>
      <c r="CF462" s="119"/>
      <c r="CG462" s="119"/>
      <c r="CH462" s="119"/>
      <c r="CI462" s="119"/>
      <c r="CJ462" s="119"/>
      <c r="CK462" s="119"/>
      <c r="CL462" s="119"/>
      <c r="CM462" s="119"/>
      <c r="CN462" s="119"/>
      <c r="CO462" s="119"/>
      <c r="CP462" s="119"/>
      <c r="CQ462" s="119"/>
      <c r="CR462" s="119"/>
      <c r="CS462" s="119"/>
      <c r="CT462" s="119"/>
      <c r="CU462" s="119"/>
      <c r="CV462" s="119"/>
      <c r="CW462" s="119"/>
      <c r="CX462" s="119"/>
      <c r="CY462" s="119"/>
      <c r="CZ462" s="119"/>
      <c r="DA462" s="119"/>
      <c r="DB462" s="119"/>
      <c r="DC462" s="119"/>
      <c r="DD462" s="119"/>
      <c r="DE462" s="119"/>
      <c r="DF462" s="119"/>
      <c r="DG462" s="119"/>
      <c r="DH462" s="119"/>
      <c r="DI462" s="119"/>
      <c r="DJ462" s="119"/>
      <c r="DK462" s="119"/>
      <c r="DL462" s="119"/>
      <c r="DM462" s="119"/>
      <c r="DN462" s="119"/>
      <c r="DO462" s="119"/>
      <c r="DP462" s="119"/>
      <c r="DQ462" s="119"/>
      <c r="DR462" s="119"/>
      <c r="DS462" s="119"/>
      <c r="DT462" s="119"/>
      <c r="DU462" s="119"/>
      <c r="DV462" s="119"/>
      <c r="DW462" s="119"/>
      <c r="DX462" s="119"/>
      <c r="DY462" s="119"/>
      <c r="DZ462" s="119"/>
      <c r="EA462" s="119"/>
      <c r="EB462" s="119"/>
      <c r="EC462" s="119"/>
      <c r="ED462" s="119"/>
      <c r="EE462" s="119"/>
      <c r="EF462" s="119"/>
      <c r="EG462" s="119"/>
      <c r="EH462" s="119"/>
      <c r="EI462" s="119"/>
      <c r="EJ462" s="119"/>
      <c r="EK462" s="119"/>
      <c r="EL462" s="119"/>
      <c r="EM462" s="119"/>
      <c r="EN462" s="119"/>
      <c r="EO462" s="119"/>
      <c r="EP462" s="119"/>
      <c r="EQ462" s="119"/>
      <c r="ER462" s="119"/>
      <c r="ES462" s="119"/>
      <c r="ET462" s="119"/>
      <c r="EU462" s="119"/>
      <c r="EV462" s="119"/>
      <c r="EW462" s="119"/>
      <c r="EX462" s="119"/>
      <c r="EY462" s="119"/>
      <c r="EZ462" s="119"/>
      <c r="FA462" s="119"/>
      <c r="FB462" s="119"/>
      <c r="FC462" s="119"/>
      <c r="FD462" s="119"/>
      <c r="FE462" s="119"/>
      <c r="FF462" s="119"/>
      <c r="FG462" s="119"/>
      <c r="FH462" s="119"/>
      <c r="FI462" s="119"/>
      <c r="FJ462" s="119"/>
      <c r="FK462" s="119"/>
      <c r="FL462" s="119"/>
      <c r="FM462" s="119"/>
      <c r="FN462" s="119"/>
      <c r="FO462" s="119"/>
      <c r="FP462" s="119"/>
      <c r="FQ462" s="119"/>
      <c r="FR462" s="119"/>
      <c r="FS462" s="119"/>
      <c r="FT462" s="119"/>
      <c r="FU462" s="119"/>
      <c r="FV462" s="119"/>
      <c r="FW462" s="119"/>
      <c r="FX462" s="119"/>
      <c r="FY462" s="119"/>
      <c r="FZ462" s="119"/>
      <c r="GA462" s="119"/>
      <c r="GB462" s="119"/>
      <c r="GC462" s="119"/>
      <c r="GD462" s="119"/>
      <c r="GE462" s="119"/>
      <c r="GF462" s="119"/>
      <c r="GG462" s="119"/>
      <c r="GH462" s="119"/>
      <c r="GI462" s="119"/>
      <c r="GJ462" s="119"/>
      <c r="GK462" s="119"/>
      <c r="GL462" s="119"/>
      <c r="GM462" s="119"/>
      <c r="GN462" s="119"/>
      <c r="GO462" s="119"/>
      <c r="GP462" s="119"/>
      <c r="GQ462" s="119"/>
      <c r="GR462" s="119"/>
      <c r="GS462" s="119"/>
      <c r="GT462" s="119"/>
      <c r="GU462" s="119"/>
      <c r="GV462" s="119"/>
      <c r="GW462" s="119"/>
      <c r="GX462" s="119"/>
      <c r="GY462" s="119"/>
      <c r="GZ462" s="119"/>
      <c r="HA462" s="119"/>
      <c r="HB462" s="119"/>
      <c r="HC462" s="119"/>
      <c r="HD462" s="119"/>
      <c r="HE462" s="119"/>
      <c r="HF462" s="119"/>
      <c r="HG462" s="119"/>
      <c r="HH462" s="119"/>
      <c r="HI462" s="119"/>
      <c r="HJ462" s="119"/>
      <c r="HK462" s="119"/>
      <c r="HL462" s="119"/>
      <c r="HM462" s="119"/>
      <c r="HN462" s="119"/>
      <c r="HO462" s="119"/>
      <c r="HP462" s="119"/>
      <c r="HQ462" s="119"/>
      <c r="HR462" s="119"/>
      <c r="HS462" s="119"/>
      <c r="HT462" s="119"/>
      <c r="HU462" s="119"/>
      <c r="HV462" s="119"/>
      <c r="HW462" s="119"/>
      <c r="HX462" s="119"/>
      <c r="HY462" s="119"/>
      <c r="HZ462" s="119"/>
      <c r="IA462" s="119"/>
      <c r="IB462" s="119"/>
      <c r="IC462" s="119"/>
      <c r="ID462" s="119"/>
      <c r="IE462" s="119"/>
      <c r="IF462" s="119"/>
      <c r="IG462" s="119"/>
      <c r="IH462" s="119"/>
      <c r="II462" s="119"/>
      <c r="IJ462" s="119"/>
      <c r="IK462" s="119"/>
      <c r="IL462" s="119"/>
      <c r="IM462" s="119"/>
      <c r="IN462" s="119"/>
      <c r="IO462" s="119"/>
      <c r="IP462" s="119"/>
      <c r="IQ462" s="119"/>
      <c r="IR462" s="119"/>
      <c r="IS462" s="119"/>
      <c r="IT462" s="119"/>
      <c r="IU462" s="119"/>
      <c r="IV462" s="119"/>
      <c r="IW462" s="119"/>
      <c r="IX462" s="119"/>
      <c r="IY462" s="119"/>
      <c r="IZ462" s="119"/>
      <c r="JA462" s="119"/>
      <c r="JB462" s="119"/>
      <c r="JC462" s="119"/>
      <c r="JD462" s="119"/>
      <c r="JE462" s="119"/>
      <c r="JF462" s="119"/>
      <c r="JG462" s="119"/>
      <c r="JH462" s="119"/>
      <c r="JI462" s="119"/>
      <c r="JJ462" s="119"/>
      <c r="JK462" s="119"/>
      <c r="JL462" s="119"/>
      <c r="JM462" s="119"/>
      <c r="JN462" s="119"/>
      <c r="JO462" s="119"/>
      <c r="JP462" s="119"/>
      <c r="JQ462" s="119"/>
      <c r="JR462" s="119"/>
      <c r="JS462" s="119"/>
      <c r="JT462" s="119"/>
      <c r="JU462" s="119"/>
      <c r="JV462" s="119"/>
      <c r="JW462" s="119"/>
      <c r="JX462" s="119"/>
      <c r="JY462" s="119"/>
      <c r="JZ462" s="119"/>
      <c r="KA462" s="119"/>
      <c r="KB462" s="119"/>
      <c r="KC462" s="119"/>
      <c r="KD462" s="119"/>
      <c r="KE462" s="119"/>
      <c r="KF462" s="119"/>
      <c r="KG462" s="119"/>
      <c r="KH462" s="119"/>
      <c r="KI462" s="119"/>
      <c r="KJ462" s="119"/>
      <c r="KK462" s="119"/>
      <c r="KL462" s="119"/>
      <c r="KM462" s="119"/>
      <c r="KN462" s="119"/>
      <c r="KO462" s="119"/>
      <c r="KP462" s="119"/>
      <c r="KQ462" s="119"/>
      <c r="KR462" s="119"/>
      <c r="KS462" s="119"/>
      <c r="KT462" s="119"/>
      <c r="KU462" s="119"/>
      <c r="KV462" s="119"/>
      <c r="KW462" s="119"/>
      <c r="KX462" s="119"/>
      <c r="KY462" s="119"/>
      <c r="KZ462" s="119"/>
      <c r="LA462" s="119"/>
      <c r="LB462" s="119"/>
      <c r="LC462" s="119"/>
      <c r="LD462" s="119"/>
      <c r="LE462" s="119"/>
      <c r="LF462" s="119"/>
      <c r="LG462" s="119"/>
      <c r="LH462" s="119"/>
      <c r="LI462" s="119"/>
      <c r="LJ462" s="119"/>
      <c r="LK462" s="119"/>
      <c r="LL462" s="119"/>
      <c r="LM462" s="119"/>
      <c r="LN462" s="119"/>
      <c r="LO462" s="119"/>
      <c r="LP462" s="119"/>
      <c r="LQ462" s="119"/>
      <c r="LR462" s="119"/>
      <c r="LS462" s="119"/>
      <c r="LT462" s="119"/>
      <c r="LU462" s="119"/>
      <c r="LV462" s="119"/>
      <c r="LW462" s="119"/>
      <c r="LX462" s="119"/>
      <c r="LY462" s="119"/>
      <c r="LZ462" s="119"/>
      <c r="MA462" s="119"/>
      <c r="MB462" s="119"/>
      <c r="MC462" s="119"/>
      <c r="MD462" s="119"/>
      <c r="ME462" s="119"/>
      <c r="MF462" s="119"/>
      <c r="MG462" s="119"/>
      <c r="MH462" s="119"/>
      <c r="MI462" s="119"/>
      <c r="MJ462" s="119"/>
      <c r="MK462" s="119"/>
      <c r="ML462" s="119"/>
      <c r="MM462" s="119"/>
      <c r="MN462" s="119"/>
      <c r="MO462" s="119"/>
      <c r="MP462" s="119"/>
      <c r="MQ462" s="119"/>
      <c r="MR462" s="119"/>
      <c r="MS462" s="119"/>
      <c r="MT462" s="119"/>
      <c r="MU462" s="119"/>
      <c r="MV462" s="119"/>
      <c r="MW462" s="119"/>
      <c r="MX462" s="119"/>
      <c r="MY462" s="119"/>
      <c r="MZ462" s="119"/>
    </row>
    <row r="463" spans="1:364" s="27" customFormat="1" x14ac:dyDescent="0.25">
      <c r="A463" s="121"/>
      <c r="B463" s="124" t="e">
        <f>VLOOKUP(A463,Rules!$B$8:$C$154,2,0)</f>
        <v>#N/A</v>
      </c>
      <c r="C463" s="125">
        <f t="shared" ref="C463" si="15">SUM(I464:XX464)</f>
        <v>0</v>
      </c>
      <c r="D463" s="127"/>
      <c r="E463" s="110" t="s">
        <v>492</v>
      </c>
      <c r="F463" s="130" t="e">
        <f>VLOOKUP(A463,Table2[],10,0)</f>
        <v>#N/A</v>
      </c>
      <c r="G463" s="130"/>
      <c r="H463" s="113" t="s">
        <v>440</v>
      </c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9"/>
      <c r="T463" s="119"/>
      <c r="U463" s="119"/>
      <c r="V463" s="119"/>
      <c r="W463" s="119"/>
      <c r="X463" s="119"/>
      <c r="Y463" s="119"/>
      <c r="Z463" s="119"/>
      <c r="AA463" s="119"/>
      <c r="AB463" s="119"/>
      <c r="AC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9"/>
      <c r="AT463" s="119"/>
      <c r="AU463" s="119"/>
      <c r="AV463" s="119"/>
      <c r="AW463" s="119"/>
      <c r="AX463" s="119"/>
      <c r="AY463" s="119"/>
      <c r="AZ463" s="119"/>
      <c r="BA463" s="119"/>
      <c r="BB463" s="119"/>
      <c r="BC463" s="119"/>
      <c r="BD463" s="119"/>
      <c r="BE463" s="119"/>
      <c r="BF463" s="119"/>
      <c r="BG463" s="119"/>
      <c r="BH463" s="119"/>
      <c r="BI463" s="119"/>
      <c r="BJ463" s="119"/>
      <c r="BK463" s="119"/>
      <c r="BL463" s="26"/>
      <c r="BM463" s="119"/>
      <c r="BN463" s="26"/>
      <c r="BO463" s="119"/>
      <c r="BP463" s="119"/>
      <c r="BQ463" s="119"/>
      <c r="BR463" s="119"/>
      <c r="BS463" s="119"/>
      <c r="BT463" s="119"/>
      <c r="BU463" s="119"/>
      <c r="BV463" s="119"/>
      <c r="BW463" s="119"/>
      <c r="BX463" s="119"/>
      <c r="BY463" s="119"/>
      <c r="BZ463" s="119"/>
      <c r="CA463" s="119"/>
      <c r="CB463" s="119"/>
      <c r="CC463" s="119"/>
      <c r="CD463" s="119"/>
      <c r="CE463" s="119"/>
      <c r="CF463" s="119"/>
      <c r="CG463" s="119"/>
      <c r="CH463" s="119"/>
      <c r="CI463" s="119"/>
      <c r="CJ463" s="119"/>
      <c r="CK463" s="119"/>
      <c r="CL463" s="119"/>
      <c r="CM463" s="119"/>
      <c r="CN463" s="119"/>
      <c r="CO463" s="119"/>
      <c r="CP463" s="119"/>
      <c r="CQ463" s="119"/>
      <c r="CR463" s="119"/>
      <c r="CS463" s="119"/>
      <c r="CT463" s="119"/>
      <c r="CU463" s="119"/>
      <c r="CV463" s="119"/>
      <c r="CW463" s="119"/>
      <c r="CX463" s="119"/>
      <c r="CY463" s="119"/>
      <c r="CZ463" s="119"/>
      <c r="DA463" s="119"/>
      <c r="DB463" s="119"/>
      <c r="DC463" s="119"/>
      <c r="DD463" s="119"/>
      <c r="DE463" s="119"/>
      <c r="DF463" s="119"/>
      <c r="DG463" s="119"/>
      <c r="DH463" s="119"/>
      <c r="DI463" s="119"/>
      <c r="DJ463" s="119"/>
      <c r="DK463" s="119"/>
      <c r="DL463" s="119"/>
      <c r="DM463" s="119"/>
      <c r="DN463" s="119"/>
      <c r="DO463" s="119"/>
      <c r="DP463" s="119"/>
      <c r="DQ463" s="119"/>
      <c r="DR463" s="119"/>
      <c r="DS463" s="119"/>
      <c r="DT463" s="119"/>
      <c r="DU463" s="119"/>
      <c r="DV463" s="119"/>
      <c r="DW463" s="119"/>
      <c r="DX463" s="119"/>
      <c r="DY463" s="119"/>
      <c r="DZ463" s="119"/>
      <c r="EA463" s="119"/>
      <c r="EB463" s="119"/>
      <c r="EC463" s="119"/>
      <c r="ED463" s="119"/>
      <c r="EE463" s="119"/>
      <c r="EF463" s="119"/>
      <c r="EG463" s="119"/>
      <c r="EH463" s="119"/>
      <c r="EI463" s="119"/>
      <c r="EJ463" s="119"/>
      <c r="EK463" s="119"/>
      <c r="EL463" s="119"/>
      <c r="EM463" s="119"/>
      <c r="EN463" s="119"/>
      <c r="EO463" s="119"/>
      <c r="EP463" s="119"/>
      <c r="EQ463" s="119"/>
      <c r="ER463" s="119"/>
      <c r="ES463" s="119"/>
      <c r="ET463" s="119"/>
      <c r="EU463" s="119"/>
      <c r="EV463" s="119"/>
      <c r="EW463" s="119"/>
      <c r="EX463" s="119"/>
      <c r="EY463" s="119"/>
      <c r="EZ463" s="119"/>
      <c r="FA463" s="119"/>
      <c r="FB463" s="119"/>
      <c r="FC463" s="119"/>
      <c r="FD463" s="119"/>
      <c r="FE463" s="119"/>
      <c r="FF463" s="119"/>
      <c r="FG463" s="119"/>
      <c r="FH463" s="119"/>
      <c r="FI463" s="119"/>
      <c r="FJ463" s="119"/>
      <c r="FK463" s="119"/>
      <c r="FL463" s="119"/>
      <c r="FM463" s="119"/>
      <c r="FN463" s="119"/>
      <c r="FO463" s="119"/>
      <c r="FP463" s="119"/>
      <c r="FQ463" s="119"/>
      <c r="FR463" s="119"/>
      <c r="FS463" s="119"/>
      <c r="FT463" s="119"/>
      <c r="FU463" s="119"/>
      <c r="FV463" s="119"/>
      <c r="FW463" s="119"/>
      <c r="FX463" s="119"/>
      <c r="FY463" s="119"/>
      <c r="FZ463" s="119"/>
      <c r="GA463" s="119"/>
      <c r="GB463" s="119"/>
      <c r="GC463" s="119"/>
      <c r="GD463" s="119"/>
      <c r="GE463" s="119"/>
      <c r="GF463" s="119"/>
      <c r="GG463" s="119"/>
      <c r="GH463" s="119"/>
      <c r="GI463" s="119"/>
      <c r="GJ463" s="119"/>
      <c r="GK463" s="119"/>
      <c r="GL463" s="119"/>
      <c r="GM463" s="119"/>
      <c r="GN463" s="119"/>
      <c r="GO463" s="119"/>
      <c r="GP463" s="119"/>
      <c r="GQ463" s="119"/>
      <c r="GR463" s="119"/>
      <c r="GS463" s="119"/>
      <c r="GT463" s="119"/>
      <c r="GU463" s="119"/>
      <c r="GV463" s="119"/>
      <c r="GW463" s="119"/>
      <c r="GX463" s="119"/>
      <c r="GY463" s="119"/>
      <c r="GZ463" s="119"/>
      <c r="HA463" s="119"/>
      <c r="HB463" s="119"/>
      <c r="HC463" s="119"/>
      <c r="HD463" s="119"/>
      <c r="HE463" s="119"/>
      <c r="HF463" s="119"/>
      <c r="HG463" s="119"/>
      <c r="HH463" s="119"/>
      <c r="HI463" s="119"/>
      <c r="HJ463" s="119"/>
      <c r="HK463" s="119"/>
      <c r="HL463" s="119"/>
      <c r="HM463" s="119"/>
      <c r="HN463" s="119"/>
      <c r="HO463" s="119"/>
      <c r="HP463" s="119"/>
      <c r="HQ463" s="119"/>
      <c r="HR463" s="119"/>
      <c r="HS463" s="119"/>
      <c r="HT463" s="119"/>
      <c r="HU463" s="119"/>
      <c r="HV463" s="119"/>
      <c r="HW463" s="119"/>
      <c r="HX463" s="119"/>
      <c r="HY463" s="119"/>
      <c r="HZ463" s="119"/>
      <c r="IA463" s="119"/>
      <c r="IB463" s="119"/>
      <c r="IC463" s="119"/>
      <c r="ID463" s="119"/>
      <c r="IE463" s="119"/>
      <c r="IF463" s="119"/>
      <c r="IG463" s="119"/>
      <c r="IH463" s="119"/>
      <c r="II463" s="119"/>
      <c r="IJ463" s="119"/>
      <c r="IK463" s="119"/>
      <c r="IL463" s="119"/>
      <c r="IM463" s="119"/>
      <c r="IN463" s="119"/>
      <c r="IO463" s="119"/>
      <c r="IP463" s="119"/>
      <c r="IQ463" s="119"/>
      <c r="IR463" s="119"/>
      <c r="IS463" s="119"/>
      <c r="IT463" s="119"/>
      <c r="IU463" s="119"/>
      <c r="IV463" s="119"/>
      <c r="IW463" s="119"/>
      <c r="IX463" s="119"/>
      <c r="IY463" s="119"/>
      <c r="IZ463" s="119"/>
      <c r="JA463" s="119"/>
      <c r="JB463" s="119"/>
      <c r="JC463" s="119"/>
      <c r="JD463" s="119"/>
      <c r="JE463" s="119"/>
      <c r="JF463" s="119"/>
      <c r="JG463" s="119"/>
      <c r="JH463" s="119"/>
      <c r="JI463" s="119"/>
      <c r="JJ463" s="119"/>
      <c r="JK463" s="119"/>
      <c r="JL463" s="119"/>
      <c r="JM463" s="119"/>
      <c r="JN463" s="119"/>
      <c r="JO463" s="119"/>
      <c r="JP463" s="119"/>
      <c r="JQ463" s="119"/>
      <c r="JR463" s="119"/>
      <c r="JS463" s="119"/>
      <c r="JT463" s="119"/>
      <c r="JU463" s="119"/>
      <c r="JV463" s="119"/>
      <c r="JW463" s="119"/>
      <c r="JX463" s="119"/>
      <c r="JY463" s="119"/>
      <c r="JZ463" s="119"/>
      <c r="KA463" s="119"/>
      <c r="KB463" s="119"/>
      <c r="KC463" s="119"/>
      <c r="KD463" s="119"/>
      <c r="KE463" s="119"/>
      <c r="KF463" s="119"/>
      <c r="KG463" s="119"/>
      <c r="KH463" s="119"/>
      <c r="KI463" s="119"/>
      <c r="KJ463" s="119"/>
      <c r="KK463" s="119"/>
      <c r="KL463" s="119"/>
      <c r="KM463" s="119"/>
      <c r="KN463" s="119"/>
      <c r="KO463" s="119"/>
      <c r="KP463" s="119"/>
      <c r="KQ463" s="119"/>
      <c r="KR463" s="119"/>
      <c r="KS463" s="119"/>
      <c r="KT463" s="119"/>
      <c r="KU463" s="119"/>
      <c r="KV463" s="119"/>
      <c r="KW463" s="119"/>
      <c r="KX463" s="119"/>
      <c r="KY463" s="119"/>
      <c r="KZ463" s="119"/>
      <c r="LA463" s="119"/>
      <c r="LB463" s="119"/>
      <c r="LC463" s="119"/>
      <c r="LD463" s="119"/>
      <c r="LE463" s="119"/>
      <c r="LF463" s="119"/>
      <c r="LG463" s="119"/>
      <c r="LH463" s="119"/>
      <c r="LI463" s="119"/>
      <c r="LJ463" s="119"/>
      <c r="LK463" s="119"/>
      <c r="LL463" s="119"/>
      <c r="LM463" s="119"/>
      <c r="LN463" s="119"/>
      <c r="LO463" s="119"/>
      <c r="LP463" s="119"/>
      <c r="LQ463" s="119"/>
      <c r="LR463" s="119"/>
      <c r="LS463" s="119"/>
      <c r="LT463" s="119"/>
      <c r="LU463" s="119"/>
      <c r="LV463" s="119"/>
      <c r="LW463" s="119"/>
      <c r="LX463" s="119"/>
      <c r="LY463" s="119"/>
      <c r="LZ463" s="119"/>
      <c r="MA463" s="119"/>
      <c r="MB463" s="119"/>
      <c r="MC463" s="119"/>
      <c r="MD463" s="119"/>
      <c r="ME463" s="119"/>
      <c r="MF463" s="119"/>
      <c r="MG463" s="119"/>
      <c r="MH463" s="119"/>
      <c r="MI463" s="119"/>
      <c r="MJ463" s="119"/>
      <c r="MK463" s="119"/>
      <c r="ML463" s="119"/>
      <c r="MM463" s="119"/>
      <c r="MN463" s="119"/>
      <c r="MO463" s="119"/>
      <c r="MP463" s="119"/>
      <c r="MQ463" s="119"/>
      <c r="MR463" s="119"/>
      <c r="MS463" s="119"/>
      <c r="MT463" s="119"/>
      <c r="MU463" s="119"/>
      <c r="MV463" s="119"/>
      <c r="MW463" s="119"/>
      <c r="MX463" s="119"/>
      <c r="MY463" s="119"/>
      <c r="MZ463" s="119"/>
    </row>
    <row r="464" spans="1:364" s="27" customFormat="1" x14ac:dyDescent="0.25">
      <c r="A464" s="122"/>
      <c r="B464" s="122"/>
      <c r="C464" s="126"/>
      <c r="D464" s="128"/>
      <c r="E464" s="109"/>
      <c r="F464" s="131"/>
      <c r="G464" s="131"/>
      <c r="H464" s="105" t="s">
        <v>439</v>
      </c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9"/>
      <c r="T464" s="119"/>
      <c r="U464" s="119"/>
      <c r="V464" s="119"/>
      <c r="W464" s="119"/>
      <c r="X464" s="119"/>
      <c r="Y464" s="119"/>
      <c r="Z464" s="119"/>
      <c r="AA464" s="119"/>
      <c r="AB464" s="119"/>
      <c r="AC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9"/>
      <c r="AT464" s="119"/>
      <c r="AU464" s="119"/>
      <c r="AV464" s="119"/>
      <c r="AW464" s="119"/>
      <c r="AX464" s="119"/>
      <c r="AY464" s="119"/>
      <c r="AZ464" s="119"/>
      <c r="BA464" s="119"/>
      <c r="BB464" s="119"/>
      <c r="BC464" s="119"/>
      <c r="BD464" s="119"/>
      <c r="BE464" s="119"/>
      <c r="BF464" s="119"/>
      <c r="BG464" s="119"/>
      <c r="BH464" s="119"/>
      <c r="BI464" s="119"/>
      <c r="BJ464" s="119"/>
      <c r="BK464" s="119"/>
      <c r="BL464" s="26"/>
      <c r="BM464" s="119"/>
      <c r="BN464" s="26"/>
      <c r="BO464" s="119"/>
      <c r="BP464" s="119"/>
      <c r="BQ464" s="119"/>
      <c r="BR464" s="119"/>
      <c r="BS464" s="119"/>
      <c r="BT464" s="119"/>
      <c r="BU464" s="119"/>
      <c r="BV464" s="119"/>
      <c r="BW464" s="119"/>
      <c r="BX464" s="119"/>
      <c r="BY464" s="119"/>
      <c r="BZ464" s="119"/>
      <c r="CA464" s="119"/>
      <c r="CB464" s="119"/>
      <c r="CC464" s="119"/>
      <c r="CD464" s="119"/>
      <c r="CE464" s="119"/>
      <c r="CF464" s="119"/>
      <c r="CG464" s="119"/>
      <c r="CH464" s="119"/>
      <c r="CI464" s="119"/>
      <c r="CJ464" s="119"/>
      <c r="CK464" s="119"/>
      <c r="CL464" s="119"/>
      <c r="CM464" s="119"/>
      <c r="CN464" s="119"/>
      <c r="CO464" s="119"/>
      <c r="CP464" s="119"/>
      <c r="CQ464" s="119"/>
      <c r="CR464" s="119"/>
      <c r="CS464" s="119"/>
      <c r="CT464" s="119"/>
      <c r="CU464" s="119"/>
      <c r="CV464" s="119"/>
      <c r="CW464" s="119"/>
      <c r="CX464" s="119"/>
      <c r="CY464" s="119"/>
      <c r="CZ464" s="119"/>
      <c r="DA464" s="119"/>
      <c r="DB464" s="119"/>
      <c r="DC464" s="119"/>
      <c r="DD464" s="119"/>
      <c r="DE464" s="119"/>
      <c r="DF464" s="119"/>
      <c r="DG464" s="119"/>
      <c r="DH464" s="119"/>
      <c r="DI464" s="119"/>
      <c r="DJ464" s="119"/>
      <c r="DK464" s="119"/>
      <c r="DL464" s="119"/>
      <c r="DM464" s="119"/>
      <c r="DN464" s="119"/>
      <c r="DO464" s="119"/>
      <c r="DP464" s="119"/>
      <c r="DQ464" s="119"/>
      <c r="DR464" s="119"/>
      <c r="DS464" s="119"/>
      <c r="DT464" s="119"/>
      <c r="DU464" s="119"/>
      <c r="DV464" s="119"/>
      <c r="DW464" s="119"/>
      <c r="DX464" s="119"/>
      <c r="DY464" s="119"/>
      <c r="DZ464" s="119"/>
      <c r="EA464" s="119"/>
      <c r="EB464" s="119"/>
      <c r="EC464" s="119"/>
      <c r="ED464" s="119"/>
      <c r="EE464" s="119"/>
      <c r="EF464" s="119"/>
      <c r="EG464" s="119"/>
      <c r="EH464" s="119"/>
      <c r="EI464" s="119"/>
      <c r="EJ464" s="119"/>
      <c r="EK464" s="119"/>
      <c r="EL464" s="119"/>
      <c r="EM464" s="119"/>
      <c r="EN464" s="119"/>
      <c r="EO464" s="119"/>
      <c r="EP464" s="119"/>
      <c r="EQ464" s="119"/>
      <c r="ER464" s="119"/>
      <c r="ES464" s="119"/>
      <c r="ET464" s="119"/>
      <c r="EU464" s="119"/>
      <c r="EV464" s="119"/>
      <c r="EW464" s="119"/>
      <c r="EX464" s="119"/>
      <c r="EY464" s="119"/>
      <c r="EZ464" s="119"/>
      <c r="FA464" s="119"/>
      <c r="FB464" s="119"/>
      <c r="FC464" s="119"/>
      <c r="FD464" s="119"/>
      <c r="FE464" s="119"/>
      <c r="FF464" s="119"/>
      <c r="FG464" s="119"/>
      <c r="FH464" s="119"/>
      <c r="FI464" s="119"/>
      <c r="FJ464" s="119"/>
      <c r="FK464" s="119"/>
      <c r="FL464" s="119"/>
      <c r="FM464" s="119"/>
      <c r="FN464" s="119"/>
      <c r="FO464" s="119"/>
      <c r="FP464" s="119"/>
      <c r="FQ464" s="119"/>
      <c r="FR464" s="119"/>
      <c r="FS464" s="119"/>
      <c r="FT464" s="119"/>
      <c r="FU464" s="119"/>
      <c r="FV464" s="119"/>
      <c r="FW464" s="119"/>
      <c r="FX464" s="119"/>
      <c r="FY464" s="119"/>
      <c r="FZ464" s="119"/>
      <c r="GA464" s="119"/>
      <c r="GB464" s="119"/>
      <c r="GC464" s="119"/>
      <c r="GD464" s="119"/>
      <c r="GE464" s="119"/>
      <c r="GF464" s="119"/>
      <c r="GG464" s="119"/>
      <c r="GH464" s="119"/>
      <c r="GI464" s="119"/>
      <c r="GJ464" s="119"/>
      <c r="GK464" s="119"/>
      <c r="GL464" s="119"/>
      <c r="GM464" s="119"/>
      <c r="GN464" s="119"/>
      <c r="GO464" s="119"/>
      <c r="GP464" s="119"/>
      <c r="GQ464" s="119"/>
      <c r="GR464" s="119"/>
      <c r="GS464" s="119"/>
      <c r="GT464" s="119"/>
      <c r="GU464" s="119"/>
      <c r="GV464" s="119"/>
      <c r="GW464" s="119"/>
      <c r="GX464" s="119"/>
      <c r="GY464" s="119"/>
      <c r="GZ464" s="119"/>
      <c r="HA464" s="119"/>
      <c r="HB464" s="119"/>
      <c r="HC464" s="119"/>
      <c r="HD464" s="119"/>
      <c r="HE464" s="119"/>
      <c r="HF464" s="119"/>
      <c r="HG464" s="119"/>
      <c r="HH464" s="119"/>
      <c r="HI464" s="119"/>
      <c r="HJ464" s="119"/>
      <c r="HK464" s="119"/>
      <c r="HL464" s="119"/>
      <c r="HM464" s="119"/>
      <c r="HN464" s="119"/>
      <c r="HO464" s="119"/>
      <c r="HP464" s="119"/>
      <c r="HQ464" s="119"/>
      <c r="HR464" s="119"/>
      <c r="HS464" s="119"/>
      <c r="HT464" s="119"/>
      <c r="HU464" s="119"/>
      <c r="HV464" s="119"/>
      <c r="HW464" s="119"/>
      <c r="HX464" s="119"/>
      <c r="HY464" s="119"/>
      <c r="HZ464" s="119"/>
      <c r="IA464" s="119"/>
      <c r="IB464" s="119"/>
      <c r="IC464" s="119"/>
      <c r="ID464" s="119"/>
      <c r="IE464" s="119"/>
      <c r="IF464" s="119"/>
      <c r="IG464" s="119"/>
      <c r="IH464" s="119"/>
      <c r="II464" s="119"/>
      <c r="IJ464" s="119"/>
      <c r="IK464" s="119"/>
      <c r="IL464" s="119"/>
      <c r="IM464" s="119"/>
      <c r="IN464" s="119"/>
      <c r="IO464" s="119"/>
      <c r="IP464" s="119"/>
      <c r="IQ464" s="119"/>
      <c r="IR464" s="119"/>
      <c r="IS464" s="119"/>
      <c r="IT464" s="119"/>
      <c r="IU464" s="119"/>
      <c r="IV464" s="119"/>
      <c r="IW464" s="119"/>
      <c r="IX464" s="119"/>
      <c r="IY464" s="119"/>
      <c r="IZ464" s="119"/>
      <c r="JA464" s="119"/>
      <c r="JB464" s="119"/>
      <c r="JC464" s="119"/>
      <c r="JD464" s="119"/>
      <c r="JE464" s="119"/>
      <c r="JF464" s="119"/>
      <c r="JG464" s="119"/>
      <c r="JH464" s="119"/>
      <c r="JI464" s="119"/>
      <c r="JJ464" s="119"/>
      <c r="JK464" s="119"/>
      <c r="JL464" s="119"/>
      <c r="JM464" s="119"/>
      <c r="JN464" s="119"/>
      <c r="JO464" s="119"/>
      <c r="JP464" s="119"/>
      <c r="JQ464" s="119"/>
      <c r="JR464" s="119"/>
      <c r="JS464" s="119"/>
      <c r="JT464" s="119"/>
      <c r="JU464" s="119"/>
      <c r="JV464" s="119"/>
      <c r="JW464" s="119"/>
      <c r="JX464" s="119"/>
      <c r="JY464" s="119"/>
      <c r="JZ464" s="119"/>
      <c r="KA464" s="119"/>
      <c r="KB464" s="119"/>
      <c r="KC464" s="119"/>
      <c r="KD464" s="119"/>
      <c r="KE464" s="119"/>
      <c r="KF464" s="119"/>
      <c r="KG464" s="119"/>
      <c r="KH464" s="119"/>
      <c r="KI464" s="119"/>
      <c r="KJ464" s="119"/>
      <c r="KK464" s="119"/>
      <c r="KL464" s="119"/>
      <c r="KM464" s="119"/>
      <c r="KN464" s="119"/>
      <c r="KO464" s="119"/>
      <c r="KP464" s="119"/>
      <c r="KQ464" s="119"/>
      <c r="KR464" s="119"/>
      <c r="KS464" s="119"/>
      <c r="KT464" s="119"/>
      <c r="KU464" s="119"/>
      <c r="KV464" s="119"/>
      <c r="KW464" s="119"/>
      <c r="KX464" s="119"/>
      <c r="KY464" s="119"/>
      <c r="KZ464" s="119"/>
      <c r="LA464" s="119"/>
      <c r="LB464" s="119"/>
      <c r="LC464" s="119"/>
      <c r="LD464" s="119"/>
      <c r="LE464" s="119"/>
      <c r="LF464" s="119"/>
      <c r="LG464" s="119"/>
      <c r="LH464" s="119"/>
      <c r="LI464" s="119"/>
      <c r="LJ464" s="119"/>
      <c r="LK464" s="119"/>
      <c r="LL464" s="119"/>
      <c r="LM464" s="119"/>
      <c r="LN464" s="119"/>
      <c r="LO464" s="119"/>
      <c r="LP464" s="119"/>
      <c r="LQ464" s="119"/>
      <c r="LR464" s="119"/>
      <c r="LS464" s="119"/>
      <c r="LT464" s="119"/>
      <c r="LU464" s="119"/>
      <c r="LV464" s="119"/>
      <c r="LW464" s="119"/>
      <c r="LX464" s="119"/>
      <c r="LY464" s="119"/>
      <c r="LZ464" s="119"/>
      <c r="MA464" s="119"/>
      <c r="MB464" s="119"/>
      <c r="MC464" s="119"/>
      <c r="MD464" s="119"/>
      <c r="ME464" s="119"/>
      <c r="MF464" s="119"/>
      <c r="MG464" s="119"/>
      <c r="MH464" s="119"/>
      <c r="MI464" s="119"/>
      <c r="MJ464" s="119"/>
      <c r="MK464" s="119"/>
      <c r="ML464" s="119"/>
      <c r="MM464" s="119"/>
      <c r="MN464" s="119"/>
      <c r="MO464" s="119"/>
      <c r="MP464" s="119"/>
      <c r="MQ464" s="119"/>
      <c r="MR464" s="119"/>
      <c r="MS464" s="119"/>
      <c r="MT464" s="119"/>
      <c r="MU464" s="119"/>
      <c r="MV464" s="119"/>
      <c r="MW464" s="119"/>
      <c r="MX464" s="119"/>
      <c r="MY464" s="119"/>
      <c r="MZ464" s="119"/>
    </row>
    <row r="465" spans="1:364" s="27" customFormat="1" x14ac:dyDescent="0.25">
      <c r="A465" s="122"/>
      <c r="B465" s="122"/>
      <c r="C465" s="126"/>
      <c r="D465" s="128"/>
      <c r="E465" s="109" t="s">
        <v>493</v>
      </c>
      <c r="F465" s="131"/>
      <c r="G465" s="131"/>
      <c r="H465" s="106" t="s">
        <v>438</v>
      </c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19"/>
      <c r="T465" s="119"/>
      <c r="U465" s="119"/>
      <c r="V465" s="119"/>
      <c r="W465" s="119"/>
      <c r="X465" s="119"/>
      <c r="Y465" s="119"/>
      <c r="Z465" s="119"/>
      <c r="AA465" s="119"/>
      <c r="AB465" s="119"/>
      <c r="AC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9"/>
      <c r="AT465" s="119"/>
      <c r="AU465" s="119"/>
      <c r="AV465" s="119"/>
      <c r="AW465" s="119"/>
      <c r="AX465" s="119"/>
      <c r="AY465" s="119"/>
      <c r="AZ465" s="119"/>
      <c r="BA465" s="119"/>
      <c r="BB465" s="119"/>
      <c r="BC465" s="119"/>
      <c r="BD465" s="119"/>
      <c r="BE465" s="119"/>
      <c r="BF465" s="119"/>
      <c r="BG465" s="119"/>
      <c r="BH465" s="119"/>
      <c r="BI465" s="119"/>
      <c r="BJ465" s="119"/>
      <c r="BK465" s="119"/>
      <c r="BL465" s="26"/>
      <c r="BM465" s="119"/>
      <c r="BN465" s="119"/>
      <c r="BO465" s="119"/>
      <c r="BP465" s="119"/>
      <c r="BQ465" s="119"/>
      <c r="BR465" s="119"/>
      <c r="BS465" s="119"/>
      <c r="BT465" s="119"/>
      <c r="BU465" s="119"/>
      <c r="BV465" s="119"/>
      <c r="BW465" s="119"/>
      <c r="BX465" s="119"/>
      <c r="BY465" s="119"/>
      <c r="BZ465" s="119"/>
      <c r="CA465" s="119"/>
      <c r="CB465" s="119"/>
      <c r="CC465" s="119"/>
      <c r="CD465" s="119"/>
      <c r="CE465" s="119"/>
      <c r="CF465" s="119"/>
      <c r="CG465" s="119"/>
      <c r="CH465" s="119"/>
      <c r="CI465" s="119"/>
      <c r="CJ465" s="119"/>
      <c r="CK465" s="119"/>
      <c r="CL465" s="119"/>
      <c r="CM465" s="119"/>
      <c r="CN465" s="119"/>
      <c r="CO465" s="119"/>
      <c r="CP465" s="119"/>
      <c r="CQ465" s="119"/>
      <c r="CR465" s="119"/>
      <c r="CS465" s="119"/>
      <c r="CT465" s="119"/>
      <c r="CU465" s="119"/>
      <c r="CV465" s="119"/>
      <c r="CW465" s="119"/>
      <c r="CX465" s="119"/>
      <c r="CY465" s="119"/>
      <c r="CZ465" s="119"/>
      <c r="DA465" s="119"/>
      <c r="DB465" s="119"/>
      <c r="DC465" s="119"/>
      <c r="DD465" s="119"/>
      <c r="DE465" s="119"/>
      <c r="DF465" s="119"/>
      <c r="DG465" s="119"/>
      <c r="DH465" s="119"/>
      <c r="DI465" s="119"/>
      <c r="DJ465" s="119"/>
      <c r="DK465" s="119"/>
      <c r="DL465" s="119"/>
      <c r="DM465" s="119"/>
      <c r="DN465" s="119"/>
      <c r="DO465" s="119"/>
      <c r="DP465" s="119"/>
      <c r="DQ465" s="119"/>
      <c r="DR465" s="119"/>
      <c r="DS465" s="119"/>
      <c r="DT465" s="119"/>
      <c r="DU465" s="119"/>
      <c r="DV465" s="119"/>
      <c r="DW465" s="119"/>
      <c r="DX465" s="119"/>
      <c r="DY465" s="119"/>
      <c r="DZ465" s="119"/>
      <c r="EA465" s="119"/>
      <c r="EB465" s="119"/>
      <c r="EC465" s="119"/>
      <c r="ED465" s="119"/>
      <c r="EE465" s="119"/>
      <c r="EF465" s="119"/>
      <c r="EG465" s="119"/>
      <c r="EH465" s="119"/>
      <c r="EI465" s="119"/>
      <c r="EJ465" s="119"/>
      <c r="EK465" s="119"/>
      <c r="EL465" s="119"/>
      <c r="EM465" s="119"/>
      <c r="EN465" s="119"/>
      <c r="EO465" s="119"/>
      <c r="EP465" s="119"/>
      <c r="EQ465" s="119"/>
      <c r="ER465" s="119"/>
      <c r="ES465" s="119"/>
      <c r="ET465" s="119"/>
      <c r="EU465" s="119"/>
      <c r="EV465" s="119"/>
      <c r="EW465" s="119"/>
      <c r="EX465" s="119"/>
      <c r="EY465" s="119"/>
      <c r="EZ465" s="119"/>
      <c r="FA465" s="119"/>
      <c r="FB465" s="119"/>
      <c r="FC465" s="119"/>
      <c r="FD465" s="119"/>
      <c r="FE465" s="119"/>
      <c r="FF465" s="119"/>
      <c r="FG465" s="119"/>
      <c r="FH465" s="119"/>
      <c r="FI465" s="119"/>
      <c r="FJ465" s="119"/>
      <c r="FK465" s="119"/>
      <c r="FL465" s="119"/>
      <c r="FM465" s="119"/>
      <c r="FN465" s="119"/>
      <c r="FO465" s="119"/>
      <c r="FP465" s="119"/>
      <c r="FQ465" s="119"/>
      <c r="FR465" s="119"/>
      <c r="FS465" s="119"/>
      <c r="FT465" s="119"/>
      <c r="FU465" s="119"/>
      <c r="FV465" s="119"/>
      <c r="FW465" s="119"/>
      <c r="FX465" s="119"/>
      <c r="FY465" s="119"/>
      <c r="FZ465" s="119"/>
      <c r="GA465" s="119"/>
      <c r="GB465" s="119"/>
      <c r="GC465" s="119"/>
      <c r="GD465" s="119"/>
      <c r="GE465" s="119"/>
      <c r="GF465" s="119"/>
      <c r="GG465" s="119"/>
      <c r="GH465" s="119"/>
      <c r="GI465" s="119"/>
      <c r="GJ465" s="119"/>
      <c r="GK465" s="119"/>
      <c r="GL465" s="119"/>
      <c r="GM465" s="119"/>
      <c r="GN465" s="119"/>
      <c r="GO465" s="119"/>
      <c r="GP465" s="119"/>
      <c r="GQ465" s="119"/>
      <c r="GR465" s="119"/>
      <c r="GS465" s="119"/>
      <c r="GT465" s="119"/>
      <c r="GU465" s="119"/>
      <c r="GV465" s="119"/>
      <c r="GW465" s="119"/>
      <c r="GX465" s="119"/>
      <c r="GY465" s="119"/>
      <c r="GZ465" s="119"/>
      <c r="HA465" s="119"/>
      <c r="HB465" s="119"/>
      <c r="HC465" s="119"/>
      <c r="HD465" s="119"/>
      <c r="HE465" s="119"/>
      <c r="HF465" s="119"/>
      <c r="HG465" s="119"/>
      <c r="HH465" s="119"/>
      <c r="HI465" s="119"/>
      <c r="HJ465" s="119"/>
      <c r="HK465" s="119"/>
      <c r="HL465" s="119"/>
      <c r="HM465" s="119"/>
      <c r="HN465" s="119"/>
      <c r="HO465" s="119"/>
      <c r="HP465" s="119"/>
      <c r="HQ465" s="119"/>
      <c r="HR465" s="119"/>
      <c r="HS465" s="119"/>
      <c r="HT465" s="119"/>
      <c r="HU465" s="119"/>
      <c r="HV465" s="119"/>
      <c r="HW465" s="119"/>
      <c r="HX465" s="119"/>
      <c r="HY465" s="119"/>
      <c r="HZ465" s="119"/>
      <c r="IA465" s="119"/>
      <c r="IB465" s="119"/>
      <c r="IC465" s="119"/>
      <c r="ID465" s="119"/>
      <c r="IE465" s="119"/>
      <c r="IF465" s="119"/>
      <c r="IG465" s="119"/>
      <c r="IH465" s="119"/>
      <c r="II465" s="119"/>
      <c r="IJ465" s="119"/>
      <c r="IK465" s="119"/>
      <c r="IL465" s="119"/>
      <c r="IM465" s="119"/>
      <c r="IN465" s="119"/>
      <c r="IO465" s="119"/>
      <c r="IP465" s="119"/>
      <c r="IQ465" s="119"/>
      <c r="IR465" s="119"/>
      <c r="IS465" s="119"/>
      <c r="IT465" s="119"/>
      <c r="IU465" s="119"/>
      <c r="IV465" s="119"/>
      <c r="IW465" s="119"/>
      <c r="IX465" s="119"/>
      <c r="IY465" s="119"/>
      <c r="IZ465" s="119"/>
      <c r="JA465" s="119"/>
      <c r="JB465" s="119"/>
      <c r="JC465" s="119"/>
      <c r="JD465" s="119"/>
      <c r="JE465" s="119"/>
      <c r="JF465" s="119"/>
      <c r="JG465" s="119"/>
      <c r="JH465" s="119"/>
      <c r="JI465" s="119"/>
      <c r="JJ465" s="119"/>
      <c r="JK465" s="119"/>
      <c r="JL465" s="119"/>
      <c r="JM465" s="119"/>
      <c r="JN465" s="119"/>
      <c r="JO465" s="119"/>
      <c r="JP465" s="119"/>
      <c r="JQ465" s="119"/>
      <c r="JR465" s="119"/>
      <c r="JS465" s="119"/>
      <c r="JT465" s="119"/>
      <c r="JU465" s="119"/>
      <c r="JV465" s="119"/>
      <c r="JW465" s="119"/>
      <c r="JX465" s="119"/>
      <c r="JY465" s="119"/>
      <c r="JZ465" s="119"/>
      <c r="KA465" s="119"/>
      <c r="KB465" s="119"/>
      <c r="KC465" s="119"/>
      <c r="KD465" s="119"/>
      <c r="KE465" s="119"/>
      <c r="KF465" s="119"/>
      <c r="KG465" s="119"/>
      <c r="KH465" s="119"/>
      <c r="KI465" s="119"/>
      <c r="KJ465" s="119"/>
      <c r="KK465" s="119"/>
      <c r="KL465" s="119"/>
      <c r="KM465" s="119"/>
      <c r="KN465" s="119"/>
      <c r="KO465" s="119"/>
      <c r="KP465" s="119"/>
      <c r="KQ465" s="119"/>
      <c r="KR465" s="119"/>
      <c r="KS465" s="119"/>
      <c r="KT465" s="119"/>
      <c r="KU465" s="119"/>
      <c r="KV465" s="119"/>
      <c r="KW465" s="119"/>
      <c r="KX465" s="119"/>
      <c r="KY465" s="119"/>
      <c r="KZ465" s="119"/>
      <c r="LA465" s="119"/>
      <c r="LB465" s="119"/>
      <c r="LC465" s="119"/>
      <c r="LD465" s="119"/>
      <c r="LE465" s="119"/>
      <c r="LF465" s="119"/>
      <c r="LG465" s="119"/>
      <c r="LH465" s="119"/>
      <c r="LI465" s="119"/>
      <c r="LJ465" s="119"/>
      <c r="LK465" s="119"/>
      <c r="LL465" s="119"/>
      <c r="LM465" s="119"/>
      <c r="LN465" s="119"/>
      <c r="LO465" s="119"/>
      <c r="LP465" s="119"/>
      <c r="LQ465" s="119"/>
      <c r="LR465" s="119"/>
      <c r="LS465" s="119"/>
      <c r="LT465" s="119"/>
      <c r="LU465" s="119"/>
      <c r="LV465" s="119"/>
      <c r="LW465" s="119"/>
      <c r="LX465" s="119"/>
      <c r="LY465" s="119"/>
      <c r="LZ465" s="119"/>
      <c r="MA465" s="119"/>
      <c r="MB465" s="119"/>
      <c r="MC465" s="119"/>
      <c r="MD465" s="119"/>
      <c r="ME465" s="119"/>
      <c r="MF465" s="119"/>
      <c r="MG465" s="119"/>
      <c r="MH465" s="119"/>
      <c r="MI465" s="119"/>
      <c r="MJ465" s="119"/>
      <c r="MK465" s="119"/>
      <c r="ML465" s="119"/>
      <c r="MM465" s="119"/>
      <c r="MN465" s="119"/>
      <c r="MO465" s="119"/>
      <c r="MP465" s="119"/>
      <c r="MQ465" s="119"/>
      <c r="MR465" s="119"/>
      <c r="MS465" s="119"/>
      <c r="MT465" s="119"/>
      <c r="MU465" s="119"/>
      <c r="MV465" s="119"/>
      <c r="MW465" s="119"/>
      <c r="MX465" s="119"/>
      <c r="MY465" s="119"/>
      <c r="MZ465" s="119"/>
    </row>
    <row r="466" spans="1:364" s="27" customFormat="1" x14ac:dyDescent="0.25">
      <c r="A466" s="123"/>
      <c r="B466" s="123"/>
      <c r="C466" s="126"/>
      <c r="D466" s="129"/>
      <c r="E466" s="109"/>
      <c r="F466" s="131"/>
      <c r="G466" s="132"/>
      <c r="H466" s="114" t="s">
        <v>149</v>
      </c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19"/>
      <c r="T466" s="119"/>
      <c r="U466" s="119"/>
      <c r="V466" s="119"/>
      <c r="W466" s="119"/>
      <c r="X466" s="119"/>
      <c r="Y466" s="119"/>
      <c r="Z466" s="119"/>
      <c r="AA466" s="119"/>
      <c r="AB466" s="119"/>
      <c r="AC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9"/>
      <c r="AT466" s="119"/>
      <c r="AU466" s="119"/>
      <c r="AV466" s="119"/>
      <c r="AW466" s="119"/>
      <c r="AX466" s="119"/>
      <c r="AY466" s="119"/>
      <c r="AZ466" s="119"/>
      <c r="BA466" s="119"/>
      <c r="BB466" s="119"/>
      <c r="BC466" s="119"/>
      <c r="BD466" s="119"/>
      <c r="BE466" s="119"/>
      <c r="BF466" s="119"/>
      <c r="BG466" s="119"/>
      <c r="BH466" s="119"/>
      <c r="BI466" s="119"/>
      <c r="BJ466" s="119"/>
      <c r="BK466" s="119"/>
      <c r="BL466" s="26"/>
      <c r="BM466" s="119"/>
      <c r="BN466" s="119"/>
      <c r="BO466" s="119"/>
      <c r="BP466" s="119"/>
      <c r="BQ466" s="119"/>
      <c r="BR466" s="119"/>
      <c r="BS466" s="119"/>
      <c r="BT466" s="119"/>
      <c r="BU466" s="119"/>
      <c r="BV466" s="119"/>
      <c r="BW466" s="119"/>
      <c r="BX466" s="119"/>
      <c r="BY466" s="119"/>
      <c r="BZ466" s="119"/>
      <c r="CA466" s="119"/>
      <c r="CB466" s="119"/>
      <c r="CC466" s="119"/>
      <c r="CD466" s="119"/>
      <c r="CE466" s="119"/>
      <c r="CF466" s="119"/>
      <c r="CG466" s="119"/>
      <c r="CH466" s="119"/>
      <c r="CI466" s="119"/>
      <c r="CJ466" s="119"/>
      <c r="CK466" s="119"/>
      <c r="CL466" s="119"/>
      <c r="CM466" s="119"/>
      <c r="CN466" s="119"/>
      <c r="CO466" s="119"/>
      <c r="CP466" s="119"/>
      <c r="CQ466" s="119"/>
      <c r="CR466" s="119"/>
      <c r="CS466" s="119"/>
      <c r="CT466" s="119"/>
      <c r="CU466" s="119"/>
      <c r="CV466" s="119"/>
      <c r="CW466" s="119"/>
      <c r="CX466" s="119"/>
      <c r="CY466" s="119"/>
      <c r="CZ466" s="119"/>
      <c r="DA466" s="119"/>
      <c r="DB466" s="119"/>
      <c r="DC466" s="119"/>
      <c r="DD466" s="119"/>
      <c r="DE466" s="119"/>
      <c r="DF466" s="119"/>
      <c r="DG466" s="119"/>
      <c r="DH466" s="119"/>
      <c r="DI466" s="119"/>
      <c r="DJ466" s="119"/>
      <c r="DK466" s="119"/>
      <c r="DL466" s="119"/>
      <c r="DM466" s="119"/>
      <c r="DN466" s="119"/>
      <c r="DO466" s="119"/>
      <c r="DP466" s="119"/>
      <c r="DQ466" s="119"/>
      <c r="DR466" s="119"/>
      <c r="DS466" s="119"/>
      <c r="DT466" s="119"/>
      <c r="DU466" s="119"/>
      <c r="DV466" s="119"/>
      <c r="DW466" s="119"/>
      <c r="DX466" s="119"/>
      <c r="DY466" s="119"/>
      <c r="DZ466" s="119"/>
      <c r="EA466" s="119"/>
      <c r="EB466" s="119"/>
      <c r="EC466" s="119"/>
      <c r="ED466" s="119"/>
      <c r="EE466" s="119"/>
      <c r="EF466" s="119"/>
      <c r="EG466" s="119"/>
      <c r="EH466" s="119"/>
      <c r="EI466" s="119"/>
      <c r="EJ466" s="119"/>
      <c r="EK466" s="119"/>
      <c r="EL466" s="119"/>
      <c r="EM466" s="119"/>
      <c r="EN466" s="119"/>
      <c r="EO466" s="119"/>
      <c r="EP466" s="119"/>
      <c r="EQ466" s="119"/>
      <c r="ER466" s="119"/>
      <c r="ES466" s="119"/>
      <c r="ET466" s="119"/>
      <c r="EU466" s="119"/>
      <c r="EV466" s="119"/>
      <c r="EW466" s="119"/>
      <c r="EX466" s="119"/>
      <c r="EY466" s="119"/>
      <c r="EZ466" s="119"/>
      <c r="FA466" s="119"/>
      <c r="FB466" s="119"/>
      <c r="FC466" s="119"/>
      <c r="FD466" s="119"/>
      <c r="FE466" s="119"/>
      <c r="FF466" s="119"/>
      <c r="FG466" s="119"/>
      <c r="FH466" s="119"/>
      <c r="FI466" s="119"/>
      <c r="FJ466" s="119"/>
      <c r="FK466" s="119"/>
      <c r="FL466" s="119"/>
      <c r="FM466" s="119"/>
      <c r="FN466" s="119"/>
      <c r="FO466" s="119"/>
      <c r="FP466" s="119"/>
      <c r="FQ466" s="119"/>
      <c r="FR466" s="119"/>
      <c r="FS466" s="119"/>
      <c r="FT466" s="119"/>
      <c r="FU466" s="119"/>
      <c r="FV466" s="119"/>
      <c r="FW466" s="119"/>
      <c r="FX466" s="119"/>
      <c r="FY466" s="119"/>
      <c r="FZ466" s="119"/>
      <c r="GA466" s="119"/>
      <c r="GB466" s="119"/>
      <c r="GC466" s="119"/>
      <c r="GD466" s="119"/>
      <c r="GE466" s="119"/>
      <c r="GF466" s="119"/>
      <c r="GG466" s="119"/>
      <c r="GH466" s="119"/>
      <c r="GI466" s="119"/>
      <c r="GJ466" s="119"/>
      <c r="GK466" s="119"/>
      <c r="GL466" s="119"/>
      <c r="GM466" s="119"/>
      <c r="GN466" s="119"/>
      <c r="GO466" s="119"/>
      <c r="GP466" s="119"/>
      <c r="GQ466" s="119"/>
      <c r="GR466" s="119"/>
      <c r="GS466" s="119"/>
      <c r="GT466" s="119"/>
      <c r="GU466" s="119"/>
      <c r="GV466" s="119"/>
      <c r="GW466" s="119"/>
      <c r="GX466" s="119"/>
      <c r="GY466" s="119"/>
      <c r="GZ466" s="119"/>
      <c r="HA466" s="119"/>
      <c r="HB466" s="119"/>
      <c r="HC466" s="119"/>
      <c r="HD466" s="119"/>
      <c r="HE466" s="119"/>
      <c r="HF466" s="119"/>
      <c r="HG466" s="119"/>
      <c r="HH466" s="119"/>
      <c r="HI466" s="119"/>
      <c r="HJ466" s="119"/>
      <c r="HK466" s="119"/>
      <c r="HL466" s="119"/>
      <c r="HM466" s="119"/>
      <c r="HN466" s="119"/>
      <c r="HO466" s="119"/>
      <c r="HP466" s="119"/>
      <c r="HQ466" s="119"/>
      <c r="HR466" s="119"/>
      <c r="HS466" s="119"/>
      <c r="HT466" s="119"/>
      <c r="HU466" s="119"/>
      <c r="HV466" s="119"/>
      <c r="HW466" s="119"/>
      <c r="HX466" s="119"/>
      <c r="HY466" s="119"/>
      <c r="HZ466" s="119"/>
      <c r="IA466" s="119"/>
      <c r="IB466" s="119"/>
      <c r="IC466" s="119"/>
      <c r="ID466" s="119"/>
      <c r="IE466" s="119"/>
      <c r="IF466" s="119"/>
      <c r="IG466" s="119"/>
      <c r="IH466" s="119"/>
      <c r="II466" s="119"/>
      <c r="IJ466" s="119"/>
      <c r="IK466" s="119"/>
      <c r="IL466" s="119"/>
      <c r="IM466" s="119"/>
      <c r="IN466" s="119"/>
      <c r="IO466" s="119"/>
      <c r="IP466" s="119"/>
      <c r="IQ466" s="119"/>
      <c r="IR466" s="119"/>
      <c r="IS466" s="119"/>
      <c r="IT466" s="119"/>
      <c r="IU466" s="119"/>
      <c r="IV466" s="119"/>
      <c r="IW466" s="119"/>
      <c r="IX466" s="119"/>
      <c r="IY466" s="119"/>
      <c r="IZ466" s="119"/>
      <c r="JA466" s="119"/>
      <c r="JB466" s="119"/>
      <c r="JC466" s="119"/>
      <c r="JD466" s="119"/>
      <c r="JE466" s="119"/>
      <c r="JF466" s="119"/>
      <c r="JG466" s="119"/>
      <c r="JH466" s="119"/>
      <c r="JI466" s="119"/>
      <c r="JJ466" s="119"/>
      <c r="JK466" s="119"/>
      <c r="JL466" s="119"/>
      <c r="JM466" s="119"/>
      <c r="JN466" s="119"/>
      <c r="JO466" s="119"/>
      <c r="JP466" s="119"/>
      <c r="JQ466" s="119"/>
      <c r="JR466" s="119"/>
      <c r="JS466" s="119"/>
      <c r="JT466" s="119"/>
      <c r="JU466" s="119"/>
      <c r="JV466" s="119"/>
      <c r="JW466" s="119"/>
      <c r="JX466" s="119"/>
      <c r="JY466" s="119"/>
      <c r="JZ466" s="119"/>
      <c r="KA466" s="119"/>
      <c r="KB466" s="119"/>
      <c r="KC466" s="119"/>
      <c r="KD466" s="119"/>
      <c r="KE466" s="119"/>
      <c r="KF466" s="119"/>
      <c r="KG466" s="119"/>
      <c r="KH466" s="119"/>
      <c r="KI466" s="119"/>
      <c r="KJ466" s="119"/>
      <c r="KK466" s="119"/>
      <c r="KL466" s="119"/>
      <c r="KM466" s="119"/>
      <c r="KN466" s="119"/>
      <c r="KO466" s="119"/>
      <c r="KP466" s="119"/>
      <c r="KQ466" s="119"/>
      <c r="KR466" s="119"/>
      <c r="KS466" s="119"/>
      <c r="KT466" s="119"/>
      <c r="KU466" s="119"/>
      <c r="KV466" s="119"/>
      <c r="KW466" s="119"/>
      <c r="KX466" s="119"/>
      <c r="KY466" s="119"/>
      <c r="KZ466" s="119"/>
      <c r="LA466" s="119"/>
      <c r="LB466" s="119"/>
      <c r="LC466" s="119"/>
      <c r="LD466" s="119"/>
      <c r="LE466" s="119"/>
      <c r="LF466" s="119"/>
      <c r="LG466" s="119"/>
      <c r="LH466" s="119"/>
      <c r="LI466" s="119"/>
      <c r="LJ466" s="119"/>
      <c r="LK466" s="119"/>
      <c r="LL466" s="119"/>
      <c r="LM466" s="119"/>
      <c r="LN466" s="119"/>
      <c r="LO466" s="119"/>
      <c r="LP466" s="119"/>
      <c r="LQ466" s="119"/>
      <c r="LR466" s="119"/>
      <c r="LS466" s="119"/>
      <c r="LT466" s="119"/>
      <c r="LU466" s="119"/>
      <c r="LV466" s="119"/>
      <c r="LW466" s="119"/>
      <c r="LX466" s="119"/>
      <c r="LY466" s="119"/>
      <c r="LZ466" s="119"/>
      <c r="MA466" s="119"/>
      <c r="MB466" s="119"/>
      <c r="MC466" s="119"/>
      <c r="MD466" s="119"/>
      <c r="ME466" s="119"/>
      <c r="MF466" s="119"/>
      <c r="MG466" s="119"/>
      <c r="MH466" s="119"/>
      <c r="MI466" s="119"/>
      <c r="MJ466" s="119"/>
      <c r="MK466" s="119"/>
      <c r="ML466" s="119"/>
      <c r="MM466" s="119"/>
      <c r="MN466" s="119"/>
      <c r="MO466" s="119"/>
      <c r="MP466" s="119"/>
      <c r="MQ466" s="119"/>
      <c r="MR466" s="119"/>
      <c r="MS466" s="119"/>
      <c r="MT466" s="119"/>
      <c r="MU466" s="119"/>
      <c r="MV466" s="119"/>
      <c r="MW466" s="119"/>
      <c r="MX466" s="119"/>
      <c r="MY466" s="119"/>
      <c r="MZ466" s="119"/>
    </row>
    <row r="467" spans="1:364" s="27" customFormat="1" x14ac:dyDescent="0.25">
      <c r="A467" s="121"/>
      <c r="B467" s="124" t="e">
        <f>VLOOKUP(A467,Rules!$B$8:$C$154,2,0)</f>
        <v>#N/A</v>
      </c>
      <c r="C467" s="125">
        <f t="shared" ref="C467" si="16">SUM(I468:XX468)</f>
        <v>0</v>
      </c>
      <c r="D467" s="127"/>
      <c r="E467" s="110" t="s">
        <v>492</v>
      </c>
      <c r="F467" s="130" t="e">
        <f>VLOOKUP(A467,Table2[],10,0)</f>
        <v>#N/A</v>
      </c>
      <c r="G467" s="130"/>
      <c r="H467" s="113" t="s">
        <v>440</v>
      </c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9"/>
      <c r="T467" s="119"/>
      <c r="U467" s="119"/>
      <c r="V467" s="119"/>
      <c r="W467" s="119"/>
      <c r="X467" s="119"/>
      <c r="Y467" s="119"/>
      <c r="Z467" s="119"/>
      <c r="AA467" s="119"/>
      <c r="AB467" s="119"/>
      <c r="AC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9"/>
      <c r="AT467" s="119"/>
      <c r="AU467" s="119"/>
      <c r="AV467" s="119"/>
      <c r="AW467" s="119"/>
      <c r="AX467" s="119"/>
      <c r="AY467" s="119"/>
      <c r="AZ467" s="119"/>
      <c r="BA467" s="119"/>
      <c r="BB467" s="119"/>
      <c r="BC467" s="119"/>
      <c r="BD467" s="119"/>
      <c r="BE467" s="119"/>
      <c r="BF467" s="119"/>
      <c r="BG467" s="119"/>
      <c r="BH467" s="119"/>
      <c r="BI467" s="119"/>
      <c r="BJ467" s="119"/>
      <c r="BK467" s="119"/>
      <c r="BL467" s="26"/>
      <c r="BM467" s="119"/>
      <c r="BN467" s="26"/>
      <c r="BO467" s="119"/>
      <c r="BP467" s="119"/>
      <c r="BQ467" s="119"/>
      <c r="BR467" s="119"/>
      <c r="BS467" s="119"/>
      <c r="BT467" s="119"/>
      <c r="BU467" s="119"/>
      <c r="BV467" s="119"/>
      <c r="BW467" s="119"/>
      <c r="BX467" s="119"/>
      <c r="BY467" s="119"/>
      <c r="BZ467" s="119"/>
      <c r="CA467" s="119"/>
      <c r="CB467" s="119"/>
      <c r="CC467" s="119"/>
      <c r="CD467" s="119"/>
      <c r="CE467" s="119"/>
      <c r="CF467" s="119"/>
      <c r="CG467" s="119"/>
      <c r="CH467" s="119"/>
      <c r="CI467" s="119"/>
      <c r="CJ467" s="119"/>
      <c r="CK467" s="119"/>
      <c r="CL467" s="119"/>
      <c r="CM467" s="119"/>
      <c r="CN467" s="119"/>
      <c r="CO467" s="119"/>
      <c r="CP467" s="119"/>
      <c r="CQ467" s="119"/>
      <c r="CR467" s="119"/>
      <c r="CS467" s="119"/>
      <c r="CT467" s="119"/>
      <c r="CU467" s="119"/>
      <c r="CV467" s="119"/>
      <c r="CW467" s="119"/>
      <c r="CX467" s="119"/>
      <c r="CY467" s="119"/>
      <c r="CZ467" s="119"/>
      <c r="DA467" s="119"/>
      <c r="DB467" s="119"/>
      <c r="DC467" s="119"/>
      <c r="DD467" s="119"/>
      <c r="DE467" s="119"/>
      <c r="DF467" s="119"/>
      <c r="DG467" s="119"/>
      <c r="DH467" s="119"/>
      <c r="DI467" s="119"/>
      <c r="DJ467" s="119"/>
      <c r="DK467" s="119"/>
      <c r="DL467" s="119"/>
      <c r="DM467" s="119"/>
      <c r="DN467" s="119"/>
      <c r="DO467" s="119"/>
      <c r="DP467" s="119"/>
      <c r="DQ467" s="119"/>
      <c r="DR467" s="119"/>
      <c r="DS467" s="119"/>
      <c r="DT467" s="119"/>
      <c r="DU467" s="119"/>
      <c r="DV467" s="119"/>
      <c r="DW467" s="119"/>
      <c r="DX467" s="119"/>
      <c r="DY467" s="119"/>
      <c r="DZ467" s="119"/>
      <c r="EA467" s="119"/>
      <c r="EB467" s="119"/>
      <c r="EC467" s="119"/>
      <c r="ED467" s="119"/>
      <c r="EE467" s="119"/>
      <c r="EF467" s="119"/>
      <c r="EG467" s="119"/>
      <c r="EH467" s="119"/>
      <c r="EI467" s="119"/>
      <c r="EJ467" s="119"/>
      <c r="EK467" s="119"/>
      <c r="EL467" s="119"/>
      <c r="EM467" s="119"/>
      <c r="EN467" s="119"/>
      <c r="EO467" s="119"/>
      <c r="EP467" s="119"/>
      <c r="EQ467" s="119"/>
      <c r="ER467" s="119"/>
      <c r="ES467" s="119"/>
      <c r="ET467" s="119"/>
      <c r="EU467" s="119"/>
      <c r="EV467" s="119"/>
      <c r="EW467" s="119"/>
      <c r="EX467" s="119"/>
      <c r="EY467" s="119"/>
      <c r="EZ467" s="119"/>
      <c r="FA467" s="119"/>
      <c r="FB467" s="119"/>
      <c r="FC467" s="119"/>
      <c r="FD467" s="119"/>
      <c r="FE467" s="119"/>
      <c r="FF467" s="119"/>
      <c r="FG467" s="119"/>
      <c r="FH467" s="119"/>
      <c r="FI467" s="119"/>
      <c r="FJ467" s="119"/>
      <c r="FK467" s="119"/>
      <c r="FL467" s="119"/>
      <c r="FM467" s="119"/>
      <c r="FN467" s="119"/>
      <c r="FO467" s="119"/>
      <c r="FP467" s="119"/>
      <c r="FQ467" s="119"/>
      <c r="FR467" s="119"/>
      <c r="FS467" s="119"/>
      <c r="FT467" s="119"/>
      <c r="FU467" s="119"/>
      <c r="FV467" s="119"/>
      <c r="FW467" s="119"/>
      <c r="FX467" s="119"/>
      <c r="FY467" s="119"/>
      <c r="FZ467" s="119"/>
      <c r="GA467" s="119"/>
      <c r="GB467" s="119"/>
      <c r="GC467" s="119"/>
      <c r="GD467" s="119"/>
      <c r="GE467" s="119"/>
      <c r="GF467" s="119"/>
      <c r="GG467" s="119"/>
      <c r="GH467" s="119"/>
      <c r="GI467" s="119"/>
      <c r="GJ467" s="119"/>
      <c r="GK467" s="119"/>
      <c r="GL467" s="119"/>
      <c r="GM467" s="119"/>
      <c r="GN467" s="119"/>
      <c r="GO467" s="119"/>
      <c r="GP467" s="119"/>
      <c r="GQ467" s="119"/>
      <c r="GR467" s="119"/>
      <c r="GS467" s="119"/>
      <c r="GT467" s="119"/>
      <c r="GU467" s="119"/>
      <c r="GV467" s="119"/>
      <c r="GW467" s="119"/>
      <c r="GX467" s="119"/>
      <c r="GY467" s="119"/>
      <c r="GZ467" s="119"/>
      <c r="HA467" s="119"/>
      <c r="HB467" s="119"/>
      <c r="HC467" s="119"/>
      <c r="HD467" s="119"/>
      <c r="HE467" s="119"/>
      <c r="HF467" s="119"/>
      <c r="HG467" s="119"/>
      <c r="HH467" s="119"/>
      <c r="HI467" s="119"/>
      <c r="HJ467" s="119"/>
      <c r="HK467" s="119"/>
      <c r="HL467" s="119"/>
      <c r="HM467" s="119"/>
      <c r="HN467" s="119"/>
      <c r="HO467" s="119"/>
      <c r="HP467" s="119"/>
      <c r="HQ467" s="119"/>
      <c r="HR467" s="119"/>
      <c r="HS467" s="119"/>
      <c r="HT467" s="119"/>
      <c r="HU467" s="119"/>
      <c r="HV467" s="119"/>
      <c r="HW467" s="119"/>
      <c r="HX467" s="119"/>
      <c r="HY467" s="119"/>
      <c r="HZ467" s="119"/>
      <c r="IA467" s="119"/>
      <c r="IB467" s="119"/>
      <c r="IC467" s="119"/>
      <c r="ID467" s="119"/>
      <c r="IE467" s="119"/>
      <c r="IF467" s="119"/>
      <c r="IG467" s="119"/>
      <c r="IH467" s="119"/>
      <c r="II467" s="119"/>
      <c r="IJ467" s="119"/>
      <c r="IK467" s="119"/>
      <c r="IL467" s="119"/>
      <c r="IM467" s="119"/>
      <c r="IN467" s="119"/>
      <c r="IO467" s="119"/>
      <c r="IP467" s="119"/>
      <c r="IQ467" s="119"/>
      <c r="IR467" s="119"/>
      <c r="IS467" s="119"/>
      <c r="IT467" s="119"/>
      <c r="IU467" s="119"/>
      <c r="IV467" s="119"/>
      <c r="IW467" s="119"/>
      <c r="IX467" s="119"/>
      <c r="IY467" s="119"/>
      <c r="IZ467" s="119"/>
      <c r="JA467" s="119"/>
      <c r="JB467" s="119"/>
      <c r="JC467" s="119"/>
      <c r="JD467" s="119"/>
      <c r="JE467" s="119"/>
      <c r="JF467" s="119"/>
      <c r="JG467" s="119"/>
      <c r="JH467" s="119"/>
      <c r="JI467" s="119"/>
      <c r="JJ467" s="119"/>
      <c r="JK467" s="119"/>
      <c r="JL467" s="119"/>
      <c r="JM467" s="119"/>
      <c r="JN467" s="119"/>
      <c r="JO467" s="119"/>
      <c r="JP467" s="119"/>
      <c r="JQ467" s="119"/>
      <c r="JR467" s="119"/>
      <c r="JS467" s="119"/>
      <c r="JT467" s="119"/>
      <c r="JU467" s="119"/>
      <c r="JV467" s="119"/>
      <c r="JW467" s="119"/>
      <c r="JX467" s="119"/>
      <c r="JY467" s="119"/>
      <c r="JZ467" s="119"/>
      <c r="KA467" s="119"/>
      <c r="KB467" s="119"/>
      <c r="KC467" s="119"/>
      <c r="KD467" s="119"/>
      <c r="KE467" s="119"/>
      <c r="KF467" s="119"/>
      <c r="KG467" s="119"/>
      <c r="KH467" s="119"/>
      <c r="KI467" s="119"/>
      <c r="KJ467" s="119"/>
      <c r="KK467" s="119"/>
      <c r="KL467" s="119"/>
      <c r="KM467" s="119"/>
      <c r="KN467" s="119"/>
      <c r="KO467" s="119"/>
      <c r="KP467" s="119"/>
      <c r="KQ467" s="119"/>
      <c r="KR467" s="119"/>
      <c r="KS467" s="119"/>
      <c r="KT467" s="119"/>
      <c r="KU467" s="119"/>
      <c r="KV467" s="119"/>
      <c r="KW467" s="119"/>
      <c r="KX467" s="119"/>
      <c r="KY467" s="119"/>
      <c r="KZ467" s="119"/>
      <c r="LA467" s="119"/>
      <c r="LB467" s="119"/>
      <c r="LC467" s="119"/>
      <c r="LD467" s="119"/>
      <c r="LE467" s="119"/>
      <c r="LF467" s="119"/>
      <c r="LG467" s="119"/>
      <c r="LH467" s="119"/>
      <c r="LI467" s="119"/>
      <c r="LJ467" s="119"/>
      <c r="LK467" s="119"/>
      <c r="LL467" s="119"/>
      <c r="LM467" s="119"/>
      <c r="LN467" s="119"/>
      <c r="LO467" s="119"/>
      <c r="LP467" s="119"/>
      <c r="LQ467" s="119"/>
      <c r="LR467" s="119"/>
      <c r="LS467" s="119"/>
      <c r="LT467" s="119"/>
      <c r="LU467" s="119"/>
      <c r="LV467" s="119"/>
      <c r="LW467" s="119"/>
      <c r="LX467" s="119"/>
      <c r="LY467" s="119"/>
      <c r="LZ467" s="119"/>
      <c r="MA467" s="119"/>
      <c r="MB467" s="119"/>
      <c r="MC467" s="119"/>
      <c r="MD467" s="119"/>
      <c r="ME467" s="119"/>
      <c r="MF467" s="119"/>
      <c r="MG467" s="119"/>
      <c r="MH467" s="119"/>
      <c r="MI467" s="119"/>
      <c r="MJ467" s="119"/>
      <c r="MK467" s="119"/>
      <c r="ML467" s="119"/>
      <c r="MM467" s="119"/>
      <c r="MN467" s="119"/>
      <c r="MO467" s="119"/>
      <c r="MP467" s="119"/>
      <c r="MQ467" s="119"/>
      <c r="MR467" s="119"/>
      <c r="MS467" s="119"/>
      <c r="MT467" s="119"/>
      <c r="MU467" s="119"/>
      <c r="MV467" s="119"/>
      <c r="MW467" s="119"/>
      <c r="MX467" s="119"/>
      <c r="MY467" s="119"/>
      <c r="MZ467" s="119"/>
    </row>
    <row r="468" spans="1:364" s="27" customFormat="1" x14ac:dyDescent="0.25">
      <c r="A468" s="122"/>
      <c r="B468" s="122"/>
      <c r="C468" s="126"/>
      <c r="D468" s="128"/>
      <c r="E468" s="109"/>
      <c r="F468" s="131"/>
      <c r="G468" s="131"/>
      <c r="H468" s="105" t="s">
        <v>439</v>
      </c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9"/>
      <c r="T468" s="119"/>
      <c r="U468" s="119"/>
      <c r="V468" s="119"/>
      <c r="W468" s="119"/>
      <c r="X468" s="119"/>
      <c r="Y468" s="119"/>
      <c r="Z468" s="119"/>
      <c r="AA468" s="119"/>
      <c r="AB468" s="119"/>
      <c r="AC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9"/>
      <c r="AT468" s="119"/>
      <c r="AU468" s="119"/>
      <c r="AV468" s="119"/>
      <c r="AW468" s="119"/>
      <c r="AX468" s="119"/>
      <c r="AY468" s="119"/>
      <c r="AZ468" s="119"/>
      <c r="BA468" s="119"/>
      <c r="BB468" s="119"/>
      <c r="BC468" s="119"/>
      <c r="BD468" s="119"/>
      <c r="BE468" s="119"/>
      <c r="BF468" s="119"/>
      <c r="BG468" s="119"/>
      <c r="BH468" s="119"/>
      <c r="BI468" s="119"/>
      <c r="BJ468" s="119"/>
      <c r="BK468" s="119"/>
      <c r="BL468" s="26"/>
      <c r="BM468" s="119"/>
      <c r="BN468" s="26"/>
      <c r="BO468" s="119"/>
      <c r="BP468" s="119"/>
      <c r="BQ468" s="119"/>
      <c r="BR468" s="119"/>
      <c r="BS468" s="119"/>
      <c r="BT468" s="119"/>
      <c r="BU468" s="119"/>
      <c r="BV468" s="119"/>
      <c r="BW468" s="119"/>
      <c r="BX468" s="119"/>
      <c r="BY468" s="119"/>
      <c r="BZ468" s="119"/>
      <c r="CA468" s="119"/>
      <c r="CB468" s="119"/>
      <c r="CC468" s="119"/>
      <c r="CD468" s="119"/>
      <c r="CE468" s="119"/>
      <c r="CF468" s="119"/>
      <c r="CG468" s="119"/>
      <c r="CH468" s="119"/>
      <c r="CI468" s="119"/>
      <c r="CJ468" s="119"/>
      <c r="CK468" s="119"/>
      <c r="CL468" s="119"/>
      <c r="CM468" s="119"/>
      <c r="CN468" s="119"/>
      <c r="CO468" s="119"/>
      <c r="CP468" s="119"/>
      <c r="CQ468" s="119"/>
      <c r="CR468" s="119"/>
      <c r="CS468" s="119"/>
      <c r="CT468" s="119"/>
      <c r="CU468" s="119"/>
      <c r="CV468" s="119"/>
      <c r="CW468" s="119"/>
      <c r="CX468" s="119"/>
      <c r="CY468" s="119"/>
      <c r="CZ468" s="119"/>
      <c r="DA468" s="119"/>
      <c r="DB468" s="119"/>
      <c r="DC468" s="119"/>
      <c r="DD468" s="119"/>
      <c r="DE468" s="119"/>
      <c r="DF468" s="119"/>
      <c r="DG468" s="119"/>
      <c r="DH468" s="119"/>
      <c r="DI468" s="119"/>
      <c r="DJ468" s="119"/>
      <c r="DK468" s="119"/>
      <c r="DL468" s="119"/>
      <c r="DM468" s="119"/>
      <c r="DN468" s="119"/>
      <c r="DO468" s="119"/>
      <c r="DP468" s="119"/>
      <c r="DQ468" s="119"/>
      <c r="DR468" s="119"/>
      <c r="DS468" s="119"/>
      <c r="DT468" s="119"/>
      <c r="DU468" s="119"/>
      <c r="DV468" s="119"/>
      <c r="DW468" s="119"/>
      <c r="DX468" s="119"/>
      <c r="DY468" s="119"/>
      <c r="DZ468" s="119"/>
      <c r="EA468" s="119"/>
      <c r="EB468" s="119"/>
      <c r="EC468" s="119"/>
      <c r="ED468" s="119"/>
      <c r="EE468" s="119"/>
      <c r="EF468" s="119"/>
      <c r="EG468" s="119"/>
      <c r="EH468" s="119"/>
      <c r="EI468" s="119"/>
      <c r="EJ468" s="119"/>
      <c r="EK468" s="119"/>
      <c r="EL468" s="119"/>
      <c r="EM468" s="119"/>
      <c r="EN468" s="119"/>
      <c r="EO468" s="119"/>
      <c r="EP468" s="119"/>
      <c r="EQ468" s="119"/>
      <c r="ER468" s="119"/>
      <c r="ES468" s="119"/>
      <c r="ET468" s="119"/>
      <c r="EU468" s="119"/>
      <c r="EV468" s="119"/>
      <c r="EW468" s="119"/>
      <c r="EX468" s="119"/>
      <c r="EY468" s="119"/>
      <c r="EZ468" s="119"/>
      <c r="FA468" s="119"/>
      <c r="FB468" s="119"/>
      <c r="FC468" s="119"/>
      <c r="FD468" s="119"/>
      <c r="FE468" s="119"/>
      <c r="FF468" s="119"/>
      <c r="FG468" s="119"/>
      <c r="FH468" s="119"/>
      <c r="FI468" s="119"/>
      <c r="FJ468" s="119"/>
      <c r="FK468" s="119"/>
      <c r="FL468" s="119"/>
      <c r="FM468" s="119"/>
      <c r="FN468" s="119"/>
      <c r="FO468" s="119"/>
      <c r="FP468" s="119"/>
      <c r="FQ468" s="119"/>
      <c r="FR468" s="119"/>
      <c r="FS468" s="119"/>
      <c r="FT468" s="119"/>
      <c r="FU468" s="119"/>
      <c r="FV468" s="119"/>
      <c r="FW468" s="119"/>
      <c r="FX468" s="119"/>
      <c r="FY468" s="119"/>
      <c r="FZ468" s="119"/>
      <c r="GA468" s="119"/>
      <c r="GB468" s="119"/>
      <c r="GC468" s="119"/>
      <c r="GD468" s="119"/>
      <c r="GE468" s="119"/>
      <c r="GF468" s="119"/>
      <c r="GG468" s="119"/>
      <c r="GH468" s="119"/>
      <c r="GI468" s="119"/>
      <c r="GJ468" s="119"/>
      <c r="GK468" s="119"/>
      <c r="GL468" s="119"/>
      <c r="GM468" s="119"/>
      <c r="GN468" s="119"/>
      <c r="GO468" s="119"/>
      <c r="GP468" s="119"/>
      <c r="GQ468" s="119"/>
      <c r="GR468" s="119"/>
      <c r="GS468" s="119"/>
      <c r="GT468" s="119"/>
      <c r="GU468" s="119"/>
      <c r="GV468" s="119"/>
      <c r="GW468" s="119"/>
      <c r="GX468" s="119"/>
      <c r="GY468" s="119"/>
      <c r="GZ468" s="119"/>
      <c r="HA468" s="119"/>
      <c r="HB468" s="119"/>
      <c r="HC468" s="119"/>
      <c r="HD468" s="119"/>
      <c r="HE468" s="119"/>
      <c r="HF468" s="119"/>
      <c r="HG468" s="119"/>
      <c r="HH468" s="119"/>
      <c r="HI468" s="119"/>
      <c r="HJ468" s="119"/>
      <c r="HK468" s="119"/>
      <c r="HL468" s="119"/>
      <c r="HM468" s="119"/>
      <c r="HN468" s="119"/>
      <c r="HO468" s="119"/>
      <c r="HP468" s="119"/>
      <c r="HQ468" s="119"/>
      <c r="HR468" s="119"/>
      <c r="HS468" s="119"/>
      <c r="HT468" s="119"/>
      <c r="HU468" s="119"/>
      <c r="HV468" s="119"/>
      <c r="HW468" s="119"/>
      <c r="HX468" s="119"/>
      <c r="HY468" s="119"/>
      <c r="HZ468" s="119"/>
      <c r="IA468" s="119"/>
      <c r="IB468" s="119"/>
      <c r="IC468" s="119"/>
      <c r="ID468" s="119"/>
      <c r="IE468" s="119"/>
      <c r="IF468" s="119"/>
      <c r="IG468" s="119"/>
      <c r="IH468" s="119"/>
      <c r="II468" s="119"/>
      <c r="IJ468" s="119"/>
      <c r="IK468" s="119"/>
      <c r="IL468" s="119"/>
      <c r="IM468" s="119"/>
      <c r="IN468" s="119"/>
      <c r="IO468" s="119"/>
      <c r="IP468" s="119"/>
      <c r="IQ468" s="119"/>
      <c r="IR468" s="119"/>
      <c r="IS468" s="119"/>
      <c r="IT468" s="119"/>
      <c r="IU468" s="119"/>
      <c r="IV468" s="119"/>
      <c r="IW468" s="119"/>
      <c r="IX468" s="119"/>
      <c r="IY468" s="119"/>
      <c r="IZ468" s="119"/>
      <c r="JA468" s="119"/>
      <c r="JB468" s="119"/>
      <c r="JC468" s="119"/>
      <c r="JD468" s="119"/>
      <c r="JE468" s="119"/>
      <c r="JF468" s="119"/>
      <c r="JG468" s="119"/>
      <c r="JH468" s="119"/>
      <c r="JI468" s="119"/>
      <c r="JJ468" s="119"/>
      <c r="JK468" s="119"/>
      <c r="JL468" s="119"/>
      <c r="JM468" s="119"/>
      <c r="JN468" s="119"/>
      <c r="JO468" s="119"/>
      <c r="JP468" s="119"/>
      <c r="JQ468" s="119"/>
      <c r="JR468" s="119"/>
      <c r="JS468" s="119"/>
      <c r="JT468" s="119"/>
      <c r="JU468" s="119"/>
      <c r="JV468" s="119"/>
      <c r="JW468" s="119"/>
      <c r="JX468" s="119"/>
      <c r="JY468" s="119"/>
      <c r="JZ468" s="119"/>
      <c r="KA468" s="119"/>
      <c r="KB468" s="119"/>
      <c r="KC468" s="119"/>
      <c r="KD468" s="119"/>
      <c r="KE468" s="119"/>
      <c r="KF468" s="119"/>
      <c r="KG468" s="119"/>
      <c r="KH468" s="119"/>
      <c r="KI468" s="119"/>
      <c r="KJ468" s="119"/>
      <c r="KK468" s="119"/>
      <c r="KL468" s="119"/>
      <c r="KM468" s="119"/>
      <c r="KN468" s="119"/>
      <c r="KO468" s="119"/>
      <c r="KP468" s="119"/>
      <c r="KQ468" s="119"/>
      <c r="KR468" s="119"/>
      <c r="KS468" s="119"/>
      <c r="KT468" s="119"/>
      <c r="KU468" s="119"/>
      <c r="KV468" s="119"/>
      <c r="KW468" s="119"/>
      <c r="KX468" s="119"/>
      <c r="KY468" s="119"/>
      <c r="KZ468" s="119"/>
      <c r="LA468" s="119"/>
      <c r="LB468" s="119"/>
      <c r="LC468" s="119"/>
      <c r="LD468" s="119"/>
      <c r="LE468" s="119"/>
      <c r="LF468" s="119"/>
      <c r="LG468" s="119"/>
      <c r="LH468" s="119"/>
      <c r="LI468" s="119"/>
      <c r="LJ468" s="119"/>
      <c r="LK468" s="119"/>
      <c r="LL468" s="119"/>
      <c r="LM468" s="119"/>
      <c r="LN468" s="119"/>
      <c r="LO468" s="119"/>
      <c r="LP468" s="119"/>
      <c r="LQ468" s="119"/>
      <c r="LR468" s="119"/>
      <c r="LS468" s="119"/>
      <c r="LT468" s="119"/>
      <c r="LU468" s="119"/>
      <c r="LV468" s="119"/>
      <c r="LW468" s="119"/>
      <c r="LX468" s="119"/>
      <c r="LY468" s="119"/>
      <c r="LZ468" s="119"/>
      <c r="MA468" s="119"/>
      <c r="MB468" s="119"/>
      <c r="MC468" s="119"/>
      <c r="MD468" s="119"/>
      <c r="ME468" s="119"/>
      <c r="MF468" s="119"/>
      <c r="MG468" s="119"/>
      <c r="MH468" s="119"/>
      <c r="MI468" s="119"/>
      <c r="MJ468" s="119"/>
      <c r="MK468" s="119"/>
      <c r="ML468" s="119"/>
      <c r="MM468" s="119"/>
      <c r="MN468" s="119"/>
      <c r="MO468" s="119"/>
      <c r="MP468" s="119"/>
      <c r="MQ468" s="119"/>
      <c r="MR468" s="119"/>
      <c r="MS468" s="119"/>
      <c r="MT468" s="119"/>
      <c r="MU468" s="119"/>
      <c r="MV468" s="119"/>
      <c r="MW468" s="119"/>
      <c r="MX468" s="119"/>
      <c r="MY468" s="119"/>
      <c r="MZ468" s="119"/>
    </row>
    <row r="469" spans="1:364" s="27" customFormat="1" x14ac:dyDescent="0.25">
      <c r="A469" s="122"/>
      <c r="B469" s="122"/>
      <c r="C469" s="126"/>
      <c r="D469" s="128"/>
      <c r="E469" s="109" t="s">
        <v>493</v>
      </c>
      <c r="F469" s="131"/>
      <c r="G469" s="131"/>
      <c r="H469" s="106" t="s">
        <v>438</v>
      </c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19"/>
      <c r="T469" s="119"/>
      <c r="U469" s="119"/>
      <c r="V469" s="119"/>
      <c r="W469" s="119"/>
      <c r="X469" s="119"/>
      <c r="Y469" s="119"/>
      <c r="Z469" s="119"/>
      <c r="AA469" s="119"/>
      <c r="AB469" s="119"/>
      <c r="AC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9"/>
      <c r="AT469" s="119"/>
      <c r="AU469" s="119"/>
      <c r="AV469" s="119"/>
      <c r="AW469" s="119"/>
      <c r="AX469" s="119"/>
      <c r="AY469" s="119"/>
      <c r="AZ469" s="119"/>
      <c r="BA469" s="119"/>
      <c r="BB469" s="119"/>
      <c r="BC469" s="119"/>
      <c r="BD469" s="119"/>
      <c r="BE469" s="119"/>
      <c r="BF469" s="119"/>
      <c r="BG469" s="119"/>
      <c r="BH469" s="119"/>
      <c r="BI469" s="119"/>
      <c r="BJ469" s="119"/>
      <c r="BK469" s="119"/>
      <c r="BL469" s="26"/>
      <c r="BM469" s="119"/>
      <c r="BN469" s="119"/>
      <c r="BO469" s="119"/>
      <c r="BP469" s="119"/>
      <c r="BQ469" s="119"/>
      <c r="BR469" s="119"/>
      <c r="BS469" s="119"/>
      <c r="BT469" s="119"/>
      <c r="BU469" s="119"/>
      <c r="BV469" s="119"/>
      <c r="BW469" s="119"/>
      <c r="BX469" s="119"/>
      <c r="BY469" s="119"/>
      <c r="BZ469" s="119"/>
      <c r="CA469" s="119"/>
      <c r="CB469" s="119"/>
      <c r="CC469" s="119"/>
      <c r="CD469" s="119"/>
      <c r="CE469" s="119"/>
      <c r="CF469" s="119"/>
      <c r="CG469" s="119"/>
      <c r="CH469" s="119"/>
      <c r="CI469" s="119"/>
      <c r="CJ469" s="119"/>
      <c r="CK469" s="119"/>
      <c r="CL469" s="119"/>
      <c r="CM469" s="119"/>
      <c r="CN469" s="119"/>
      <c r="CO469" s="119"/>
      <c r="CP469" s="119"/>
      <c r="CQ469" s="119"/>
      <c r="CR469" s="119"/>
      <c r="CS469" s="119"/>
      <c r="CT469" s="119"/>
      <c r="CU469" s="119"/>
      <c r="CV469" s="119"/>
      <c r="CW469" s="119"/>
      <c r="CX469" s="119"/>
      <c r="CY469" s="119"/>
      <c r="CZ469" s="119"/>
      <c r="DA469" s="119"/>
      <c r="DB469" s="119"/>
      <c r="DC469" s="119"/>
      <c r="DD469" s="119"/>
      <c r="DE469" s="119"/>
      <c r="DF469" s="119"/>
      <c r="DG469" s="119"/>
      <c r="DH469" s="119"/>
      <c r="DI469" s="119"/>
      <c r="DJ469" s="119"/>
      <c r="DK469" s="119"/>
      <c r="DL469" s="119"/>
      <c r="DM469" s="119"/>
      <c r="DN469" s="119"/>
      <c r="DO469" s="119"/>
      <c r="DP469" s="119"/>
      <c r="DQ469" s="119"/>
      <c r="DR469" s="119"/>
      <c r="DS469" s="119"/>
      <c r="DT469" s="119"/>
      <c r="DU469" s="119"/>
      <c r="DV469" s="119"/>
      <c r="DW469" s="119"/>
      <c r="DX469" s="119"/>
      <c r="DY469" s="119"/>
      <c r="DZ469" s="119"/>
      <c r="EA469" s="119"/>
      <c r="EB469" s="119"/>
      <c r="EC469" s="119"/>
      <c r="ED469" s="119"/>
      <c r="EE469" s="119"/>
      <c r="EF469" s="119"/>
      <c r="EG469" s="119"/>
      <c r="EH469" s="119"/>
      <c r="EI469" s="119"/>
      <c r="EJ469" s="119"/>
      <c r="EK469" s="119"/>
      <c r="EL469" s="119"/>
      <c r="EM469" s="119"/>
      <c r="EN469" s="119"/>
      <c r="EO469" s="119"/>
      <c r="EP469" s="119"/>
      <c r="EQ469" s="119"/>
      <c r="ER469" s="119"/>
      <c r="ES469" s="119"/>
      <c r="ET469" s="119"/>
      <c r="EU469" s="119"/>
      <c r="EV469" s="119"/>
      <c r="EW469" s="119"/>
      <c r="EX469" s="119"/>
      <c r="EY469" s="119"/>
      <c r="EZ469" s="119"/>
      <c r="FA469" s="119"/>
      <c r="FB469" s="119"/>
      <c r="FC469" s="119"/>
      <c r="FD469" s="119"/>
      <c r="FE469" s="119"/>
      <c r="FF469" s="119"/>
      <c r="FG469" s="119"/>
      <c r="FH469" s="119"/>
      <c r="FI469" s="119"/>
      <c r="FJ469" s="119"/>
      <c r="FK469" s="119"/>
      <c r="FL469" s="119"/>
      <c r="FM469" s="119"/>
      <c r="FN469" s="119"/>
      <c r="FO469" s="119"/>
      <c r="FP469" s="119"/>
      <c r="FQ469" s="119"/>
      <c r="FR469" s="119"/>
      <c r="FS469" s="119"/>
      <c r="FT469" s="119"/>
      <c r="FU469" s="119"/>
      <c r="FV469" s="119"/>
      <c r="FW469" s="119"/>
      <c r="FX469" s="119"/>
      <c r="FY469" s="119"/>
      <c r="FZ469" s="119"/>
      <c r="GA469" s="119"/>
      <c r="GB469" s="119"/>
      <c r="GC469" s="119"/>
      <c r="GD469" s="119"/>
      <c r="GE469" s="119"/>
      <c r="GF469" s="119"/>
      <c r="GG469" s="119"/>
      <c r="GH469" s="119"/>
      <c r="GI469" s="119"/>
      <c r="GJ469" s="119"/>
      <c r="GK469" s="119"/>
      <c r="GL469" s="119"/>
      <c r="GM469" s="119"/>
      <c r="GN469" s="119"/>
      <c r="GO469" s="119"/>
      <c r="GP469" s="119"/>
      <c r="GQ469" s="119"/>
      <c r="GR469" s="119"/>
      <c r="GS469" s="119"/>
      <c r="GT469" s="119"/>
      <c r="GU469" s="119"/>
      <c r="GV469" s="119"/>
      <c r="GW469" s="119"/>
      <c r="GX469" s="119"/>
      <c r="GY469" s="119"/>
      <c r="GZ469" s="119"/>
      <c r="HA469" s="119"/>
      <c r="HB469" s="119"/>
      <c r="HC469" s="119"/>
      <c r="HD469" s="119"/>
      <c r="HE469" s="119"/>
      <c r="HF469" s="119"/>
      <c r="HG469" s="119"/>
      <c r="HH469" s="119"/>
      <c r="HI469" s="119"/>
      <c r="HJ469" s="119"/>
      <c r="HK469" s="119"/>
      <c r="HL469" s="119"/>
      <c r="HM469" s="119"/>
      <c r="HN469" s="119"/>
      <c r="HO469" s="119"/>
      <c r="HP469" s="119"/>
      <c r="HQ469" s="119"/>
      <c r="HR469" s="119"/>
      <c r="HS469" s="119"/>
      <c r="HT469" s="119"/>
      <c r="HU469" s="119"/>
      <c r="HV469" s="119"/>
      <c r="HW469" s="119"/>
      <c r="HX469" s="119"/>
      <c r="HY469" s="119"/>
      <c r="HZ469" s="119"/>
      <c r="IA469" s="119"/>
      <c r="IB469" s="119"/>
      <c r="IC469" s="119"/>
      <c r="ID469" s="119"/>
      <c r="IE469" s="119"/>
      <c r="IF469" s="119"/>
      <c r="IG469" s="119"/>
      <c r="IH469" s="119"/>
      <c r="II469" s="119"/>
      <c r="IJ469" s="119"/>
      <c r="IK469" s="119"/>
      <c r="IL469" s="119"/>
      <c r="IM469" s="119"/>
      <c r="IN469" s="119"/>
      <c r="IO469" s="119"/>
      <c r="IP469" s="119"/>
      <c r="IQ469" s="119"/>
      <c r="IR469" s="119"/>
      <c r="IS469" s="119"/>
      <c r="IT469" s="119"/>
      <c r="IU469" s="119"/>
      <c r="IV469" s="119"/>
      <c r="IW469" s="119"/>
      <c r="IX469" s="119"/>
      <c r="IY469" s="119"/>
      <c r="IZ469" s="119"/>
      <c r="JA469" s="119"/>
      <c r="JB469" s="119"/>
      <c r="JC469" s="119"/>
      <c r="JD469" s="119"/>
      <c r="JE469" s="119"/>
      <c r="JF469" s="119"/>
      <c r="JG469" s="119"/>
      <c r="JH469" s="119"/>
      <c r="JI469" s="119"/>
      <c r="JJ469" s="119"/>
      <c r="JK469" s="119"/>
      <c r="JL469" s="119"/>
      <c r="JM469" s="119"/>
      <c r="JN469" s="119"/>
      <c r="JO469" s="119"/>
      <c r="JP469" s="119"/>
      <c r="JQ469" s="119"/>
      <c r="JR469" s="119"/>
      <c r="JS469" s="119"/>
      <c r="JT469" s="119"/>
      <c r="JU469" s="119"/>
      <c r="JV469" s="119"/>
      <c r="JW469" s="119"/>
      <c r="JX469" s="119"/>
      <c r="JY469" s="119"/>
      <c r="JZ469" s="119"/>
      <c r="KA469" s="119"/>
      <c r="KB469" s="119"/>
      <c r="KC469" s="119"/>
      <c r="KD469" s="119"/>
      <c r="KE469" s="119"/>
      <c r="KF469" s="119"/>
      <c r="KG469" s="119"/>
      <c r="KH469" s="119"/>
      <c r="KI469" s="119"/>
      <c r="KJ469" s="119"/>
      <c r="KK469" s="119"/>
      <c r="KL469" s="119"/>
      <c r="KM469" s="119"/>
      <c r="KN469" s="119"/>
      <c r="KO469" s="119"/>
      <c r="KP469" s="119"/>
      <c r="KQ469" s="119"/>
      <c r="KR469" s="119"/>
      <c r="KS469" s="119"/>
      <c r="KT469" s="119"/>
      <c r="KU469" s="119"/>
      <c r="KV469" s="119"/>
      <c r="KW469" s="119"/>
      <c r="KX469" s="119"/>
      <c r="KY469" s="119"/>
      <c r="KZ469" s="119"/>
      <c r="LA469" s="119"/>
      <c r="LB469" s="119"/>
      <c r="LC469" s="119"/>
      <c r="LD469" s="119"/>
      <c r="LE469" s="119"/>
      <c r="LF469" s="119"/>
      <c r="LG469" s="119"/>
      <c r="LH469" s="119"/>
      <c r="LI469" s="119"/>
      <c r="LJ469" s="119"/>
      <c r="LK469" s="119"/>
      <c r="LL469" s="119"/>
      <c r="LM469" s="119"/>
      <c r="LN469" s="119"/>
      <c r="LO469" s="119"/>
      <c r="LP469" s="119"/>
      <c r="LQ469" s="119"/>
      <c r="LR469" s="119"/>
      <c r="LS469" s="119"/>
      <c r="LT469" s="119"/>
      <c r="LU469" s="119"/>
      <c r="LV469" s="119"/>
      <c r="LW469" s="119"/>
      <c r="LX469" s="119"/>
      <c r="LY469" s="119"/>
      <c r="LZ469" s="119"/>
      <c r="MA469" s="119"/>
      <c r="MB469" s="119"/>
      <c r="MC469" s="119"/>
      <c r="MD469" s="119"/>
      <c r="ME469" s="119"/>
      <c r="MF469" s="119"/>
      <c r="MG469" s="119"/>
      <c r="MH469" s="119"/>
      <c r="MI469" s="119"/>
      <c r="MJ469" s="119"/>
      <c r="MK469" s="119"/>
      <c r="ML469" s="119"/>
      <c r="MM469" s="119"/>
      <c r="MN469" s="119"/>
      <c r="MO469" s="119"/>
      <c r="MP469" s="119"/>
      <c r="MQ469" s="119"/>
      <c r="MR469" s="119"/>
      <c r="MS469" s="119"/>
      <c r="MT469" s="119"/>
      <c r="MU469" s="119"/>
      <c r="MV469" s="119"/>
      <c r="MW469" s="119"/>
      <c r="MX469" s="119"/>
      <c r="MY469" s="119"/>
      <c r="MZ469" s="119"/>
    </row>
    <row r="470" spans="1:364" s="27" customFormat="1" x14ac:dyDescent="0.25">
      <c r="A470" s="123"/>
      <c r="B470" s="123"/>
      <c r="C470" s="126"/>
      <c r="D470" s="129"/>
      <c r="E470" s="109"/>
      <c r="F470" s="131"/>
      <c r="G470" s="132"/>
      <c r="H470" s="114" t="s">
        <v>149</v>
      </c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19"/>
      <c r="T470" s="119"/>
      <c r="U470" s="119"/>
      <c r="V470" s="119"/>
      <c r="W470" s="119"/>
      <c r="X470" s="119"/>
      <c r="Y470" s="119"/>
      <c r="Z470" s="119"/>
      <c r="AA470" s="119"/>
      <c r="AB470" s="119"/>
      <c r="AC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9"/>
      <c r="AT470" s="119"/>
      <c r="AU470" s="119"/>
      <c r="AV470" s="119"/>
      <c r="AW470" s="119"/>
      <c r="AX470" s="119"/>
      <c r="AY470" s="119"/>
      <c r="AZ470" s="119"/>
      <c r="BA470" s="119"/>
      <c r="BB470" s="119"/>
      <c r="BC470" s="119"/>
      <c r="BD470" s="119"/>
      <c r="BE470" s="119"/>
      <c r="BF470" s="119"/>
      <c r="BG470" s="119"/>
      <c r="BH470" s="119"/>
      <c r="BI470" s="119"/>
      <c r="BJ470" s="119"/>
      <c r="BK470" s="119"/>
      <c r="BL470" s="26"/>
      <c r="BM470" s="119"/>
      <c r="BN470" s="119"/>
      <c r="BO470" s="119"/>
      <c r="BP470" s="119"/>
      <c r="BQ470" s="119"/>
      <c r="BR470" s="119"/>
      <c r="BS470" s="119"/>
      <c r="BT470" s="119"/>
      <c r="BU470" s="119"/>
      <c r="BV470" s="119"/>
      <c r="BW470" s="119"/>
      <c r="BX470" s="119"/>
      <c r="BY470" s="119"/>
      <c r="BZ470" s="119"/>
      <c r="CA470" s="119"/>
      <c r="CB470" s="119"/>
      <c r="CC470" s="119"/>
      <c r="CD470" s="119"/>
      <c r="CE470" s="119"/>
      <c r="CF470" s="119"/>
      <c r="CG470" s="119"/>
      <c r="CH470" s="119"/>
      <c r="CI470" s="119"/>
      <c r="CJ470" s="119"/>
      <c r="CK470" s="119"/>
      <c r="CL470" s="119"/>
      <c r="CM470" s="119"/>
      <c r="CN470" s="119"/>
      <c r="CO470" s="119"/>
      <c r="CP470" s="119"/>
      <c r="CQ470" s="119"/>
      <c r="CR470" s="119"/>
      <c r="CS470" s="119"/>
      <c r="CT470" s="119"/>
      <c r="CU470" s="119"/>
      <c r="CV470" s="119"/>
      <c r="CW470" s="119"/>
      <c r="CX470" s="119"/>
      <c r="CY470" s="119"/>
      <c r="CZ470" s="119"/>
      <c r="DA470" s="119"/>
      <c r="DB470" s="119"/>
      <c r="DC470" s="119"/>
      <c r="DD470" s="119"/>
      <c r="DE470" s="119"/>
      <c r="DF470" s="119"/>
      <c r="DG470" s="119"/>
      <c r="DH470" s="119"/>
      <c r="DI470" s="119"/>
      <c r="DJ470" s="119"/>
      <c r="DK470" s="119"/>
      <c r="DL470" s="119"/>
      <c r="DM470" s="119"/>
      <c r="DN470" s="119"/>
      <c r="DO470" s="119"/>
      <c r="DP470" s="119"/>
      <c r="DQ470" s="119"/>
      <c r="DR470" s="119"/>
      <c r="DS470" s="119"/>
      <c r="DT470" s="119"/>
      <c r="DU470" s="119"/>
      <c r="DV470" s="119"/>
      <c r="DW470" s="119"/>
      <c r="DX470" s="119"/>
      <c r="DY470" s="119"/>
      <c r="DZ470" s="119"/>
      <c r="EA470" s="119"/>
      <c r="EB470" s="119"/>
      <c r="EC470" s="119"/>
      <c r="ED470" s="119"/>
      <c r="EE470" s="119"/>
      <c r="EF470" s="119"/>
      <c r="EG470" s="119"/>
      <c r="EH470" s="119"/>
      <c r="EI470" s="119"/>
      <c r="EJ470" s="119"/>
      <c r="EK470" s="119"/>
      <c r="EL470" s="119"/>
      <c r="EM470" s="119"/>
      <c r="EN470" s="119"/>
      <c r="EO470" s="119"/>
      <c r="EP470" s="119"/>
      <c r="EQ470" s="119"/>
      <c r="ER470" s="119"/>
      <c r="ES470" s="119"/>
      <c r="ET470" s="119"/>
      <c r="EU470" s="119"/>
      <c r="EV470" s="119"/>
      <c r="EW470" s="119"/>
      <c r="EX470" s="119"/>
      <c r="EY470" s="119"/>
      <c r="EZ470" s="119"/>
      <c r="FA470" s="119"/>
      <c r="FB470" s="119"/>
      <c r="FC470" s="119"/>
      <c r="FD470" s="119"/>
      <c r="FE470" s="119"/>
      <c r="FF470" s="119"/>
      <c r="FG470" s="119"/>
      <c r="FH470" s="119"/>
      <c r="FI470" s="119"/>
      <c r="FJ470" s="119"/>
      <c r="FK470" s="119"/>
      <c r="FL470" s="119"/>
      <c r="FM470" s="119"/>
      <c r="FN470" s="119"/>
      <c r="FO470" s="119"/>
      <c r="FP470" s="119"/>
      <c r="FQ470" s="119"/>
      <c r="FR470" s="119"/>
      <c r="FS470" s="119"/>
      <c r="FT470" s="119"/>
      <c r="FU470" s="119"/>
      <c r="FV470" s="119"/>
      <c r="FW470" s="119"/>
      <c r="FX470" s="119"/>
      <c r="FY470" s="119"/>
      <c r="FZ470" s="119"/>
      <c r="GA470" s="119"/>
      <c r="GB470" s="119"/>
      <c r="GC470" s="119"/>
      <c r="GD470" s="119"/>
      <c r="GE470" s="119"/>
      <c r="GF470" s="119"/>
      <c r="GG470" s="119"/>
      <c r="GH470" s="119"/>
      <c r="GI470" s="119"/>
      <c r="GJ470" s="119"/>
      <c r="GK470" s="119"/>
      <c r="GL470" s="119"/>
      <c r="GM470" s="119"/>
      <c r="GN470" s="119"/>
      <c r="GO470" s="119"/>
      <c r="GP470" s="119"/>
      <c r="GQ470" s="119"/>
      <c r="GR470" s="119"/>
      <c r="GS470" s="119"/>
      <c r="GT470" s="119"/>
      <c r="GU470" s="119"/>
      <c r="GV470" s="119"/>
      <c r="GW470" s="119"/>
      <c r="GX470" s="119"/>
      <c r="GY470" s="119"/>
      <c r="GZ470" s="119"/>
      <c r="HA470" s="119"/>
      <c r="HB470" s="119"/>
      <c r="HC470" s="119"/>
      <c r="HD470" s="119"/>
      <c r="HE470" s="119"/>
      <c r="HF470" s="119"/>
      <c r="HG470" s="119"/>
      <c r="HH470" s="119"/>
      <c r="HI470" s="119"/>
      <c r="HJ470" s="119"/>
      <c r="HK470" s="119"/>
      <c r="HL470" s="119"/>
      <c r="HM470" s="119"/>
      <c r="HN470" s="119"/>
      <c r="HO470" s="119"/>
      <c r="HP470" s="119"/>
      <c r="HQ470" s="119"/>
      <c r="HR470" s="119"/>
      <c r="HS470" s="119"/>
      <c r="HT470" s="119"/>
      <c r="HU470" s="119"/>
      <c r="HV470" s="119"/>
      <c r="HW470" s="119"/>
      <c r="HX470" s="119"/>
      <c r="HY470" s="119"/>
      <c r="HZ470" s="119"/>
      <c r="IA470" s="119"/>
      <c r="IB470" s="119"/>
      <c r="IC470" s="119"/>
      <c r="ID470" s="119"/>
      <c r="IE470" s="119"/>
      <c r="IF470" s="119"/>
      <c r="IG470" s="119"/>
      <c r="IH470" s="119"/>
      <c r="II470" s="119"/>
      <c r="IJ470" s="119"/>
      <c r="IK470" s="119"/>
      <c r="IL470" s="119"/>
      <c r="IM470" s="119"/>
      <c r="IN470" s="119"/>
      <c r="IO470" s="119"/>
      <c r="IP470" s="119"/>
      <c r="IQ470" s="119"/>
      <c r="IR470" s="119"/>
      <c r="IS470" s="119"/>
      <c r="IT470" s="119"/>
      <c r="IU470" s="119"/>
      <c r="IV470" s="119"/>
      <c r="IW470" s="119"/>
      <c r="IX470" s="119"/>
      <c r="IY470" s="119"/>
      <c r="IZ470" s="119"/>
      <c r="JA470" s="119"/>
      <c r="JB470" s="119"/>
      <c r="JC470" s="119"/>
      <c r="JD470" s="119"/>
      <c r="JE470" s="119"/>
      <c r="JF470" s="119"/>
      <c r="JG470" s="119"/>
      <c r="JH470" s="119"/>
      <c r="JI470" s="119"/>
      <c r="JJ470" s="119"/>
      <c r="JK470" s="119"/>
      <c r="JL470" s="119"/>
      <c r="JM470" s="119"/>
      <c r="JN470" s="119"/>
      <c r="JO470" s="119"/>
      <c r="JP470" s="119"/>
      <c r="JQ470" s="119"/>
      <c r="JR470" s="119"/>
      <c r="JS470" s="119"/>
      <c r="JT470" s="119"/>
      <c r="JU470" s="119"/>
      <c r="JV470" s="119"/>
      <c r="JW470" s="119"/>
      <c r="JX470" s="119"/>
      <c r="JY470" s="119"/>
      <c r="JZ470" s="119"/>
      <c r="KA470" s="119"/>
      <c r="KB470" s="119"/>
      <c r="KC470" s="119"/>
      <c r="KD470" s="119"/>
      <c r="KE470" s="119"/>
      <c r="KF470" s="119"/>
      <c r="KG470" s="119"/>
      <c r="KH470" s="119"/>
      <c r="KI470" s="119"/>
      <c r="KJ470" s="119"/>
      <c r="KK470" s="119"/>
      <c r="KL470" s="119"/>
      <c r="KM470" s="119"/>
      <c r="KN470" s="119"/>
      <c r="KO470" s="119"/>
      <c r="KP470" s="119"/>
      <c r="KQ470" s="119"/>
      <c r="KR470" s="119"/>
      <c r="KS470" s="119"/>
      <c r="KT470" s="119"/>
      <c r="KU470" s="119"/>
      <c r="KV470" s="119"/>
      <c r="KW470" s="119"/>
      <c r="KX470" s="119"/>
      <c r="KY470" s="119"/>
      <c r="KZ470" s="119"/>
      <c r="LA470" s="119"/>
      <c r="LB470" s="119"/>
      <c r="LC470" s="119"/>
      <c r="LD470" s="119"/>
      <c r="LE470" s="119"/>
      <c r="LF470" s="119"/>
      <c r="LG470" s="119"/>
      <c r="LH470" s="119"/>
      <c r="LI470" s="119"/>
      <c r="LJ470" s="119"/>
      <c r="LK470" s="119"/>
      <c r="LL470" s="119"/>
      <c r="LM470" s="119"/>
      <c r="LN470" s="119"/>
      <c r="LO470" s="119"/>
      <c r="LP470" s="119"/>
      <c r="LQ470" s="119"/>
      <c r="LR470" s="119"/>
      <c r="LS470" s="119"/>
      <c r="LT470" s="119"/>
      <c r="LU470" s="119"/>
      <c r="LV470" s="119"/>
      <c r="LW470" s="119"/>
      <c r="LX470" s="119"/>
      <c r="LY470" s="119"/>
      <c r="LZ470" s="119"/>
      <c r="MA470" s="119"/>
      <c r="MB470" s="119"/>
      <c r="MC470" s="119"/>
      <c r="MD470" s="119"/>
      <c r="ME470" s="119"/>
      <c r="MF470" s="119"/>
      <c r="MG470" s="119"/>
      <c r="MH470" s="119"/>
      <c r="MI470" s="119"/>
      <c r="MJ470" s="119"/>
      <c r="MK470" s="119"/>
      <c r="ML470" s="119"/>
      <c r="MM470" s="119"/>
      <c r="MN470" s="119"/>
      <c r="MO470" s="119"/>
      <c r="MP470" s="119"/>
      <c r="MQ470" s="119"/>
      <c r="MR470" s="119"/>
      <c r="MS470" s="119"/>
      <c r="MT470" s="119"/>
      <c r="MU470" s="119"/>
      <c r="MV470" s="119"/>
      <c r="MW470" s="119"/>
      <c r="MX470" s="119"/>
      <c r="MY470" s="119"/>
      <c r="MZ470" s="119"/>
    </row>
    <row r="471" spans="1:364" s="27" customFormat="1" x14ac:dyDescent="0.25">
      <c r="A471" s="121"/>
      <c r="B471" s="124" t="e">
        <f>VLOOKUP(A471,Rules!$B$8:$C$154,2,0)</f>
        <v>#N/A</v>
      </c>
      <c r="C471" s="125">
        <f t="shared" ref="C471" si="17">SUM(I472:XX472)</f>
        <v>0</v>
      </c>
      <c r="D471" s="127"/>
      <c r="E471" s="110" t="s">
        <v>492</v>
      </c>
      <c r="F471" s="130" t="e">
        <f>VLOOKUP(A471,Table2[],10,0)</f>
        <v>#N/A</v>
      </c>
      <c r="G471" s="130"/>
      <c r="H471" s="113" t="s">
        <v>440</v>
      </c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9"/>
      <c r="T471" s="119"/>
      <c r="U471" s="119"/>
      <c r="V471" s="119"/>
      <c r="W471" s="119"/>
      <c r="X471" s="119"/>
      <c r="Y471" s="119"/>
      <c r="Z471" s="119"/>
      <c r="AA471" s="119"/>
      <c r="AB471" s="119"/>
      <c r="AC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9"/>
      <c r="AT471" s="119"/>
      <c r="AU471" s="119"/>
      <c r="AV471" s="119"/>
      <c r="AW471" s="119"/>
      <c r="AX471" s="119"/>
      <c r="AY471" s="119"/>
      <c r="AZ471" s="119"/>
      <c r="BA471" s="119"/>
      <c r="BB471" s="119"/>
      <c r="BC471" s="119"/>
      <c r="BD471" s="119"/>
      <c r="BE471" s="119"/>
      <c r="BF471" s="119"/>
      <c r="BG471" s="119"/>
      <c r="BH471" s="119"/>
      <c r="BI471" s="119"/>
      <c r="BJ471" s="119"/>
      <c r="BK471" s="119"/>
      <c r="BL471" s="26"/>
      <c r="BM471" s="119"/>
      <c r="BN471" s="26"/>
      <c r="BO471" s="119"/>
      <c r="BP471" s="119"/>
      <c r="BQ471" s="119"/>
      <c r="BR471" s="119"/>
      <c r="BS471" s="119"/>
      <c r="BT471" s="119"/>
      <c r="BU471" s="119"/>
      <c r="BV471" s="119"/>
      <c r="BW471" s="119"/>
      <c r="BX471" s="119"/>
      <c r="BY471" s="119"/>
      <c r="BZ471" s="119"/>
      <c r="CA471" s="119"/>
      <c r="CB471" s="119"/>
      <c r="CC471" s="119"/>
      <c r="CD471" s="119"/>
      <c r="CE471" s="119"/>
      <c r="CF471" s="119"/>
      <c r="CG471" s="119"/>
      <c r="CH471" s="119"/>
      <c r="CI471" s="119"/>
      <c r="CJ471" s="119"/>
      <c r="CK471" s="119"/>
      <c r="CL471" s="119"/>
      <c r="CM471" s="119"/>
      <c r="CN471" s="119"/>
      <c r="CO471" s="119"/>
      <c r="CP471" s="119"/>
      <c r="CQ471" s="119"/>
      <c r="CR471" s="119"/>
      <c r="CS471" s="119"/>
      <c r="CT471" s="119"/>
      <c r="CU471" s="119"/>
      <c r="CV471" s="119"/>
      <c r="CW471" s="119"/>
      <c r="CX471" s="119"/>
      <c r="CY471" s="119"/>
      <c r="CZ471" s="119"/>
      <c r="DA471" s="119"/>
      <c r="DB471" s="119"/>
      <c r="DC471" s="119"/>
      <c r="DD471" s="119"/>
      <c r="DE471" s="119"/>
      <c r="DF471" s="119"/>
      <c r="DG471" s="119"/>
      <c r="DH471" s="119"/>
      <c r="DI471" s="119"/>
      <c r="DJ471" s="119"/>
      <c r="DK471" s="119"/>
      <c r="DL471" s="119"/>
      <c r="DM471" s="119"/>
      <c r="DN471" s="119"/>
      <c r="DO471" s="119"/>
      <c r="DP471" s="119"/>
      <c r="DQ471" s="119"/>
      <c r="DR471" s="119"/>
      <c r="DS471" s="119"/>
      <c r="DT471" s="119"/>
      <c r="DU471" s="119"/>
      <c r="DV471" s="119"/>
      <c r="DW471" s="119"/>
      <c r="DX471" s="119"/>
      <c r="DY471" s="119"/>
      <c r="DZ471" s="119"/>
      <c r="EA471" s="119"/>
      <c r="EB471" s="119"/>
      <c r="EC471" s="119"/>
      <c r="ED471" s="119"/>
      <c r="EE471" s="119"/>
      <c r="EF471" s="119"/>
      <c r="EG471" s="119"/>
      <c r="EH471" s="119"/>
      <c r="EI471" s="119"/>
      <c r="EJ471" s="119"/>
      <c r="EK471" s="119"/>
      <c r="EL471" s="119"/>
      <c r="EM471" s="119"/>
      <c r="EN471" s="119"/>
      <c r="EO471" s="119"/>
      <c r="EP471" s="119"/>
      <c r="EQ471" s="119"/>
      <c r="ER471" s="119"/>
      <c r="ES471" s="119"/>
      <c r="ET471" s="119"/>
      <c r="EU471" s="119"/>
      <c r="EV471" s="119"/>
      <c r="EW471" s="119"/>
      <c r="EX471" s="119"/>
      <c r="EY471" s="119"/>
      <c r="EZ471" s="119"/>
      <c r="FA471" s="119"/>
      <c r="FB471" s="119"/>
      <c r="FC471" s="119"/>
      <c r="FD471" s="119"/>
      <c r="FE471" s="119"/>
      <c r="FF471" s="119"/>
      <c r="FG471" s="119"/>
      <c r="FH471" s="119"/>
      <c r="FI471" s="119"/>
      <c r="FJ471" s="119"/>
      <c r="FK471" s="119"/>
      <c r="FL471" s="119"/>
      <c r="FM471" s="119"/>
      <c r="FN471" s="119"/>
      <c r="FO471" s="119"/>
      <c r="FP471" s="119"/>
      <c r="FQ471" s="119"/>
      <c r="FR471" s="119"/>
      <c r="FS471" s="119"/>
      <c r="FT471" s="119"/>
      <c r="FU471" s="119"/>
      <c r="FV471" s="119"/>
      <c r="FW471" s="119"/>
      <c r="FX471" s="119"/>
      <c r="FY471" s="119"/>
      <c r="FZ471" s="119"/>
      <c r="GA471" s="119"/>
      <c r="GB471" s="119"/>
      <c r="GC471" s="119"/>
      <c r="GD471" s="119"/>
      <c r="GE471" s="119"/>
      <c r="GF471" s="119"/>
      <c r="GG471" s="119"/>
      <c r="GH471" s="119"/>
      <c r="GI471" s="119"/>
      <c r="GJ471" s="119"/>
      <c r="GK471" s="119"/>
      <c r="GL471" s="119"/>
      <c r="GM471" s="119"/>
      <c r="GN471" s="119"/>
      <c r="GO471" s="119"/>
      <c r="GP471" s="119"/>
      <c r="GQ471" s="119"/>
      <c r="GR471" s="119"/>
      <c r="GS471" s="119"/>
      <c r="GT471" s="119"/>
      <c r="GU471" s="119"/>
      <c r="GV471" s="119"/>
      <c r="GW471" s="119"/>
      <c r="GX471" s="119"/>
      <c r="GY471" s="119"/>
      <c r="GZ471" s="119"/>
      <c r="HA471" s="119"/>
      <c r="HB471" s="119"/>
      <c r="HC471" s="119"/>
      <c r="HD471" s="119"/>
      <c r="HE471" s="119"/>
      <c r="HF471" s="119"/>
      <c r="HG471" s="119"/>
      <c r="HH471" s="119"/>
      <c r="HI471" s="119"/>
      <c r="HJ471" s="119"/>
      <c r="HK471" s="119"/>
      <c r="HL471" s="119"/>
      <c r="HM471" s="119"/>
      <c r="HN471" s="119"/>
      <c r="HO471" s="119"/>
      <c r="HP471" s="119"/>
      <c r="HQ471" s="119"/>
      <c r="HR471" s="119"/>
      <c r="HS471" s="119"/>
      <c r="HT471" s="119"/>
      <c r="HU471" s="119"/>
      <c r="HV471" s="119"/>
      <c r="HW471" s="119"/>
      <c r="HX471" s="119"/>
      <c r="HY471" s="119"/>
      <c r="HZ471" s="119"/>
      <c r="IA471" s="119"/>
      <c r="IB471" s="119"/>
      <c r="IC471" s="119"/>
      <c r="ID471" s="119"/>
      <c r="IE471" s="119"/>
      <c r="IF471" s="119"/>
      <c r="IG471" s="119"/>
      <c r="IH471" s="119"/>
      <c r="II471" s="119"/>
      <c r="IJ471" s="119"/>
      <c r="IK471" s="119"/>
      <c r="IL471" s="119"/>
      <c r="IM471" s="119"/>
      <c r="IN471" s="119"/>
      <c r="IO471" s="119"/>
      <c r="IP471" s="119"/>
      <c r="IQ471" s="119"/>
      <c r="IR471" s="119"/>
      <c r="IS471" s="119"/>
      <c r="IT471" s="119"/>
      <c r="IU471" s="119"/>
      <c r="IV471" s="119"/>
      <c r="IW471" s="119"/>
      <c r="IX471" s="119"/>
      <c r="IY471" s="119"/>
      <c r="IZ471" s="119"/>
      <c r="JA471" s="119"/>
      <c r="JB471" s="119"/>
      <c r="JC471" s="119"/>
      <c r="JD471" s="119"/>
      <c r="JE471" s="119"/>
      <c r="JF471" s="119"/>
      <c r="JG471" s="119"/>
      <c r="JH471" s="119"/>
      <c r="JI471" s="119"/>
      <c r="JJ471" s="119"/>
      <c r="JK471" s="119"/>
      <c r="JL471" s="119"/>
      <c r="JM471" s="119"/>
      <c r="JN471" s="119"/>
      <c r="JO471" s="119"/>
      <c r="JP471" s="119"/>
      <c r="JQ471" s="119"/>
      <c r="JR471" s="119"/>
      <c r="JS471" s="119"/>
      <c r="JT471" s="119"/>
      <c r="JU471" s="119"/>
      <c r="JV471" s="119"/>
      <c r="JW471" s="119"/>
      <c r="JX471" s="119"/>
      <c r="JY471" s="119"/>
      <c r="JZ471" s="119"/>
      <c r="KA471" s="119"/>
      <c r="KB471" s="119"/>
      <c r="KC471" s="119"/>
      <c r="KD471" s="119"/>
      <c r="KE471" s="119"/>
      <c r="KF471" s="119"/>
      <c r="KG471" s="119"/>
      <c r="KH471" s="119"/>
      <c r="KI471" s="119"/>
      <c r="KJ471" s="119"/>
      <c r="KK471" s="119"/>
      <c r="KL471" s="119"/>
      <c r="KM471" s="119"/>
      <c r="KN471" s="119"/>
      <c r="KO471" s="119"/>
      <c r="KP471" s="119"/>
      <c r="KQ471" s="119"/>
      <c r="KR471" s="119"/>
      <c r="KS471" s="119"/>
      <c r="KT471" s="119"/>
      <c r="KU471" s="119"/>
      <c r="KV471" s="119"/>
      <c r="KW471" s="119"/>
      <c r="KX471" s="119"/>
      <c r="KY471" s="119"/>
      <c r="KZ471" s="119"/>
      <c r="LA471" s="119"/>
      <c r="LB471" s="119"/>
      <c r="LC471" s="119"/>
      <c r="LD471" s="119"/>
      <c r="LE471" s="119"/>
      <c r="LF471" s="119"/>
      <c r="LG471" s="119"/>
      <c r="LH471" s="119"/>
      <c r="LI471" s="119"/>
      <c r="LJ471" s="119"/>
      <c r="LK471" s="119"/>
      <c r="LL471" s="119"/>
      <c r="LM471" s="119"/>
      <c r="LN471" s="119"/>
      <c r="LO471" s="119"/>
      <c r="LP471" s="119"/>
      <c r="LQ471" s="119"/>
      <c r="LR471" s="119"/>
      <c r="LS471" s="119"/>
      <c r="LT471" s="119"/>
      <c r="LU471" s="119"/>
      <c r="LV471" s="119"/>
      <c r="LW471" s="119"/>
      <c r="LX471" s="119"/>
      <c r="LY471" s="119"/>
      <c r="LZ471" s="119"/>
      <c r="MA471" s="119"/>
      <c r="MB471" s="119"/>
      <c r="MC471" s="119"/>
      <c r="MD471" s="119"/>
      <c r="ME471" s="119"/>
      <c r="MF471" s="119"/>
      <c r="MG471" s="119"/>
      <c r="MH471" s="119"/>
      <c r="MI471" s="119"/>
      <c r="MJ471" s="119"/>
      <c r="MK471" s="119"/>
      <c r="ML471" s="119"/>
      <c r="MM471" s="119"/>
      <c r="MN471" s="119"/>
      <c r="MO471" s="119"/>
      <c r="MP471" s="119"/>
      <c r="MQ471" s="119"/>
      <c r="MR471" s="119"/>
      <c r="MS471" s="119"/>
      <c r="MT471" s="119"/>
      <c r="MU471" s="119"/>
      <c r="MV471" s="119"/>
      <c r="MW471" s="119"/>
      <c r="MX471" s="119"/>
      <c r="MY471" s="119"/>
      <c r="MZ471" s="119"/>
    </row>
    <row r="472" spans="1:364" s="27" customFormat="1" x14ac:dyDescent="0.25">
      <c r="A472" s="122"/>
      <c r="B472" s="122"/>
      <c r="C472" s="126"/>
      <c r="D472" s="128"/>
      <c r="E472" s="109"/>
      <c r="F472" s="131"/>
      <c r="G472" s="131"/>
      <c r="H472" s="105" t="s">
        <v>439</v>
      </c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9"/>
      <c r="T472" s="119"/>
      <c r="U472" s="119"/>
      <c r="V472" s="119"/>
      <c r="W472" s="119"/>
      <c r="X472" s="119"/>
      <c r="Y472" s="119"/>
      <c r="Z472" s="119"/>
      <c r="AA472" s="119"/>
      <c r="AB472" s="119"/>
      <c r="AC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9"/>
      <c r="AT472" s="119"/>
      <c r="AU472" s="119"/>
      <c r="AV472" s="119"/>
      <c r="AW472" s="119"/>
      <c r="AX472" s="119"/>
      <c r="AY472" s="119"/>
      <c r="AZ472" s="119"/>
      <c r="BA472" s="119"/>
      <c r="BB472" s="119"/>
      <c r="BC472" s="119"/>
      <c r="BD472" s="119"/>
      <c r="BE472" s="119"/>
      <c r="BF472" s="119"/>
      <c r="BG472" s="119"/>
      <c r="BH472" s="119"/>
      <c r="BI472" s="119"/>
      <c r="BJ472" s="119"/>
      <c r="BK472" s="119"/>
      <c r="BL472" s="26"/>
      <c r="BM472" s="119"/>
      <c r="BN472" s="26"/>
      <c r="BO472" s="119"/>
      <c r="BP472" s="119"/>
      <c r="BQ472" s="119"/>
      <c r="BR472" s="119"/>
      <c r="BS472" s="119"/>
      <c r="BT472" s="119"/>
      <c r="BU472" s="119"/>
      <c r="BV472" s="119"/>
      <c r="BW472" s="119"/>
      <c r="BX472" s="119"/>
      <c r="BY472" s="119"/>
      <c r="BZ472" s="119"/>
      <c r="CA472" s="119"/>
      <c r="CB472" s="119"/>
      <c r="CC472" s="119"/>
      <c r="CD472" s="119"/>
      <c r="CE472" s="119"/>
      <c r="CF472" s="119"/>
      <c r="CG472" s="119"/>
      <c r="CH472" s="119"/>
      <c r="CI472" s="119"/>
      <c r="CJ472" s="119"/>
      <c r="CK472" s="119"/>
      <c r="CL472" s="119"/>
      <c r="CM472" s="119"/>
      <c r="CN472" s="119"/>
      <c r="CO472" s="119"/>
      <c r="CP472" s="119"/>
      <c r="CQ472" s="119"/>
      <c r="CR472" s="119"/>
      <c r="CS472" s="119"/>
      <c r="CT472" s="119"/>
      <c r="CU472" s="119"/>
      <c r="CV472" s="119"/>
      <c r="CW472" s="119"/>
      <c r="CX472" s="119"/>
      <c r="CY472" s="119"/>
      <c r="CZ472" s="119"/>
      <c r="DA472" s="119"/>
      <c r="DB472" s="119"/>
      <c r="DC472" s="119"/>
      <c r="DD472" s="119"/>
      <c r="DE472" s="119"/>
      <c r="DF472" s="119"/>
      <c r="DG472" s="119"/>
      <c r="DH472" s="119"/>
      <c r="DI472" s="119"/>
      <c r="DJ472" s="119"/>
      <c r="DK472" s="119"/>
      <c r="DL472" s="119"/>
      <c r="DM472" s="119"/>
      <c r="DN472" s="119"/>
      <c r="DO472" s="119"/>
      <c r="DP472" s="119"/>
      <c r="DQ472" s="119"/>
      <c r="DR472" s="119"/>
      <c r="DS472" s="119"/>
      <c r="DT472" s="119"/>
      <c r="DU472" s="119"/>
      <c r="DV472" s="119"/>
      <c r="DW472" s="119"/>
      <c r="DX472" s="119"/>
      <c r="DY472" s="119"/>
      <c r="DZ472" s="119"/>
      <c r="EA472" s="119"/>
      <c r="EB472" s="119"/>
      <c r="EC472" s="119"/>
      <c r="ED472" s="119"/>
      <c r="EE472" s="119"/>
      <c r="EF472" s="119"/>
      <c r="EG472" s="119"/>
      <c r="EH472" s="119"/>
      <c r="EI472" s="119"/>
      <c r="EJ472" s="119"/>
      <c r="EK472" s="119"/>
      <c r="EL472" s="119"/>
      <c r="EM472" s="119"/>
      <c r="EN472" s="119"/>
      <c r="EO472" s="119"/>
      <c r="EP472" s="119"/>
      <c r="EQ472" s="119"/>
      <c r="ER472" s="119"/>
      <c r="ES472" s="119"/>
      <c r="ET472" s="119"/>
      <c r="EU472" s="119"/>
      <c r="EV472" s="119"/>
      <c r="EW472" s="119"/>
      <c r="EX472" s="119"/>
      <c r="EY472" s="119"/>
      <c r="EZ472" s="119"/>
      <c r="FA472" s="119"/>
      <c r="FB472" s="119"/>
      <c r="FC472" s="119"/>
      <c r="FD472" s="119"/>
      <c r="FE472" s="119"/>
      <c r="FF472" s="119"/>
      <c r="FG472" s="119"/>
      <c r="FH472" s="119"/>
      <c r="FI472" s="119"/>
      <c r="FJ472" s="119"/>
      <c r="FK472" s="119"/>
      <c r="FL472" s="119"/>
      <c r="FM472" s="119"/>
      <c r="FN472" s="119"/>
      <c r="FO472" s="119"/>
      <c r="FP472" s="119"/>
      <c r="FQ472" s="119"/>
      <c r="FR472" s="119"/>
      <c r="FS472" s="119"/>
      <c r="FT472" s="119"/>
      <c r="FU472" s="119"/>
      <c r="FV472" s="119"/>
      <c r="FW472" s="119"/>
      <c r="FX472" s="119"/>
      <c r="FY472" s="119"/>
      <c r="FZ472" s="119"/>
      <c r="GA472" s="119"/>
      <c r="GB472" s="119"/>
      <c r="GC472" s="119"/>
      <c r="GD472" s="119"/>
      <c r="GE472" s="119"/>
      <c r="GF472" s="119"/>
      <c r="GG472" s="119"/>
      <c r="GH472" s="119"/>
      <c r="GI472" s="119"/>
      <c r="GJ472" s="119"/>
      <c r="GK472" s="119"/>
      <c r="GL472" s="119"/>
      <c r="GM472" s="119"/>
      <c r="GN472" s="119"/>
      <c r="GO472" s="119"/>
      <c r="GP472" s="119"/>
      <c r="GQ472" s="119"/>
      <c r="GR472" s="119"/>
      <c r="GS472" s="119"/>
      <c r="GT472" s="119"/>
      <c r="GU472" s="119"/>
      <c r="GV472" s="119"/>
      <c r="GW472" s="119"/>
      <c r="GX472" s="119"/>
      <c r="GY472" s="119"/>
      <c r="GZ472" s="119"/>
      <c r="HA472" s="119"/>
      <c r="HB472" s="119"/>
      <c r="HC472" s="119"/>
      <c r="HD472" s="119"/>
      <c r="HE472" s="119"/>
      <c r="HF472" s="119"/>
      <c r="HG472" s="119"/>
      <c r="HH472" s="119"/>
      <c r="HI472" s="119"/>
      <c r="HJ472" s="119"/>
      <c r="HK472" s="119"/>
      <c r="HL472" s="119"/>
      <c r="HM472" s="119"/>
      <c r="HN472" s="119"/>
      <c r="HO472" s="119"/>
      <c r="HP472" s="119"/>
      <c r="HQ472" s="119"/>
      <c r="HR472" s="119"/>
      <c r="HS472" s="119"/>
      <c r="HT472" s="119"/>
      <c r="HU472" s="119"/>
      <c r="HV472" s="119"/>
      <c r="HW472" s="119"/>
      <c r="HX472" s="119"/>
      <c r="HY472" s="119"/>
      <c r="HZ472" s="119"/>
      <c r="IA472" s="119"/>
      <c r="IB472" s="119"/>
      <c r="IC472" s="119"/>
      <c r="ID472" s="119"/>
      <c r="IE472" s="119"/>
      <c r="IF472" s="119"/>
      <c r="IG472" s="119"/>
      <c r="IH472" s="119"/>
      <c r="II472" s="119"/>
      <c r="IJ472" s="119"/>
      <c r="IK472" s="119"/>
      <c r="IL472" s="119"/>
      <c r="IM472" s="119"/>
      <c r="IN472" s="119"/>
      <c r="IO472" s="119"/>
      <c r="IP472" s="119"/>
      <c r="IQ472" s="119"/>
      <c r="IR472" s="119"/>
      <c r="IS472" s="119"/>
      <c r="IT472" s="119"/>
      <c r="IU472" s="119"/>
      <c r="IV472" s="119"/>
      <c r="IW472" s="119"/>
      <c r="IX472" s="119"/>
      <c r="IY472" s="119"/>
      <c r="IZ472" s="119"/>
      <c r="JA472" s="119"/>
      <c r="JB472" s="119"/>
      <c r="JC472" s="119"/>
      <c r="JD472" s="119"/>
      <c r="JE472" s="119"/>
      <c r="JF472" s="119"/>
      <c r="JG472" s="119"/>
      <c r="JH472" s="119"/>
      <c r="JI472" s="119"/>
      <c r="JJ472" s="119"/>
      <c r="JK472" s="119"/>
      <c r="JL472" s="119"/>
      <c r="JM472" s="119"/>
      <c r="JN472" s="119"/>
      <c r="JO472" s="119"/>
      <c r="JP472" s="119"/>
      <c r="JQ472" s="119"/>
      <c r="JR472" s="119"/>
      <c r="JS472" s="119"/>
      <c r="JT472" s="119"/>
      <c r="JU472" s="119"/>
      <c r="JV472" s="119"/>
      <c r="JW472" s="119"/>
      <c r="JX472" s="119"/>
      <c r="JY472" s="119"/>
      <c r="JZ472" s="119"/>
      <c r="KA472" s="119"/>
      <c r="KB472" s="119"/>
      <c r="KC472" s="119"/>
      <c r="KD472" s="119"/>
      <c r="KE472" s="119"/>
      <c r="KF472" s="119"/>
      <c r="KG472" s="119"/>
      <c r="KH472" s="119"/>
      <c r="KI472" s="119"/>
      <c r="KJ472" s="119"/>
      <c r="KK472" s="119"/>
      <c r="KL472" s="119"/>
      <c r="KM472" s="119"/>
      <c r="KN472" s="119"/>
      <c r="KO472" s="119"/>
      <c r="KP472" s="119"/>
      <c r="KQ472" s="119"/>
      <c r="KR472" s="119"/>
      <c r="KS472" s="119"/>
      <c r="KT472" s="119"/>
      <c r="KU472" s="119"/>
      <c r="KV472" s="119"/>
      <c r="KW472" s="119"/>
      <c r="KX472" s="119"/>
      <c r="KY472" s="119"/>
      <c r="KZ472" s="119"/>
      <c r="LA472" s="119"/>
      <c r="LB472" s="119"/>
      <c r="LC472" s="119"/>
      <c r="LD472" s="119"/>
      <c r="LE472" s="119"/>
      <c r="LF472" s="119"/>
      <c r="LG472" s="119"/>
      <c r="LH472" s="119"/>
      <c r="LI472" s="119"/>
      <c r="LJ472" s="119"/>
      <c r="LK472" s="119"/>
      <c r="LL472" s="119"/>
      <c r="LM472" s="119"/>
      <c r="LN472" s="119"/>
      <c r="LO472" s="119"/>
      <c r="LP472" s="119"/>
      <c r="LQ472" s="119"/>
      <c r="LR472" s="119"/>
      <c r="LS472" s="119"/>
      <c r="LT472" s="119"/>
      <c r="LU472" s="119"/>
      <c r="LV472" s="119"/>
      <c r="LW472" s="119"/>
      <c r="LX472" s="119"/>
      <c r="LY472" s="119"/>
      <c r="LZ472" s="119"/>
      <c r="MA472" s="119"/>
      <c r="MB472" s="119"/>
      <c r="MC472" s="119"/>
      <c r="MD472" s="119"/>
      <c r="ME472" s="119"/>
      <c r="MF472" s="119"/>
      <c r="MG472" s="119"/>
      <c r="MH472" s="119"/>
      <c r="MI472" s="119"/>
      <c r="MJ472" s="119"/>
      <c r="MK472" s="119"/>
      <c r="ML472" s="119"/>
      <c r="MM472" s="119"/>
      <c r="MN472" s="119"/>
      <c r="MO472" s="119"/>
      <c r="MP472" s="119"/>
      <c r="MQ472" s="119"/>
      <c r="MR472" s="119"/>
      <c r="MS472" s="119"/>
      <c r="MT472" s="119"/>
      <c r="MU472" s="119"/>
      <c r="MV472" s="119"/>
      <c r="MW472" s="119"/>
      <c r="MX472" s="119"/>
      <c r="MY472" s="119"/>
      <c r="MZ472" s="119"/>
    </row>
    <row r="473" spans="1:364" s="27" customFormat="1" x14ac:dyDescent="0.25">
      <c r="A473" s="122"/>
      <c r="B473" s="122"/>
      <c r="C473" s="126"/>
      <c r="D473" s="128"/>
      <c r="E473" s="109" t="s">
        <v>493</v>
      </c>
      <c r="F473" s="131"/>
      <c r="G473" s="131"/>
      <c r="H473" s="106" t="s">
        <v>438</v>
      </c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19"/>
      <c r="T473" s="119"/>
      <c r="U473" s="119"/>
      <c r="V473" s="119"/>
      <c r="W473" s="119"/>
      <c r="X473" s="119"/>
      <c r="Y473" s="119"/>
      <c r="Z473" s="119"/>
      <c r="AA473" s="119"/>
      <c r="AB473" s="119"/>
      <c r="AC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9"/>
      <c r="AT473" s="119"/>
      <c r="AU473" s="119"/>
      <c r="AV473" s="119"/>
      <c r="AW473" s="119"/>
      <c r="AX473" s="119"/>
      <c r="AY473" s="119"/>
      <c r="AZ473" s="119"/>
      <c r="BA473" s="119"/>
      <c r="BB473" s="119"/>
      <c r="BC473" s="119"/>
      <c r="BD473" s="119"/>
      <c r="BE473" s="119"/>
      <c r="BF473" s="119"/>
      <c r="BG473" s="119"/>
      <c r="BH473" s="119"/>
      <c r="BI473" s="119"/>
      <c r="BJ473" s="119"/>
      <c r="BK473" s="119"/>
      <c r="BL473" s="26"/>
      <c r="BM473" s="119"/>
      <c r="BN473" s="119"/>
      <c r="BO473" s="119"/>
      <c r="BP473" s="119"/>
      <c r="BQ473" s="119"/>
      <c r="BR473" s="119"/>
      <c r="BS473" s="119"/>
      <c r="BT473" s="119"/>
      <c r="BU473" s="119"/>
      <c r="BV473" s="119"/>
      <c r="BW473" s="119"/>
      <c r="BX473" s="119"/>
      <c r="BY473" s="119"/>
      <c r="BZ473" s="119"/>
      <c r="CA473" s="119"/>
      <c r="CB473" s="119"/>
      <c r="CC473" s="119"/>
      <c r="CD473" s="119"/>
      <c r="CE473" s="119"/>
      <c r="CF473" s="119"/>
      <c r="CG473" s="119"/>
      <c r="CH473" s="119"/>
      <c r="CI473" s="119"/>
      <c r="CJ473" s="119"/>
      <c r="CK473" s="119"/>
      <c r="CL473" s="119"/>
      <c r="CM473" s="119"/>
      <c r="CN473" s="119"/>
      <c r="CO473" s="119"/>
      <c r="CP473" s="119"/>
      <c r="CQ473" s="119"/>
      <c r="CR473" s="119"/>
      <c r="CS473" s="119"/>
      <c r="CT473" s="119"/>
      <c r="CU473" s="119"/>
      <c r="CV473" s="119"/>
      <c r="CW473" s="119"/>
      <c r="CX473" s="119"/>
      <c r="CY473" s="119"/>
      <c r="CZ473" s="119"/>
      <c r="DA473" s="119"/>
      <c r="DB473" s="119"/>
      <c r="DC473" s="119"/>
      <c r="DD473" s="119"/>
      <c r="DE473" s="119"/>
      <c r="DF473" s="119"/>
      <c r="DG473" s="119"/>
      <c r="DH473" s="119"/>
      <c r="DI473" s="119"/>
      <c r="DJ473" s="119"/>
      <c r="DK473" s="119"/>
      <c r="DL473" s="119"/>
      <c r="DM473" s="119"/>
      <c r="DN473" s="119"/>
      <c r="DO473" s="119"/>
      <c r="DP473" s="119"/>
      <c r="DQ473" s="119"/>
      <c r="DR473" s="119"/>
      <c r="DS473" s="119"/>
      <c r="DT473" s="119"/>
      <c r="DU473" s="119"/>
      <c r="DV473" s="119"/>
      <c r="DW473" s="119"/>
      <c r="DX473" s="119"/>
      <c r="DY473" s="119"/>
      <c r="DZ473" s="119"/>
      <c r="EA473" s="119"/>
      <c r="EB473" s="119"/>
      <c r="EC473" s="119"/>
      <c r="ED473" s="119"/>
      <c r="EE473" s="119"/>
      <c r="EF473" s="119"/>
      <c r="EG473" s="119"/>
      <c r="EH473" s="119"/>
      <c r="EI473" s="119"/>
      <c r="EJ473" s="119"/>
      <c r="EK473" s="119"/>
      <c r="EL473" s="119"/>
      <c r="EM473" s="119"/>
      <c r="EN473" s="119"/>
      <c r="EO473" s="119"/>
      <c r="EP473" s="119"/>
      <c r="EQ473" s="119"/>
      <c r="ER473" s="119"/>
      <c r="ES473" s="119"/>
      <c r="ET473" s="119"/>
      <c r="EU473" s="119"/>
      <c r="EV473" s="119"/>
      <c r="EW473" s="119"/>
      <c r="EX473" s="119"/>
      <c r="EY473" s="119"/>
      <c r="EZ473" s="119"/>
      <c r="FA473" s="119"/>
      <c r="FB473" s="119"/>
      <c r="FC473" s="119"/>
      <c r="FD473" s="119"/>
      <c r="FE473" s="119"/>
      <c r="FF473" s="119"/>
      <c r="FG473" s="119"/>
      <c r="FH473" s="119"/>
      <c r="FI473" s="119"/>
      <c r="FJ473" s="119"/>
      <c r="FK473" s="119"/>
      <c r="FL473" s="119"/>
      <c r="FM473" s="119"/>
      <c r="FN473" s="119"/>
      <c r="FO473" s="119"/>
      <c r="FP473" s="119"/>
      <c r="FQ473" s="119"/>
      <c r="FR473" s="119"/>
      <c r="FS473" s="119"/>
      <c r="FT473" s="119"/>
      <c r="FU473" s="119"/>
      <c r="FV473" s="119"/>
      <c r="FW473" s="119"/>
      <c r="FX473" s="119"/>
      <c r="FY473" s="119"/>
      <c r="FZ473" s="119"/>
      <c r="GA473" s="119"/>
      <c r="GB473" s="119"/>
      <c r="GC473" s="119"/>
      <c r="GD473" s="119"/>
      <c r="GE473" s="119"/>
      <c r="GF473" s="119"/>
      <c r="GG473" s="119"/>
      <c r="GH473" s="119"/>
      <c r="GI473" s="119"/>
      <c r="GJ473" s="119"/>
      <c r="GK473" s="119"/>
      <c r="GL473" s="119"/>
      <c r="GM473" s="119"/>
      <c r="GN473" s="119"/>
      <c r="GO473" s="119"/>
      <c r="GP473" s="119"/>
      <c r="GQ473" s="119"/>
      <c r="GR473" s="119"/>
      <c r="GS473" s="119"/>
      <c r="GT473" s="119"/>
      <c r="GU473" s="119"/>
      <c r="GV473" s="119"/>
      <c r="GW473" s="119"/>
      <c r="GX473" s="119"/>
      <c r="GY473" s="119"/>
      <c r="GZ473" s="119"/>
      <c r="HA473" s="119"/>
      <c r="HB473" s="119"/>
      <c r="HC473" s="119"/>
      <c r="HD473" s="119"/>
      <c r="HE473" s="119"/>
      <c r="HF473" s="119"/>
      <c r="HG473" s="119"/>
      <c r="HH473" s="119"/>
      <c r="HI473" s="119"/>
      <c r="HJ473" s="119"/>
      <c r="HK473" s="119"/>
      <c r="HL473" s="119"/>
      <c r="HM473" s="119"/>
      <c r="HN473" s="119"/>
      <c r="HO473" s="119"/>
      <c r="HP473" s="119"/>
      <c r="HQ473" s="119"/>
      <c r="HR473" s="119"/>
      <c r="HS473" s="119"/>
      <c r="HT473" s="119"/>
      <c r="HU473" s="119"/>
      <c r="HV473" s="119"/>
      <c r="HW473" s="119"/>
      <c r="HX473" s="119"/>
      <c r="HY473" s="119"/>
      <c r="HZ473" s="119"/>
      <c r="IA473" s="119"/>
      <c r="IB473" s="119"/>
      <c r="IC473" s="119"/>
      <c r="ID473" s="119"/>
      <c r="IE473" s="119"/>
      <c r="IF473" s="119"/>
      <c r="IG473" s="119"/>
      <c r="IH473" s="119"/>
      <c r="II473" s="119"/>
      <c r="IJ473" s="119"/>
      <c r="IK473" s="119"/>
      <c r="IL473" s="119"/>
      <c r="IM473" s="119"/>
      <c r="IN473" s="119"/>
      <c r="IO473" s="119"/>
      <c r="IP473" s="119"/>
      <c r="IQ473" s="119"/>
      <c r="IR473" s="119"/>
      <c r="IS473" s="119"/>
      <c r="IT473" s="119"/>
      <c r="IU473" s="119"/>
      <c r="IV473" s="119"/>
      <c r="IW473" s="119"/>
      <c r="IX473" s="119"/>
      <c r="IY473" s="119"/>
      <c r="IZ473" s="119"/>
      <c r="JA473" s="119"/>
      <c r="JB473" s="119"/>
      <c r="JC473" s="119"/>
      <c r="JD473" s="119"/>
      <c r="JE473" s="119"/>
      <c r="JF473" s="119"/>
      <c r="JG473" s="119"/>
      <c r="JH473" s="119"/>
      <c r="JI473" s="119"/>
      <c r="JJ473" s="119"/>
      <c r="JK473" s="119"/>
      <c r="JL473" s="119"/>
      <c r="JM473" s="119"/>
      <c r="JN473" s="119"/>
      <c r="JO473" s="119"/>
      <c r="JP473" s="119"/>
      <c r="JQ473" s="119"/>
      <c r="JR473" s="119"/>
      <c r="JS473" s="119"/>
      <c r="JT473" s="119"/>
      <c r="JU473" s="119"/>
      <c r="JV473" s="119"/>
      <c r="JW473" s="119"/>
      <c r="JX473" s="119"/>
      <c r="JY473" s="119"/>
      <c r="JZ473" s="119"/>
      <c r="KA473" s="119"/>
      <c r="KB473" s="119"/>
      <c r="KC473" s="119"/>
      <c r="KD473" s="119"/>
      <c r="KE473" s="119"/>
      <c r="KF473" s="119"/>
      <c r="KG473" s="119"/>
      <c r="KH473" s="119"/>
      <c r="KI473" s="119"/>
      <c r="KJ473" s="119"/>
      <c r="KK473" s="119"/>
      <c r="KL473" s="119"/>
      <c r="KM473" s="119"/>
      <c r="KN473" s="119"/>
      <c r="KO473" s="119"/>
      <c r="KP473" s="119"/>
      <c r="KQ473" s="119"/>
      <c r="KR473" s="119"/>
      <c r="KS473" s="119"/>
      <c r="KT473" s="119"/>
      <c r="KU473" s="119"/>
      <c r="KV473" s="119"/>
      <c r="KW473" s="119"/>
      <c r="KX473" s="119"/>
      <c r="KY473" s="119"/>
      <c r="KZ473" s="119"/>
      <c r="LA473" s="119"/>
      <c r="LB473" s="119"/>
      <c r="LC473" s="119"/>
      <c r="LD473" s="119"/>
      <c r="LE473" s="119"/>
      <c r="LF473" s="119"/>
      <c r="LG473" s="119"/>
      <c r="LH473" s="119"/>
      <c r="LI473" s="119"/>
      <c r="LJ473" s="119"/>
      <c r="LK473" s="119"/>
      <c r="LL473" s="119"/>
      <c r="LM473" s="119"/>
      <c r="LN473" s="119"/>
      <c r="LO473" s="119"/>
      <c r="LP473" s="119"/>
      <c r="LQ473" s="119"/>
      <c r="LR473" s="119"/>
      <c r="LS473" s="119"/>
      <c r="LT473" s="119"/>
      <c r="LU473" s="119"/>
      <c r="LV473" s="119"/>
      <c r="LW473" s="119"/>
      <c r="LX473" s="119"/>
      <c r="LY473" s="119"/>
      <c r="LZ473" s="119"/>
      <c r="MA473" s="119"/>
      <c r="MB473" s="119"/>
      <c r="MC473" s="119"/>
      <c r="MD473" s="119"/>
      <c r="ME473" s="119"/>
      <c r="MF473" s="119"/>
      <c r="MG473" s="119"/>
      <c r="MH473" s="119"/>
      <c r="MI473" s="119"/>
      <c r="MJ473" s="119"/>
      <c r="MK473" s="119"/>
      <c r="ML473" s="119"/>
      <c r="MM473" s="119"/>
      <c r="MN473" s="119"/>
      <c r="MO473" s="119"/>
      <c r="MP473" s="119"/>
      <c r="MQ473" s="119"/>
      <c r="MR473" s="119"/>
      <c r="MS473" s="119"/>
      <c r="MT473" s="119"/>
      <c r="MU473" s="119"/>
      <c r="MV473" s="119"/>
      <c r="MW473" s="119"/>
      <c r="MX473" s="119"/>
      <c r="MY473" s="119"/>
      <c r="MZ473" s="119"/>
    </row>
    <row r="474" spans="1:364" s="27" customFormat="1" x14ac:dyDescent="0.25">
      <c r="A474" s="123"/>
      <c r="B474" s="123"/>
      <c r="C474" s="126"/>
      <c r="D474" s="129"/>
      <c r="E474" s="109"/>
      <c r="F474" s="131"/>
      <c r="G474" s="132"/>
      <c r="H474" s="114" t="s">
        <v>149</v>
      </c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19"/>
      <c r="T474" s="119"/>
      <c r="U474" s="119"/>
      <c r="V474" s="119"/>
      <c r="W474" s="119"/>
      <c r="X474" s="119"/>
      <c r="Y474" s="119"/>
      <c r="Z474" s="119"/>
      <c r="AA474" s="119"/>
      <c r="AB474" s="119"/>
      <c r="AC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9"/>
      <c r="AT474" s="119"/>
      <c r="AU474" s="119"/>
      <c r="AV474" s="119"/>
      <c r="AW474" s="119"/>
      <c r="AX474" s="119"/>
      <c r="AY474" s="119"/>
      <c r="AZ474" s="119"/>
      <c r="BA474" s="119"/>
      <c r="BB474" s="119"/>
      <c r="BC474" s="119"/>
      <c r="BD474" s="119"/>
      <c r="BE474" s="119"/>
      <c r="BF474" s="119"/>
      <c r="BG474" s="119"/>
      <c r="BH474" s="119"/>
      <c r="BI474" s="119"/>
      <c r="BJ474" s="119"/>
      <c r="BK474" s="119"/>
      <c r="BL474" s="26"/>
      <c r="BM474" s="119"/>
      <c r="BN474" s="119"/>
      <c r="BO474" s="119"/>
      <c r="BP474" s="119"/>
      <c r="BQ474" s="119"/>
      <c r="BR474" s="119"/>
      <c r="BS474" s="119"/>
      <c r="BT474" s="119"/>
      <c r="BU474" s="119"/>
      <c r="BV474" s="119"/>
      <c r="BW474" s="119"/>
      <c r="BX474" s="119"/>
      <c r="BY474" s="119"/>
      <c r="BZ474" s="119"/>
      <c r="CA474" s="119"/>
      <c r="CB474" s="119"/>
      <c r="CC474" s="119"/>
      <c r="CD474" s="119"/>
      <c r="CE474" s="119"/>
      <c r="CF474" s="119"/>
      <c r="CG474" s="119"/>
      <c r="CH474" s="119"/>
      <c r="CI474" s="119"/>
      <c r="CJ474" s="119"/>
      <c r="CK474" s="119"/>
      <c r="CL474" s="119"/>
      <c r="CM474" s="119"/>
      <c r="CN474" s="119"/>
      <c r="CO474" s="119"/>
      <c r="CP474" s="119"/>
      <c r="CQ474" s="119"/>
      <c r="CR474" s="119"/>
      <c r="CS474" s="119"/>
      <c r="CT474" s="119"/>
      <c r="CU474" s="119"/>
      <c r="CV474" s="119"/>
      <c r="CW474" s="119"/>
      <c r="CX474" s="119"/>
      <c r="CY474" s="119"/>
      <c r="CZ474" s="119"/>
      <c r="DA474" s="119"/>
      <c r="DB474" s="119"/>
      <c r="DC474" s="119"/>
      <c r="DD474" s="119"/>
      <c r="DE474" s="119"/>
      <c r="DF474" s="119"/>
      <c r="DG474" s="119"/>
      <c r="DH474" s="119"/>
      <c r="DI474" s="119"/>
      <c r="DJ474" s="119"/>
      <c r="DK474" s="119"/>
      <c r="DL474" s="119"/>
      <c r="DM474" s="119"/>
      <c r="DN474" s="119"/>
      <c r="DO474" s="119"/>
      <c r="DP474" s="119"/>
      <c r="DQ474" s="119"/>
      <c r="DR474" s="119"/>
      <c r="DS474" s="119"/>
      <c r="DT474" s="119"/>
      <c r="DU474" s="119"/>
      <c r="DV474" s="119"/>
      <c r="DW474" s="119"/>
      <c r="DX474" s="119"/>
      <c r="DY474" s="119"/>
      <c r="DZ474" s="119"/>
      <c r="EA474" s="119"/>
      <c r="EB474" s="119"/>
      <c r="EC474" s="119"/>
      <c r="ED474" s="119"/>
      <c r="EE474" s="119"/>
      <c r="EF474" s="119"/>
      <c r="EG474" s="119"/>
      <c r="EH474" s="119"/>
      <c r="EI474" s="119"/>
      <c r="EJ474" s="119"/>
      <c r="EK474" s="119"/>
      <c r="EL474" s="119"/>
      <c r="EM474" s="119"/>
      <c r="EN474" s="119"/>
      <c r="EO474" s="119"/>
      <c r="EP474" s="119"/>
      <c r="EQ474" s="119"/>
      <c r="ER474" s="119"/>
      <c r="ES474" s="119"/>
      <c r="ET474" s="119"/>
      <c r="EU474" s="119"/>
      <c r="EV474" s="119"/>
      <c r="EW474" s="119"/>
      <c r="EX474" s="119"/>
      <c r="EY474" s="119"/>
      <c r="EZ474" s="119"/>
      <c r="FA474" s="119"/>
      <c r="FB474" s="119"/>
      <c r="FC474" s="119"/>
      <c r="FD474" s="119"/>
      <c r="FE474" s="119"/>
      <c r="FF474" s="119"/>
      <c r="FG474" s="119"/>
      <c r="FH474" s="119"/>
      <c r="FI474" s="119"/>
      <c r="FJ474" s="119"/>
      <c r="FK474" s="119"/>
      <c r="FL474" s="119"/>
      <c r="FM474" s="119"/>
      <c r="FN474" s="119"/>
      <c r="FO474" s="119"/>
      <c r="FP474" s="119"/>
      <c r="FQ474" s="119"/>
      <c r="FR474" s="119"/>
      <c r="FS474" s="119"/>
      <c r="FT474" s="119"/>
      <c r="FU474" s="119"/>
      <c r="FV474" s="119"/>
      <c r="FW474" s="119"/>
      <c r="FX474" s="119"/>
      <c r="FY474" s="119"/>
      <c r="FZ474" s="119"/>
      <c r="GA474" s="119"/>
      <c r="GB474" s="119"/>
      <c r="GC474" s="119"/>
      <c r="GD474" s="119"/>
      <c r="GE474" s="119"/>
      <c r="GF474" s="119"/>
      <c r="GG474" s="119"/>
      <c r="GH474" s="119"/>
      <c r="GI474" s="119"/>
      <c r="GJ474" s="119"/>
      <c r="GK474" s="119"/>
      <c r="GL474" s="119"/>
      <c r="GM474" s="119"/>
      <c r="GN474" s="119"/>
      <c r="GO474" s="119"/>
      <c r="GP474" s="119"/>
      <c r="GQ474" s="119"/>
      <c r="GR474" s="119"/>
      <c r="GS474" s="119"/>
      <c r="GT474" s="119"/>
      <c r="GU474" s="119"/>
      <c r="GV474" s="119"/>
      <c r="GW474" s="119"/>
      <c r="GX474" s="119"/>
      <c r="GY474" s="119"/>
      <c r="GZ474" s="119"/>
      <c r="HA474" s="119"/>
      <c r="HB474" s="119"/>
      <c r="HC474" s="119"/>
      <c r="HD474" s="119"/>
      <c r="HE474" s="119"/>
      <c r="HF474" s="119"/>
      <c r="HG474" s="119"/>
      <c r="HH474" s="119"/>
      <c r="HI474" s="119"/>
      <c r="HJ474" s="119"/>
      <c r="HK474" s="119"/>
      <c r="HL474" s="119"/>
      <c r="HM474" s="119"/>
      <c r="HN474" s="119"/>
      <c r="HO474" s="119"/>
      <c r="HP474" s="119"/>
      <c r="HQ474" s="119"/>
      <c r="HR474" s="119"/>
      <c r="HS474" s="119"/>
      <c r="HT474" s="119"/>
      <c r="HU474" s="119"/>
      <c r="HV474" s="119"/>
      <c r="HW474" s="119"/>
      <c r="HX474" s="119"/>
      <c r="HY474" s="119"/>
      <c r="HZ474" s="119"/>
      <c r="IA474" s="119"/>
      <c r="IB474" s="119"/>
      <c r="IC474" s="119"/>
      <c r="ID474" s="119"/>
      <c r="IE474" s="119"/>
      <c r="IF474" s="119"/>
      <c r="IG474" s="119"/>
      <c r="IH474" s="119"/>
      <c r="II474" s="119"/>
      <c r="IJ474" s="119"/>
      <c r="IK474" s="119"/>
      <c r="IL474" s="119"/>
      <c r="IM474" s="119"/>
      <c r="IN474" s="119"/>
      <c r="IO474" s="119"/>
      <c r="IP474" s="119"/>
      <c r="IQ474" s="119"/>
      <c r="IR474" s="119"/>
      <c r="IS474" s="119"/>
      <c r="IT474" s="119"/>
      <c r="IU474" s="119"/>
      <c r="IV474" s="119"/>
      <c r="IW474" s="119"/>
      <c r="IX474" s="119"/>
      <c r="IY474" s="119"/>
      <c r="IZ474" s="119"/>
      <c r="JA474" s="119"/>
      <c r="JB474" s="119"/>
      <c r="JC474" s="119"/>
      <c r="JD474" s="119"/>
      <c r="JE474" s="119"/>
      <c r="JF474" s="119"/>
      <c r="JG474" s="119"/>
      <c r="JH474" s="119"/>
      <c r="JI474" s="119"/>
      <c r="JJ474" s="119"/>
      <c r="JK474" s="119"/>
      <c r="JL474" s="119"/>
      <c r="JM474" s="119"/>
      <c r="JN474" s="119"/>
      <c r="JO474" s="119"/>
      <c r="JP474" s="119"/>
      <c r="JQ474" s="119"/>
      <c r="JR474" s="119"/>
      <c r="JS474" s="119"/>
      <c r="JT474" s="119"/>
      <c r="JU474" s="119"/>
      <c r="JV474" s="119"/>
      <c r="JW474" s="119"/>
      <c r="JX474" s="119"/>
      <c r="JY474" s="119"/>
      <c r="JZ474" s="119"/>
      <c r="KA474" s="119"/>
      <c r="KB474" s="119"/>
      <c r="KC474" s="119"/>
      <c r="KD474" s="119"/>
      <c r="KE474" s="119"/>
      <c r="KF474" s="119"/>
      <c r="KG474" s="119"/>
      <c r="KH474" s="119"/>
      <c r="KI474" s="119"/>
      <c r="KJ474" s="119"/>
      <c r="KK474" s="119"/>
      <c r="KL474" s="119"/>
      <c r="KM474" s="119"/>
      <c r="KN474" s="119"/>
      <c r="KO474" s="119"/>
      <c r="KP474" s="119"/>
      <c r="KQ474" s="119"/>
      <c r="KR474" s="119"/>
      <c r="KS474" s="119"/>
      <c r="KT474" s="119"/>
      <c r="KU474" s="119"/>
      <c r="KV474" s="119"/>
      <c r="KW474" s="119"/>
      <c r="KX474" s="119"/>
      <c r="KY474" s="119"/>
      <c r="KZ474" s="119"/>
      <c r="LA474" s="119"/>
      <c r="LB474" s="119"/>
      <c r="LC474" s="119"/>
      <c r="LD474" s="119"/>
      <c r="LE474" s="119"/>
      <c r="LF474" s="119"/>
      <c r="LG474" s="119"/>
      <c r="LH474" s="119"/>
      <c r="LI474" s="119"/>
      <c r="LJ474" s="119"/>
      <c r="LK474" s="119"/>
      <c r="LL474" s="119"/>
      <c r="LM474" s="119"/>
      <c r="LN474" s="119"/>
      <c r="LO474" s="119"/>
      <c r="LP474" s="119"/>
      <c r="LQ474" s="119"/>
      <c r="LR474" s="119"/>
      <c r="LS474" s="119"/>
      <c r="LT474" s="119"/>
      <c r="LU474" s="119"/>
      <c r="LV474" s="119"/>
      <c r="LW474" s="119"/>
      <c r="LX474" s="119"/>
      <c r="LY474" s="119"/>
      <c r="LZ474" s="119"/>
      <c r="MA474" s="119"/>
      <c r="MB474" s="119"/>
      <c r="MC474" s="119"/>
      <c r="MD474" s="119"/>
      <c r="ME474" s="119"/>
      <c r="MF474" s="119"/>
      <c r="MG474" s="119"/>
      <c r="MH474" s="119"/>
      <c r="MI474" s="119"/>
      <c r="MJ474" s="119"/>
      <c r="MK474" s="119"/>
      <c r="ML474" s="119"/>
      <c r="MM474" s="119"/>
      <c r="MN474" s="119"/>
      <c r="MO474" s="119"/>
      <c r="MP474" s="119"/>
      <c r="MQ474" s="119"/>
      <c r="MR474" s="119"/>
      <c r="MS474" s="119"/>
      <c r="MT474" s="119"/>
      <c r="MU474" s="119"/>
      <c r="MV474" s="119"/>
      <c r="MW474" s="119"/>
      <c r="MX474" s="119"/>
      <c r="MY474" s="119"/>
      <c r="MZ474" s="119"/>
    </row>
    <row r="475" spans="1:364" s="27" customFormat="1" x14ac:dyDescent="0.25">
      <c r="A475" s="121"/>
      <c r="B475" s="124" t="e">
        <f>VLOOKUP(A475,Rules!$B$8:$C$154,2,0)</f>
        <v>#N/A</v>
      </c>
      <c r="C475" s="125">
        <f t="shared" ref="C475" si="18">SUM(I476:XX476)</f>
        <v>0</v>
      </c>
      <c r="D475" s="127"/>
      <c r="E475" s="110" t="s">
        <v>492</v>
      </c>
      <c r="F475" s="130" t="e">
        <f>VLOOKUP(A475,Table2[],10,0)</f>
        <v>#N/A</v>
      </c>
      <c r="G475" s="130"/>
      <c r="H475" s="113" t="s">
        <v>440</v>
      </c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9"/>
      <c r="T475" s="119"/>
      <c r="U475" s="119"/>
      <c r="V475" s="119"/>
      <c r="W475" s="119"/>
      <c r="X475" s="119"/>
      <c r="Y475" s="119"/>
      <c r="Z475" s="119"/>
      <c r="AA475" s="119"/>
      <c r="AB475" s="119"/>
      <c r="AC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9"/>
      <c r="AT475" s="119"/>
      <c r="AU475" s="119"/>
      <c r="AV475" s="119"/>
      <c r="AW475" s="119"/>
      <c r="AX475" s="119"/>
      <c r="AY475" s="119"/>
      <c r="AZ475" s="119"/>
      <c r="BA475" s="119"/>
      <c r="BB475" s="119"/>
      <c r="BC475" s="119"/>
      <c r="BD475" s="119"/>
      <c r="BE475" s="119"/>
      <c r="BF475" s="119"/>
      <c r="BG475" s="119"/>
      <c r="BH475" s="119"/>
      <c r="BI475" s="119"/>
      <c r="BJ475" s="119"/>
      <c r="BK475" s="119"/>
      <c r="BL475" s="26"/>
      <c r="BM475" s="119"/>
      <c r="BN475" s="26"/>
      <c r="BO475" s="119"/>
      <c r="BP475" s="119"/>
      <c r="BQ475" s="119"/>
      <c r="BR475" s="119"/>
      <c r="BS475" s="119"/>
      <c r="BT475" s="119"/>
      <c r="BU475" s="119"/>
      <c r="BV475" s="119"/>
      <c r="BW475" s="119"/>
      <c r="BX475" s="119"/>
      <c r="BY475" s="119"/>
      <c r="BZ475" s="119"/>
      <c r="CA475" s="119"/>
      <c r="CB475" s="119"/>
      <c r="CC475" s="119"/>
      <c r="CD475" s="119"/>
      <c r="CE475" s="119"/>
      <c r="CF475" s="119"/>
      <c r="CG475" s="119"/>
      <c r="CH475" s="119"/>
      <c r="CI475" s="119"/>
      <c r="CJ475" s="119"/>
      <c r="CK475" s="119"/>
      <c r="CL475" s="119"/>
      <c r="CM475" s="119"/>
      <c r="CN475" s="119"/>
      <c r="CO475" s="119"/>
      <c r="CP475" s="119"/>
      <c r="CQ475" s="119"/>
      <c r="CR475" s="119"/>
      <c r="CS475" s="119"/>
      <c r="CT475" s="119"/>
      <c r="CU475" s="119"/>
      <c r="CV475" s="119"/>
      <c r="CW475" s="119"/>
      <c r="CX475" s="119"/>
      <c r="CY475" s="119"/>
      <c r="CZ475" s="119"/>
      <c r="DA475" s="119"/>
      <c r="DB475" s="119"/>
      <c r="DC475" s="119"/>
      <c r="DD475" s="119"/>
      <c r="DE475" s="119"/>
      <c r="DF475" s="119"/>
      <c r="DG475" s="119"/>
      <c r="DH475" s="119"/>
      <c r="DI475" s="119"/>
      <c r="DJ475" s="119"/>
      <c r="DK475" s="119"/>
      <c r="DL475" s="119"/>
      <c r="DM475" s="119"/>
      <c r="DN475" s="119"/>
      <c r="DO475" s="119"/>
      <c r="DP475" s="119"/>
      <c r="DQ475" s="119"/>
      <c r="DR475" s="119"/>
      <c r="DS475" s="119"/>
      <c r="DT475" s="119"/>
      <c r="DU475" s="119"/>
      <c r="DV475" s="119"/>
      <c r="DW475" s="119"/>
      <c r="DX475" s="119"/>
      <c r="DY475" s="119"/>
      <c r="DZ475" s="119"/>
      <c r="EA475" s="119"/>
      <c r="EB475" s="119"/>
      <c r="EC475" s="119"/>
      <c r="ED475" s="119"/>
      <c r="EE475" s="119"/>
      <c r="EF475" s="119"/>
      <c r="EG475" s="119"/>
      <c r="EH475" s="119"/>
      <c r="EI475" s="119"/>
      <c r="EJ475" s="119"/>
      <c r="EK475" s="119"/>
      <c r="EL475" s="119"/>
      <c r="EM475" s="119"/>
      <c r="EN475" s="119"/>
      <c r="EO475" s="119"/>
      <c r="EP475" s="119"/>
      <c r="EQ475" s="119"/>
      <c r="ER475" s="119"/>
      <c r="ES475" s="119"/>
      <c r="ET475" s="119"/>
      <c r="EU475" s="119"/>
      <c r="EV475" s="119"/>
      <c r="EW475" s="119"/>
      <c r="EX475" s="119"/>
      <c r="EY475" s="119"/>
      <c r="EZ475" s="119"/>
      <c r="FA475" s="119"/>
      <c r="FB475" s="119"/>
      <c r="FC475" s="119"/>
      <c r="FD475" s="119"/>
      <c r="FE475" s="119"/>
      <c r="FF475" s="119"/>
      <c r="FG475" s="119"/>
      <c r="FH475" s="119"/>
      <c r="FI475" s="119"/>
      <c r="FJ475" s="119"/>
      <c r="FK475" s="119"/>
      <c r="FL475" s="119"/>
      <c r="FM475" s="119"/>
      <c r="FN475" s="119"/>
      <c r="FO475" s="119"/>
      <c r="FP475" s="119"/>
      <c r="FQ475" s="119"/>
      <c r="FR475" s="119"/>
      <c r="FS475" s="119"/>
      <c r="FT475" s="119"/>
      <c r="FU475" s="119"/>
      <c r="FV475" s="119"/>
      <c r="FW475" s="119"/>
      <c r="FX475" s="119"/>
      <c r="FY475" s="119"/>
      <c r="FZ475" s="119"/>
      <c r="GA475" s="119"/>
      <c r="GB475" s="119"/>
      <c r="GC475" s="119"/>
      <c r="GD475" s="119"/>
      <c r="GE475" s="119"/>
      <c r="GF475" s="119"/>
      <c r="GG475" s="119"/>
      <c r="GH475" s="119"/>
      <c r="GI475" s="119"/>
      <c r="GJ475" s="119"/>
      <c r="GK475" s="119"/>
      <c r="GL475" s="119"/>
      <c r="GM475" s="119"/>
      <c r="GN475" s="119"/>
      <c r="GO475" s="119"/>
      <c r="GP475" s="119"/>
      <c r="GQ475" s="119"/>
      <c r="GR475" s="119"/>
      <c r="GS475" s="119"/>
      <c r="GT475" s="119"/>
      <c r="GU475" s="119"/>
      <c r="GV475" s="119"/>
      <c r="GW475" s="119"/>
      <c r="GX475" s="119"/>
      <c r="GY475" s="119"/>
      <c r="GZ475" s="119"/>
      <c r="HA475" s="119"/>
      <c r="HB475" s="119"/>
      <c r="HC475" s="119"/>
      <c r="HD475" s="119"/>
      <c r="HE475" s="119"/>
      <c r="HF475" s="119"/>
      <c r="HG475" s="119"/>
      <c r="HH475" s="119"/>
      <c r="HI475" s="119"/>
      <c r="HJ475" s="119"/>
      <c r="HK475" s="119"/>
      <c r="HL475" s="119"/>
      <c r="HM475" s="119"/>
      <c r="HN475" s="119"/>
      <c r="HO475" s="119"/>
      <c r="HP475" s="119"/>
      <c r="HQ475" s="119"/>
      <c r="HR475" s="119"/>
      <c r="HS475" s="119"/>
      <c r="HT475" s="119"/>
      <c r="HU475" s="119"/>
      <c r="HV475" s="119"/>
      <c r="HW475" s="119"/>
      <c r="HX475" s="119"/>
      <c r="HY475" s="119"/>
      <c r="HZ475" s="119"/>
      <c r="IA475" s="119"/>
      <c r="IB475" s="119"/>
      <c r="IC475" s="119"/>
      <c r="ID475" s="119"/>
      <c r="IE475" s="119"/>
      <c r="IF475" s="119"/>
      <c r="IG475" s="119"/>
      <c r="IH475" s="119"/>
      <c r="II475" s="119"/>
      <c r="IJ475" s="119"/>
      <c r="IK475" s="119"/>
      <c r="IL475" s="119"/>
      <c r="IM475" s="119"/>
      <c r="IN475" s="119"/>
      <c r="IO475" s="119"/>
      <c r="IP475" s="119"/>
      <c r="IQ475" s="119"/>
      <c r="IR475" s="119"/>
      <c r="IS475" s="119"/>
      <c r="IT475" s="119"/>
      <c r="IU475" s="119"/>
      <c r="IV475" s="119"/>
      <c r="IW475" s="119"/>
      <c r="IX475" s="119"/>
      <c r="IY475" s="119"/>
      <c r="IZ475" s="119"/>
      <c r="JA475" s="119"/>
      <c r="JB475" s="119"/>
      <c r="JC475" s="119"/>
      <c r="JD475" s="119"/>
      <c r="JE475" s="119"/>
      <c r="JF475" s="119"/>
      <c r="JG475" s="119"/>
      <c r="JH475" s="119"/>
      <c r="JI475" s="119"/>
      <c r="JJ475" s="119"/>
      <c r="JK475" s="119"/>
      <c r="JL475" s="119"/>
      <c r="JM475" s="119"/>
      <c r="JN475" s="119"/>
      <c r="JO475" s="119"/>
      <c r="JP475" s="119"/>
      <c r="JQ475" s="119"/>
      <c r="JR475" s="119"/>
      <c r="JS475" s="119"/>
      <c r="JT475" s="119"/>
      <c r="JU475" s="119"/>
      <c r="JV475" s="119"/>
      <c r="JW475" s="119"/>
      <c r="JX475" s="119"/>
      <c r="JY475" s="119"/>
      <c r="JZ475" s="119"/>
      <c r="KA475" s="119"/>
      <c r="KB475" s="119"/>
      <c r="KC475" s="119"/>
      <c r="KD475" s="119"/>
      <c r="KE475" s="119"/>
      <c r="KF475" s="119"/>
      <c r="KG475" s="119"/>
      <c r="KH475" s="119"/>
      <c r="KI475" s="119"/>
      <c r="KJ475" s="119"/>
      <c r="KK475" s="119"/>
      <c r="KL475" s="119"/>
      <c r="KM475" s="119"/>
      <c r="KN475" s="119"/>
      <c r="KO475" s="119"/>
      <c r="KP475" s="119"/>
      <c r="KQ475" s="119"/>
      <c r="KR475" s="119"/>
      <c r="KS475" s="119"/>
      <c r="KT475" s="119"/>
      <c r="KU475" s="119"/>
      <c r="KV475" s="119"/>
      <c r="KW475" s="119"/>
      <c r="KX475" s="119"/>
      <c r="KY475" s="119"/>
      <c r="KZ475" s="119"/>
      <c r="LA475" s="119"/>
      <c r="LB475" s="119"/>
      <c r="LC475" s="119"/>
      <c r="LD475" s="119"/>
      <c r="LE475" s="119"/>
      <c r="LF475" s="119"/>
      <c r="LG475" s="119"/>
      <c r="LH475" s="119"/>
      <c r="LI475" s="119"/>
      <c r="LJ475" s="119"/>
      <c r="LK475" s="119"/>
      <c r="LL475" s="119"/>
      <c r="LM475" s="119"/>
      <c r="LN475" s="119"/>
      <c r="LO475" s="119"/>
      <c r="LP475" s="119"/>
      <c r="LQ475" s="119"/>
      <c r="LR475" s="119"/>
      <c r="LS475" s="119"/>
      <c r="LT475" s="119"/>
      <c r="LU475" s="119"/>
      <c r="LV475" s="119"/>
      <c r="LW475" s="119"/>
      <c r="LX475" s="119"/>
      <c r="LY475" s="119"/>
      <c r="LZ475" s="119"/>
      <c r="MA475" s="119"/>
      <c r="MB475" s="119"/>
      <c r="MC475" s="119"/>
      <c r="MD475" s="119"/>
      <c r="ME475" s="119"/>
      <c r="MF475" s="119"/>
      <c r="MG475" s="119"/>
      <c r="MH475" s="119"/>
      <c r="MI475" s="119"/>
      <c r="MJ475" s="119"/>
      <c r="MK475" s="119"/>
      <c r="ML475" s="119"/>
      <c r="MM475" s="119"/>
      <c r="MN475" s="119"/>
      <c r="MO475" s="119"/>
      <c r="MP475" s="119"/>
      <c r="MQ475" s="119"/>
      <c r="MR475" s="119"/>
      <c r="MS475" s="119"/>
      <c r="MT475" s="119"/>
      <c r="MU475" s="119"/>
      <c r="MV475" s="119"/>
      <c r="MW475" s="119"/>
      <c r="MX475" s="119"/>
      <c r="MY475" s="119"/>
      <c r="MZ475" s="119"/>
    </row>
    <row r="476" spans="1:364" s="27" customFormat="1" x14ac:dyDescent="0.25">
      <c r="A476" s="122"/>
      <c r="B476" s="122"/>
      <c r="C476" s="126"/>
      <c r="D476" s="128"/>
      <c r="E476" s="109"/>
      <c r="F476" s="131"/>
      <c r="G476" s="131"/>
      <c r="H476" s="105" t="s">
        <v>439</v>
      </c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9"/>
      <c r="T476" s="119"/>
      <c r="U476" s="119"/>
      <c r="V476" s="119"/>
      <c r="W476" s="119"/>
      <c r="X476" s="119"/>
      <c r="Y476" s="119"/>
      <c r="Z476" s="119"/>
      <c r="AA476" s="119"/>
      <c r="AB476" s="119"/>
      <c r="AC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9"/>
      <c r="AT476" s="119"/>
      <c r="AU476" s="119"/>
      <c r="AV476" s="119"/>
      <c r="AW476" s="119"/>
      <c r="AX476" s="119"/>
      <c r="AY476" s="119"/>
      <c r="AZ476" s="119"/>
      <c r="BA476" s="119"/>
      <c r="BB476" s="119"/>
      <c r="BC476" s="119"/>
      <c r="BD476" s="119"/>
      <c r="BE476" s="119"/>
      <c r="BF476" s="119"/>
      <c r="BG476" s="119"/>
      <c r="BH476" s="119"/>
      <c r="BI476" s="119"/>
      <c r="BJ476" s="119"/>
      <c r="BK476" s="119"/>
      <c r="BL476" s="26"/>
      <c r="BM476" s="119"/>
      <c r="BN476" s="26"/>
      <c r="BO476" s="119"/>
      <c r="BP476" s="119"/>
      <c r="BQ476" s="119"/>
      <c r="BR476" s="119"/>
      <c r="BS476" s="119"/>
      <c r="BT476" s="119"/>
      <c r="BU476" s="119"/>
      <c r="BV476" s="119"/>
      <c r="BW476" s="119"/>
      <c r="BX476" s="119"/>
      <c r="BY476" s="119"/>
      <c r="BZ476" s="119"/>
      <c r="CA476" s="119"/>
      <c r="CB476" s="119"/>
      <c r="CC476" s="119"/>
      <c r="CD476" s="119"/>
      <c r="CE476" s="119"/>
      <c r="CF476" s="119"/>
      <c r="CG476" s="119"/>
      <c r="CH476" s="119"/>
      <c r="CI476" s="119"/>
      <c r="CJ476" s="119"/>
      <c r="CK476" s="119"/>
      <c r="CL476" s="119"/>
      <c r="CM476" s="119"/>
      <c r="CN476" s="119"/>
      <c r="CO476" s="119"/>
      <c r="CP476" s="119"/>
      <c r="CQ476" s="119"/>
      <c r="CR476" s="119"/>
      <c r="CS476" s="119"/>
      <c r="CT476" s="119"/>
      <c r="CU476" s="119"/>
      <c r="CV476" s="119"/>
      <c r="CW476" s="119"/>
      <c r="CX476" s="119"/>
      <c r="CY476" s="119"/>
      <c r="CZ476" s="119"/>
      <c r="DA476" s="119"/>
      <c r="DB476" s="119"/>
      <c r="DC476" s="119"/>
      <c r="DD476" s="119"/>
      <c r="DE476" s="119"/>
      <c r="DF476" s="119"/>
      <c r="DG476" s="119"/>
      <c r="DH476" s="119"/>
      <c r="DI476" s="119"/>
      <c r="DJ476" s="119"/>
      <c r="DK476" s="119"/>
      <c r="DL476" s="119"/>
      <c r="DM476" s="119"/>
      <c r="DN476" s="119"/>
      <c r="DO476" s="119"/>
      <c r="DP476" s="119"/>
      <c r="DQ476" s="119"/>
      <c r="DR476" s="119"/>
      <c r="DS476" s="119"/>
      <c r="DT476" s="119"/>
      <c r="DU476" s="119"/>
      <c r="DV476" s="119"/>
      <c r="DW476" s="119"/>
      <c r="DX476" s="119"/>
      <c r="DY476" s="119"/>
      <c r="DZ476" s="119"/>
      <c r="EA476" s="119"/>
      <c r="EB476" s="119"/>
      <c r="EC476" s="119"/>
      <c r="ED476" s="119"/>
      <c r="EE476" s="119"/>
      <c r="EF476" s="119"/>
      <c r="EG476" s="119"/>
      <c r="EH476" s="119"/>
      <c r="EI476" s="119"/>
      <c r="EJ476" s="119"/>
      <c r="EK476" s="119"/>
      <c r="EL476" s="119"/>
      <c r="EM476" s="119"/>
      <c r="EN476" s="119"/>
      <c r="EO476" s="119"/>
      <c r="EP476" s="119"/>
      <c r="EQ476" s="119"/>
      <c r="ER476" s="119"/>
      <c r="ES476" s="119"/>
      <c r="ET476" s="119"/>
      <c r="EU476" s="119"/>
      <c r="EV476" s="119"/>
      <c r="EW476" s="119"/>
      <c r="EX476" s="119"/>
      <c r="EY476" s="119"/>
      <c r="EZ476" s="119"/>
      <c r="FA476" s="119"/>
      <c r="FB476" s="119"/>
      <c r="FC476" s="119"/>
      <c r="FD476" s="119"/>
      <c r="FE476" s="119"/>
      <c r="FF476" s="119"/>
      <c r="FG476" s="119"/>
      <c r="FH476" s="119"/>
      <c r="FI476" s="119"/>
      <c r="FJ476" s="119"/>
      <c r="FK476" s="119"/>
      <c r="FL476" s="119"/>
      <c r="FM476" s="119"/>
      <c r="FN476" s="119"/>
      <c r="FO476" s="119"/>
      <c r="FP476" s="119"/>
      <c r="FQ476" s="119"/>
      <c r="FR476" s="119"/>
      <c r="FS476" s="119"/>
      <c r="FT476" s="119"/>
      <c r="FU476" s="119"/>
      <c r="FV476" s="119"/>
      <c r="FW476" s="119"/>
      <c r="FX476" s="119"/>
      <c r="FY476" s="119"/>
      <c r="FZ476" s="119"/>
      <c r="GA476" s="119"/>
      <c r="GB476" s="119"/>
      <c r="GC476" s="119"/>
      <c r="GD476" s="119"/>
      <c r="GE476" s="119"/>
      <c r="GF476" s="119"/>
      <c r="GG476" s="119"/>
      <c r="GH476" s="119"/>
      <c r="GI476" s="119"/>
      <c r="GJ476" s="119"/>
      <c r="GK476" s="119"/>
      <c r="GL476" s="119"/>
      <c r="GM476" s="119"/>
      <c r="GN476" s="119"/>
      <c r="GO476" s="119"/>
      <c r="GP476" s="119"/>
      <c r="GQ476" s="119"/>
      <c r="GR476" s="119"/>
      <c r="GS476" s="119"/>
      <c r="GT476" s="119"/>
      <c r="GU476" s="119"/>
      <c r="GV476" s="119"/>
      <c r="GW476" s="119"/>
      <c r="GX476" s="119"/>
      <c r="GY476" s="119"/>
      <c r="GZ476" s="119"/>
      <c r="HA476" s="119"/>
      <c r="HB476" s="119"/>
      <c r="HC476" s="119"/>
      <c r="HD476" s="119"/>
      <c r="HE476" s="119"/>
      <c r="HF476" s="119"/>
      <c r="HG476" s="119"/>
      <c r="HH476" s="119"/>
      <c r="HI476" s="119"/>
      <c r="HJ476" s="119"/>
      <c r="HK476" s="119"/>
      <c r="HL476" s="119"/>
      <c r="HM476" s="119"/>
      <c r="HN476" s="119"/>
      <c r="HO476" s="119"/>
      <c r="HP476" s="119"/>
      <c r="HQ476" s="119"/>
      <c r="HR476" s="119"/>
      <c r="HS476" s="119"/>
      <c r="HT476" s="119"/>
      <c r="HU476" s="119"/>
      <c r="HV476" s="119"/>
      <c r="HW476" s="119"/>
      <c r="HX476" s="119"/>
      <c r="HY476" s="119"/>
      <c r="HZ476" s="119"/>
      <c r="IA476" s="119"/>
      <c r="IB476" s="119"/>
      <c r="IC476" s="119"/>
      <c r="ID476" s="119"/>
      <c r="IE476" s="119"/>
      <c r="IF476" s="119"/>
      <c r="IG476" s="119"/>
      <c r="IH476" s="119"/>
      <c r="II476" s="119"/>
      <c r="IJ476" s="119"/>
      <c r="IK476" s="119"/>
      <c r="IL476" s="119"/>
      <c r="IM476" s="119"/>
      <c r="IN476" s="119"/>
      <c r="IO476" s="119"/>
      <c r="IP476" s="119"/>
      <c r="IQ476" s="119"/>
      <c r="IR476" s="119"/>
      <c r="IS476" s="119"/>
      <c r="IT476" s="119"/>
      <c r="IU476" s="119"/>
      <c r="IV476" s="119"/>
      <c r="IW476" s="119"/>
      <c r="IX476" s="119"/>
      <c r="IY476" s="119"/>
      <c r="IZ476" s="119"/>
      <c r="JA476" s="119"/>
      <c r="JB476" s="119"/>
      <c r="JC476" s="119"/>
      <c r="JD476" s="119"/>
      <c r="JE476" s="119"/>
      <c r="JF476" s="119"/>
      <c r="JG476" s="119"/>
      <c r="JH476" s="119"/>
      <c r="JI476" s="119"/>
      <c r="JJ476" s="119"/>
      <c r="JK476" s="119"/>
      <c r="JL476" s="119"/>
      <c r="JM476" s="119"/>
      <c r="JN476" s="119"/>
      <c r="JO476" s="119"/>
      <c r="JP476" s="119"/>
      <c r="JQ476" s="119"/>
      <c r="JR476" s="119"/>
      <c r="JS476" s="119"/>
      <c r="JT476" s="119"/>
      <c r="JU476" s="119"/>
      <c r="JV476" s="119"/>
      <c r="JW476" s="119"/>
      <c r="JX476" s="119"/>
      <c r="JY476" s="119"/>
      <c r="JZ476" s="119"/>
      <c r="KA476" s="119"/>
      <c r="KB476" s="119"/>
      <c r="KC476" s="119"/>
      <c r="KD476" s="119"/>
      <c r="KE476" s="119"/>
      <c r="KF476" s="119"/>
      <c r="KG476" s="119"/>
      <c r="KH476" s="119"/>
      <c r="KI476" s="119"/>
      <c r="KJ476" s="119"/>
      <c r="KK476" s="119"/>
      <c r="KL476" s="119"/>
      <c r="KM476" s="119"/>
      <c r="KN476" s="119"/>
      <c r="KO476" s="119"/>
      <c r="KP476" s="119"/>
      <c r="KQ476" s="119"/>
      <c r="KR476" s="119"/>
      <c r="KS476" s="119"/>
      <c r="KT476" s="119"/>
      <c r="KU476" s="119"/>
      <c r="KV476" s="119"/>
      <c r="KW476" s="119"/>
      <c r="KX476" s="119"/>
      <c r="KY476" s="119"/>
      <c r="KZ476" s="119"/>
      <c r="LA476" s="119"/>
      <c r="LB476" s="119"/>
      <c r="LC476" s="119"/>
      <c r="LD476" s="119"/>
      <c r="LE476" s="119"/>
      <c r="LF476" s="119"/>
      <c r="LG476" s="119"/>
      <c r="LH476" s="119"/>
      <c r="LI476" s="119"/>
      <c r="LJ476" s="119"/>
      <c r="LK476" s="119"/>
      <c r="LL476" s="119"/>
      <c r="LM476" s="119"/>
      <c r="LN476" s="119"/>
      <c r="LO476" s="119"/>
      <c r="LP476" s="119"/>
      <c r="LQ476" s="119"/>
      <c r="LR476" s="119"/>
      <c r="LS476" s="119"/>
      <c r="LT476" s="119"/>
      <c r="LU476" s="119"/>
      <c r="LV476" s="119"/>
      <c r="LW476" s="119"/>
      <c r="LX476" s="119"/>
      <c r="LY476" s="119"/>
      <c r="LZ476" s="119"/>
      <c r="MA476" s="119"/>
      <c r="MB476" s="119"/>
      <c r="MC476" s="119"/>
      <c r="MD476" s="119"/>
      <c r="ME476" s="119"/>
      <c r="MF476" s="119"/>
      <c r="MG476" s="119"/>
      <c r="MH476" s="119"/>
      <c r="MI476" s="119"/>
      <c r="MJ476" s="119"/>
      <c r="MK476" s="119"/>
      <c r="ML476" s="119"/>
      <c r="MM476" s="119"/>
      <c r="MN476" s="119"/>
      <c r="MO476" s="119"/>
      <c r="MP476" s="119"/>
      <c r="MQ476" s="119"/>
      <c r="MR476" s="119"/>
      <c r="MS476" s="119"/>
      <c r="MT476" s="119"/>
      <c r="MU476" s="119"/>
      <c r="MV476" s="119"/>
      <c r="MW476" s="119"/>
      <c r="MX476" s="119"/>
      <c r="MY476" s="119"/>
      <c r="MZ476" s="119"/>
    </row>
    <row r="477" spans="1:364" s="27" customFormat="1" x14ac:dyDescent="0.25">
      <c r="A477" s="122"/>
      <c r="B477" s="122"/>
      <c r="C477" s="126"/>
      <c r="D477" s="128"/>
      <c r="E477" s="109" t="s">
        <v>493</v>
      </c>
      <c r="F477" s="131"/>
      <c r="G477" s="131"/>
      <c r="H477" s="106" t="s">
        <v>438</v>
      </c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19"/>
      <c r="T477" s="119"/>
      <c r="U477" s="119"/>
      <c r="V477" s="119"/>
      <c r="W477" s="119"/>
      <c r="X477" s="119"/>
      <c r="Y477" s="119"/>
      <c r="Z477" s="119"/>
      <c r="AA477" s="119"/>
      <c r="AB477" s="119"/>
      <c r="AC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9"/>
      <c r="AT477" s="119"/>
      <c r="AU477" s="119"/>
      <c r="AV477" s="119"/>
      <c r="AW477" s="119"/>
      <c r="AX477" s="119"/>
      <c r="AY477" s="119"/>
      <c r="AZ477" s="119"/>
      <c r="BA477" s="119"/>
      <c r="BB477" s="119"/>
      <c r="BC477" s="119"/>
      <c r="BD477" s="119"/>
      <c r="BE477" s="119"/>
      <c r="BF477" s="119"/>
      <c r="BG477" s="119"/>
      <c r="BH477" s="119"/>
      <c r="BI477" s="119"/>
      <c r="BJ477" s="119"/>
      <c r="BK477" s="119"/>
      <c r="BL477" s="26"/>
      <c r="BM477" s="119"/>
      <c r="BN477" s="119"/>
      <c r="BO477" s="119"/>
      <c r="BP477" s="119"/>
      <c r="BQ477" s="119"/>
      <c r="BR477" s="119"/>
      <c r="BS477" s="119"/>
      <c r="BT477" s="119"/>
      <c r="BU477" s="119"/>
      <c r="BV477" s="119"/>
      <c r="BW477" s="119"/>
      <c r="BX477" s="119"/>
      <c r="BY477" s="119"/>
      <c r="BZ477" s="119"/>
      <c r="CA477" s="119"/>
      <c r="CB477" s="119"/>
      <c r="CC477" s="119"/>
      <c r="CD477" s="119"/>
      <c r="CE477" s="119"/>
      <c r="CF477" s="119"/>
      <c r="CG477" s="119"/>
      <c r="CH477" s="119"/>
      <c r="CI477" s="119"/>
      <c r="CJ477" s="119"/>
      <c r="CK477" s="119"/>
      <c r="CL477" s="119"/>
      <c r="CM477" s="119"/>
      <c r="CN477" s="119"/>
      <c r="CO477" s="119"/>
      <c r="CP477" s="119"/>
      <c r="CQ477" s="119"/>
      <c r="CR477" s="119"/>
      <c r="CS477" s="119"/>
      <c r="CT477" s="119"/>
      <c r="CU477" s="119"/>
      <c r="CV477" s="119"/>
      <c r="CW477" s="119"/>
      <c r="CX477" s="119"/>
      <c r="CY477" s="119"/>
      <c r="CZ477" s="119"/>
      <c r="DA477" s="119"/>
      <c r="DB477" s="119"/>
      <c r="DC477" s="119"/>
      <c r="DD477" s="119"/>
      <c r="DE477" s="119"/>
      <c r="DF477" s="119"/>
      <c r="DG477" s="119"/>
      <c r="DH477" s="119"/>
      <c r="DI477" s="119"/>
      <c r="DJ477" s="119"/>
      <c r="DK477" s="119"/>
      <c r="DL477" s="119"/>
      <c r="DM477" s="119"/>
      <c r="DN477" s="119"/>
      <c r="DO477" s="119"/>
      <c r="DP477" s="119"/>
      <c r="DQ477" s="119"/>
      <c r="DR477" s="119"/>
      <c r="DS477" s="119"/>
      <c r="DT477" s="119"/>
      <c r="DU477" s="119"/>
      <c r="DV477" s="119"/>
      <c r="DW477" s="119"/>
      <c r="DX477" s="119"/>
      <c r="DY477" s="119"/>
      <c r="DZ477" s="119"/>
      <c r="EA477" s="119"/>
      <c r="EB477" s="119"/>
      <c r="EC477" s="119"/>
      <c r="ED477" s="119"/>
      <c r="EE477" s="119"/>
      <c r="EF477" s="119"/>
      <c r="EG477" s="119"/>
      <c r="EH477" s="119"/>
      <c r="EI477" s="119"/>
      <c r="EJ477" s="119"/>
      <c r="EK477" s="119"/>
      <c r="EL477" s="119"/>
      <c r="EM477" s="119"/>
      <c r="EN477" s="119"/>
      <c r="EO477" s="119"/>
      <c r="EP477" s="119"/>
      <c r="EQ477" s="119"/>
      <c r="ER477" s="119"/>
      <c r="ES477" s="119"/>
      <c r="ET477" s="119"/>
      <c r="EU477" s="119"/>
      <c r="EV477" s="119"/>
      <c r="EW477" s="119"/>
      <c r="EX477" s="119"/>
      <c r="EY477" s="119"/>
      <c r="EZ477" s="119"/>
      <c r="FA477" s="119"/>
      <c r="FB477" s="119"/>
      <c r="FC477" s="119"/>
      <c r="FD477" s="119"/>
      <c r="FE477" s="119"/>
      <c r="FF477" s="119"/>
      <c r="FG477" s="119"/>
      <c r="FH477" s="119"/>
      <c r="FI477" s="119"/>
      <c r="FJ477" s="119"/>
      <c r="FK477" s="119"/>
      <c r="FL477" s="119"/>
      <c r="FM477" s="119"/>
      <c r="FN477" s="119"/>
      <c r="FO477" s="119"/>
      <c r="FP477" s="119"/>
      <c r="FQ477" s="119"/>
      <c r="FR477" s="119"/>
      <c r="FS477" s="119"/>
      <c r="FT477" s="119"/>
      <c r="FU477" s="119"/>
      <c r="FV477" s="119"/>
      <c r="FW477" s="119"/>
      <c r="FX477" s="119"/>
      <c r="FY477" s="119"/>
      <c r="FZ477" s="119"/>
      <c r="GA477" s="119"/>
      <c r="GB477" s="119"/>
      <c r="GC477" s="119"/>
      <c r="GD477" s="119"/>
      <c r="GE477" s="119"/>
      <c r="GF477" s="119"/>
      <c r="GG477" s="119"/>
      <c r="GH477" s="119"/>
      <c r="GI477" s="119"/>
      <c r="GJ477" s="119"/>
      <c r="GK477" s="119"/>
      <c r="GL477" s="119"/>
      <c r="GM477" s="119"/>
      <c r="GN477" s="119"/>
      <c r="GO477" s="119"/>
      <c r="GP477" s="119"/>
      <c r="GQ477" s="119"/>
      <c r="GR477" s="119"/>
      <c r="GS477" s="119"/>
      <c r="GT477" s="119"/>
      <c r="GU477" s="119"/>
      <c r="GV477" s="119"/>
      <c r="GW477" s="119"/>
      <c r="GX477" s="119"/>
      <c r="GY477" s="119"/>
      <c r="GZ477" s="119"/>
      <c r="HA477" s="119"/>
      <c r="HB477" s="119"/>
      <c r="HC477" s="119"/>
      <c r="HD477" s="119"/>
      <c r="HE477" s="119"/>
      <c r="HF477" s="119"/>
      <c r="HG477" s="119"/>
      <c r="HH477" s="119"/>
      <c r="HI477" s="119"/>
      <c r="HJ477" s="119"/>
      <c r="HK477" s="119"/>
      <c r="HL477" s="119"/>
      <c r="HM477" s="119"/>
      <c r="HN477" s="119"/>
      <c r="HO477" s="119"/>
      <c r="HP477" s="119"/>
      <c r="HQ477" s="119"/>
      <c r="HR477" s="119"/>
      <c r="HS477" s="119"/>
      <c r="HT477" s="119"/>
      <c r="HU477" s="119"/>
      <c r="HV477" s="119"/>
      <c r="HW477" s="119"/>
      <c r="HX477" s="119"/>
      <c r="HY477" s="119"/>
      <c r="HZ477" s="119"/>
      <c r="IA477" s="119"/>
      <c r="IB477" s="119"/>
      <c r="IC477" s="119"/>
      <c r="ID477" s="119"/>
      <c r="IE477" s="119"/>
      <c r="IF477" s="119"/>
      <c r="IG477" s="119"/>
      <c r="IH477" s="119"/>
      <c r="II477" s="119"/>
      <c r="IJ477" s="119"/>
      <c r="IK477" s="119"/>
      <c r="IL477" s="119"/>
      <c r="IM477" s="119"/>
      <c r="IN477" s="119"/>
      <c r="IO477" s="119"/>
      <c r="IP477" s="119"/>
      <c r="IQ477" s="119"/>
      <c r="IR477" s="119"/>
      <c r="IS477" s="119"/>
      <c r="IT477" s="119"/>
      <c r="IU477" s="119"/>
      <c r="IV477" s="119"/>
      <c r="IW477" s="119"/>
      <c r="IX477" s="119"/>
      <c r="IY477" s="119"/>
      <c r="IZ477" s="119"/>
      <c r="JA477" s="119"/>
      <c r="JB477" s="119"/>
      <c r="JC477" s="119"/>
      <c r="JD477" s="119"/>
      <c r="JE477" s="119"/>
      <c r="JF477" s="119"/>
      <c r="JG477" s="119"/>
      <c r="JH477" s="119"/>
      <c r="JI477" s="119"/>
      <c r="JJ477" s="119"/>
      <c r="JK477" s="119"/>
      <c r="JL477" s="119"/>
      <c r="JM477" s="119"/>
      <c r="JN477" s="119"/>
      <c r="JO477" s="119"/>
      <c r="JP477" s="119"/>
      <c r="JQ477" s="119"/>
      <c r="JR477" s="119"/>
      <c r="JS477" s="119"/>
      <c r="JT477" s="119"/>
      <c r="JU477" s="119"/>
      <c r="JV477" s="119"/>
      <c r="JW477" s="119"/>
      <c r="JX477" s="119"/>
      <c r="JY477" s="119"/>
      <c r="JZ477" s="119"/>
      <c r="KA477" s="119"/>
      <c r="KB477" s="119"/>
      <c r="KC477" s="119"/>
      <c r="KD477" s="119"/>
      <c r="KE477" s="119"/>
      <c r="KF477" s="119"/>
      <c r="KG477" s="119"/>
      <c r="KH477" s="119"/>
      <c r="KI477" s="119"/>
      <c r="KJ477" s="119"/>
      <c r="KK477" s="119"/>
      <c r="KL477" s="119"/>
      <c r="KM477" s="119"/>
      <c r="KN477" s="119"/>
      <c r="KO477" s="119"/>
      <c r="KP477" s="119"/>
      <c r="KQ477" s="119"/>
      <c r="KR477" s="119"/>
      <c r="KS477" s="119"/>
      <c r="KT477" s="119"/>
      <c r="KU477" s="119"/>
      <c r="KV477" s="119"/>
      <c r="KW477" s="119"/>
      <c r="KX477" s="119"/>
      <c r="KY477" s="119"/>
      <c r="KZ477" s="119"/>
      <c r="LA477" s="119"/>
      <c r="LB477" s="119"/>
      <c r="LC477" s="119"/>
      <c r="LD477" s="119"/>
      <c r="LE477" s="119"/>
      <c r="LF477" s="119"/>
      <c r="LG477" s="119"/>
      <c r="LH477" s="119"/>
      <c r="LI477" s="119"/>
      <c r="LJ477" s="119"/>
      <c r="LK477" s="119"/>
      <c r="LL477" s="119"/>
      <c r="LM477" s="119"/>
      <c r="LN477" s="119"/>
      <c r="LO477" s="119"/>
      <c r="LP477" s="119"/>
      <c r="LQ477" s="119"/>
      <c r="LR477" s="119"/>
      <c r="LS477" s="119"/>
      <c r="LT477" s="119"/>
      <c r="LU477" s="119"/>
      <c r="LV477" s="119"/>
      <c r="LW477" s="119"/>
      <c r="LX477" s="119"/>
      <c r="LY477" s="119"/>
      <c r="LZ477" s="119"/>
      <c r="MA477" s="119"/>
      <c r="MB477" s="119"/>
      <c r="MC477" s="119"/>
      <c r="MD477" s="119"/>
      <c r="ME477" s="119"/>
      <c r="MF477" s="119"/>
      <c r="MG477" s="119"/>
      <c r="MH477" s="119"/>
      <c r="MI477" s="119"/>
      <c r="MJ477" s="119"/>
      <c r="MK477" s="119"/>
      <c r="ML477" s="119"/>
      <c r="MM477" s="119"/>
      <c r="MN477" s="119"/>
      <c r="MO477" s="119"/>
      <c r="MP477" s="119"/>
      <c r="MQ477" s="119"/>
      <c r="MR477" s="119"/>
      <c r="MS477" s="119"/>
      <c r="MT477" s="119"/>
      <c r="MU477" s="119"/>
      <c r="MV477" s="119"/>
      <c r="MW477" s="119"/>
      <c r="MX477" s="119"/>
      <c r="MY477" s="119"/>
      <c r="MZ477" s="119"/>
    </row>
    <row r="478" spans="1:364" s="27" customFormat="1" x14ac:dyDescent="0.25">
      <c r="A478" s="123"/>
      <c r="B478" s="123"/>
      <c r="C478" s="126"/>
      <c r="D478" s="129"/>
      <c r="E478" s="109"/>
      <c r="F478" s="131"/>
      <c r="G478" s="132"/>
      <c r="H478" s="114" t="s">
        <v>149</v>
      </c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19"/>
      <c r="T478" s="119"/>
      <c r="U478" s="119"/>
      <c r="V478" s="119"/>
      <c r="W478" s="119"/>
      <c r="X478" s="119"/>
      <c r="Y478" s="119"/>
      <c r="Z478" s="119"/>
      <c r="AA478" s="119"/>
      <c r="AB478" s="119"/>
      <c r="AC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9"/>
      <c r="AT478" s="119"/>
      <c r="AU478" s="119"/>
      <c r="AV478" s="119"/>
      <c r="AW478" s="119"/>
      <c r="AX478" s="119"/>
      <c r="AY478" s="119"/>
      <c r="AZ478" s="119"/>
      <c r="BA478" s="119"/>
      <c r="BB478" s="119"/>
      <c r="BC478" s="119"/>
      <c r="BD478" s="119"/>
      <c r="BE478" s="119"/>
      <c r="BF478" s="119"/>
      <c r="BG478" s="119"/>
      <c r="BH478" s="119"/>
      <c r="BI478" s="119"/>
      <c r="BJ478" s="119"/>
      <c r="BK478" s="119"/>
      <c r="BL478" s="26"/>
      <c r="BM478" s="119"/>
      <c r="BN478" s="119"/>
      <c r="BO478" s="119"/>
      <c r="BP478" s="119"/>
      <c r="BQ478" s="119"/>
      <c r="BR478" s="119"/>
      <c r="BS478" s="119"/>
      <c r="BT478" s="119"/>
      <c r="BU478" s="119"/>
      <c r="BV478" s="119"/>
      <c r="BW478" s="119"/>
      <c r="BX478" s="119"/>
      <c r="BY478" s="119"/>
      <c r="BZ478" s="119"/>
      <c r="CA478" s="119"/>
      <c r="CB478" s="119"/>
      <c r="CC478" s="119"/>
      <c r="CD478" s="119"/>
      <c r="CE478" s="119"/>
      <c r="CF478" s="119"/>
      <c r="CG478" s="119"/>
      <c r="CH478" s="119"/>
      <c r="CI478" s="119"/>
      <c r="CJ478" s="119"/>
      <c r="CK478" s="119"/>
      <c r="CL478" s="119"/>
      <c r="CM478" s="119"/>
      <c r="CN478" s="119"/>
      <c r="CO478" s="119"/>
      <c r="CP478" s="119"/>
      <c r="CQ478" s="119"/>
      <c r="CR478" s="119"/>
      <c r="CS478" s="119"/>
      <c r="CT478" s="119"/>
      <c r="CU478" s="119"/>
      <c r="CV478" s="119"/>
      <c r="CW478" s="119"/>
      <c r="CX478" s="119"/>
      <c r="CY478" s="119"/>
      <c r="CZ478" s="119"/>
      <c r="DA478" s="119"/>
      <c r="DB478" s="119"/>
      <c r="DC478" s="119"/>
      <c r="DD478" s="119"/>
      <c r="DE478" s="119"/>
      <c r="DF478" s="119"/>
      <c r="DG478" s="119"/>
      <c r="DH478" s="119"/>
      <c r="DI478" s="119"/>
      <c r="DJ478" s="119"/>
      <c r="DK478" s="119"/>
      <c r="DL478" s="119"/>
      <c r="DM478" s="119"/>
      <c r="DN478" s="119"/>
      <c r="DO478" s="119"/>
      <c r="DP478" s="119"/>
      <c r="DQ478" s="119"/>
      <c r="DR478" s="119"/>
      <c r="DS478" s="119"/>
      <c r="DT478" s="119"/>
      <c r="DU478" s="119"/>
      <c r="DV478" s="119"/>
      <c r="DW478" s="119"/>
      <c r="DX478" s="119"/>
      <c r="DY478" s="119"/>
      <c r="DZ478" s="119"/>
      <c r="EA478" s="119"/>
      <c r="EB478" s="119"/>
      <c r="EC478" s="119"/>
      <c r="ED478" s="119"/>
      <c r="EE478" s="119"/>
      <c r="EF478" s="119"/>
      <c r="EG478" s="119"/>
      <c r="EH478" s="119"/>
      <c r="EI478" s="119"/>
      <c r="EJ478" s="119"/>
      <c r="EK478" s="119"/>
      <c r="EL478" s="119"/>
      <c r="EM478" s="119"/>
      <c r="EN478" s="119"/>
      <c r="EO478" s="119"/>
      <c r="EP478" s="119"/>
      <c r="EQ478" s="119"/>
      <c r="ER478" s="119"/>
      <c r="ES478" s="119"/>
      <c r="ET478" s="119"/>
      <c r="EU478" s="119"/>
      <c r="EV478" s="119"/>
      <c r="EW478" s="119"/>
      <c r="EX478" s="119"/>
      <c r="EY478" s="119"/>
      <c r="EZ478" s="119"/>
      <c r="FA478" s="119"/>
      <c r="FB478" s="119"/>
      <c r="FC478" s="119"/>
      <c r="FD478" s="119"/>
      <c r="FE478" s="119"/>
      <c r="FF478" s="119"/>
      <c r="FG478" s="119"/>
      <c r="FH478" s="119"/>
      <c r="FI478" s="119"/>
      <c r="FJ478" s="119"/>
      <c r="FK478" s="119"/>
      <c r="FL478" s="119"/>
      <c r="FM478" s="119"/>
      <c r="FN478" s="119"/>
      <c r="FO478" s="119"/>
      <c r="FP478" s="119"/>
      <c r="FQ478" s="119"/>
      <c r="FR478" s="119"/>
      <c r="FS478" s="119"/>
      <c r="FT478" s="119"/>
      <c r="FU478" s="119"/>
      <c r="FV478" s="119"/>
      <c r="FW478" s="119"/>
      <c r="FX478" s="119"/>
      <c r="FY478" s="119"/>
      <c r="FZ478" s="119"/>
      <c r="GA478" s="119"/>
      <c r="GB478" s="119"/>
      <c r="GC478" s="119"/>
      <c r="GD478" s="119"/>
      <c r="GE478" s="119"/>
      <c r="GF478" s="119"/>
      <c r="GG478" s="119"/>
      <c r="GH478" s="119"/>
      <c r="GI478" s="119"/>
      <c r="GJ478" s="119"/>
      <c r="GK478" s="119"/>
      <c r="GL478" s="119"/>
      <c r="GM478" s="119"/>
      <c r="GN478" s="119"/>
      <c r="GO478" s="119"/>
      <c r="GP478" s="119"/>
      <c r="GQ478" s="119"/>
      <c r="GR478" s="119"/>
      <c r="GS478" s="119"/>
      <c r="GT478" s="119"/>
      <c r="GU478" s="119"/>
      <c r="GV478" s="119"/>
      <c r="GW478" s="119"/>
      <c r="GX478" s="119"/>
      <c r="GY478" s="119"/>
      <c r="GZ478" s="119"/>
      <c r="HA478" s="119"/>
      <c r="HB478" s="119"/>
      <c r="HC478" s="119"/>
      <c r="HD478" s="119"/>
      <c r="HE478" s="119"/>
      <c r="HF478" s="119"/>
      <c r="HG478" s="119"/>
      <c r="HH478" s="119"/>
      <c r="HI478" s="119"/>
      <c r="HJ478" s="119"/>
      <c r="HK478" s="119"/>
      <c r="HL478" s="119"/>
      <c r="HM478" s="119"/>
      <c r="HN478" s="119"/>
      <c r="HO478" s="119"/>
      <c r="HP478" s="119"/>
      <c r="HQ478" s="119"/>
      <c r="HR478" s="119"/>
      <c r="HS478" s="119"/>
      <c r="HT478" s="119"/>
      <c r="HU478" s="119"/>
      <c r="HV478" s="119"/>
      <c r="HW478" s="119"/>
      <c r="HX478" s="119"/>
      <c r="HY478" s="119"/>
      <c r="HZ478" s="119"/>
      <c r="IA478" s="119"/>
      <c r="IB478" s="119"/>
      <c r="IC478" s="119"/>
      <c r="ID478" s="119"/>
      <c r="IE478" s="119"/>
      <c r="IF478" s="119"/>
      <c r="IG478" s="119"/>
      <c r="IH478" s="119"/>
      <c r="II478" s="119"/>
      <c r="IJ478" s="119"/>
      <c r="IK478" s="119"/>
      <c r="IL478" s="119"/>
      <c r="IM478" s="119"/>
      <c r="IN478" s="119"/>
      <c r="IO478" s="119"/>
      <c r="IP478" s="119"/>
      <c r="IQ478" s="119"/>
      <c r="IR478" s="119"/>
      <c r="IS478" s="119"/>
      <c r="IT478" s="119"/>
      <c r="IU478" s="119"/>
      <c r="IV478" s="119"/>
      <c r="IW478" s="119"/>
      <c r="IX478" s="119"/>
      <c r="IY478" s="119"/>
      <c r="IZ478" s="119"/>
      <c r="JA478" s="119"/>
      <c r="JB478" s="119"/>
      <c r="JC478" s="119"/>
      <c r="JD478" s="119"/>
      <c r="JE478" s="119"/>
      <c r="JF478" s="119"/>
      <c r="JG478" s="119"/>
      <c r="JH478" s="119"/>
      <c r="JI478" s="119"/>
      <c r="JJ478" s="119"/>
      <c r="JK478" s="119"/>
      <c r="JL478" s="119"/>
      <c r="JM478" s="119"/>
      <c r="JN478" s="119"/>
      <c r="JO478" s="119"/>
      <c r="JP478" s="119"/>
      <c r="JQ478" s="119"/>
      <c r="JR478" s="119"/>
      <c r="JS478" s="119"/>
      <c r="JT478" s="119"/>
      <c r="JU478" s="119"/>
      <c r="JV478" s="119"/>
      <c r="JW478" s="119"/>
      <c r="JX478" s="119"/>
      <c r="JY478" s="119"/>
      <c r="JZ478" s="119"/>
      <c r="KA478" s="119"/>
      <c r="KB478" s="119"/>
      <c r="KC478" s="119"/>
      <c r="KD478" s="119"/>
      <c r="KE478" s="119"/>
      <c r="KF478" s="119"/>
      <c r="KG478" s="119"/>
      <c r="KH478" s="119"/>
      <c r="KI478" s="119"/>
      <c r="KJ478" s="119"/>
      <c r="KK478" s="119"/>
      <c r="KL478" s="119"/>
      <c r="KM478" s="119"/>
      <c r="KN478" s="119"/>
      <c r="KO478" s="119"/>
      <c r="KP478" s="119"/>
      <c r="KQ478" s="119"/>
      <c r="KR478" s="119"/>
      <c r="KS478" s="119"/>
      <c r="KT478" s="119"/>
      <c r="KU478" s="119"/>
      <c r="KV478" s="119"/>
      <c r="KW478" s="119"/>
      <c r="KX478" s="119"/>
      <c r="KY478" s="119"/>
      <c r="KZ478" s="119"/>
      <c r="LA478" s="119"/>
      <c r="LB478" s="119"/>
      <c r="LC478" s="119"/>
      <c r="LD478" s="119"/>
      <c r="LE478" s="119"/>
      <c r="LF478" s="119"/>
      <c r="LG478" s="119"/>
      <c r="LH478" s="119"/>
      <c r="LI478" s="119"/>
      <c r="LJ478" s="119"/>
      <c r="LK478" s="119"/>
      <c r="LL478" s="119"/>
      <c r="LM478" s="119"/>
      <c r="LN478" s="119"/>
      <c r="LO478" s="119"/>
      <c r="LP478" s="119"/>
      <c r="LQ478" s="119"/>
      <c r="LR478" s="119"/>
      <c r="LS478" s="119"/>
      <c r="LT478" s="119"/>
      <c r="LU478" s="119"/>
      <c r="LV478" s="119"/>
      <c r="LW478" s="119"/>
      <c r="LX478" s="119"/>
      <c r="LY478" s="119"/>
      <c r="LZ478" s="119"/>
      <c r="MA478" s="119"/>
      <c r="MB478" s="119"/>
      <c r="MC478" s="119"/>
      <c r="MD478" s="119"/>
      <c r="ME478" s="119"/>
      <c r="MF478" s="119"/>
      <c r="MG478" s="119"/>
      <c r="MH478" s="119"/>
      <c r="MI478" s="119"/>
      <c r="MJ478" s="119"/>
      <c r="MK478" s="119"/>
      <c r="ML478" s="119"/>
      <c r="MM478" s="119"/>
      <c r="MN478" s="119"/>
      <c r="MO478" s="119"/>
      <c r="MP478" s="119"/>
      <c r="MQ478" s="119"/>
      <c r="MR478" s="119"/>
      <c r="MS478" s="119"/>
      <c r="MT478" s="119"/>
      <c r="MU478" s="119"/>
      <c r="MV478" s="119"/>
      <c r="MW478" s="119"/>
      <c r="MX478" s="119"/>
      <c r="MY478" s="119"/>
      <c r="MZ478" s="119"/>
    </row>
    <row r="479" spans="1:364" s="27" customFormat="1" x14ac:dyDescent="0.25">
      <c r="A479" s="121"/>
      <c r="B479" s="124" t="e">
        <f>VLOOKUP(A479,Rules!$B$8:$C$154,2,0)</f>
        <v>#N/A</v>
      </c>
      <c r="C479" s="125">
        <f t="shared" ref="C479" si="19">SUM(I480:XX480)</f>
        <v>0</v>
      </c>
      <c r="D479" s="127"/>
      <c r="E479" s="110" t="s">
        <v>492</v>
      </c>
      <c r="F479" s="130" t="e">
        <f>VLOOKUP(A479,Table2[],10,0)</f>
        <v>#N/A</v>
      </c>
      <c r="G479" s="130"/>
      <c r="H479" s="113" t="s">
        <v>440</v>
      </c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9"/>
      <c r="T479" s="119"/>
      <c r="U479" s="119"/>
      <c r="V479" s="119"/>
      <c r="W479" s="119"/>
      <c r="X479" s="119"/>
      <c r="Y479" s="119"/>
      <c r="Z479" s="119"/>
      <c r="AA479" s="119"/>
      <c r="AB479" s="119"/>
      <c r="AC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9"/>
      <c r="AT479" s="119"/>
      <c r="AU479" s="119"/>
      <c r="AV479" s="119"/>
      <c r="AW479" s="119"/>
      <c r="AX479" s="119"/>
      <c r="AY479" s="119"/>
      <c r="AZ479" s="119"/>
      <c r="BA479" s="119"/>
      <c r="BB479" s="119"/>
      <c r="BC479" s="119"/>
      <c r="BD479" s="119"/>
      <c r="BE479" s="119"/>
      <c r="BF479" s="119"/>
      <c r="BG479" s="119"/>
      <c r="BH479" s="119"/>
      <c r="BI479" s="119"/>
      <c r="BJ479" s="119"/>
      <c r="BK479" s="119"/>
      <c r="BL479" s="26"/>
      <c r="BM479" s="119"/>
      <c r="BN479" s="26"/>
      <c r="BO479" s="119"/>
      <c r="BP479" s="119"/>
      <c r="BQ479" s="119"/>
      <c r="BR479" s="119"/>
      <c r="BS479" s="119"/>
      <c r="BT479" s="119"/>
      <c r="BU479" s="119"/>
      <c r="BV479" s="119"/>
      <c r="BW479" s="119"/>
      <c r="BX479" s="119"/>
      <c r="BY479" s="119"/>
      <c r="BZ479" s="119"/>
      <c r="CA479" s="119"/>
      <c r="CB479" s="119"/>
      <c r="CC479" s="119"/>
      <c r="CD479" s="119"/>
      <c r="CE479" s="119"/>
      <c r="CF479" s="119"/>
      <c r="CG479" s="119"/>
      <c r="CH479" s="119"/>
      <c r="CI479" s="119"/>
      <c r="CJ479" s="119"/>
      <c r="CK479" s="119"/>
      <c r="CL479" s="119"/>
      <c r="CM479" s="119"/>
      <c r="CN479" s="119"/>
      <c r="CO479" s="119"/>
      <c r="CP479" s="119"/>
      <c r="CQ479" s="119"/>
      <c r="CR479" s="119"/>
      <c r="CS479" s="119"/>
      <c r="CT479" s="119"/>
      <c r="CU479" s="119"/>
      <c r="CV479" s="119"/>
      <c r="CW479" s="119"/>
      <c r="CX479" s="119"/>
      <c r="CY479" s="119"/>
      <c r="CZ479" s="119"/>
      <c r="DA479" s="119"/>
      <c r="DB479" s="119"/>
      <c r="DC479" s="119"/>
      <c r="DD479" s="119"/>
      <c r="DE479" s="119"/>
      <c r="DF479" s="119"/>
      <c r="DG479" s="119"/>
      <c r="DH479" s="119"/>
      <c r="DI479" s="119"/>
      <c r="DJ479" s="119"/>
      <c r="DK479" s="119"/>
      <c r="DL479" s="119"/>
      <c r="DM479" s="119"/>
      <c r="DN479" s="119"/>
      <c r="DO479" s="119"/>
      <c r="DP479" s="119"/>
      <c r="DQ479" s="119"/>
      <c r="DR479" s="119"/>
      <c r="DS479" s="119"/>
      <c r="DT479" s="119"/>
      <c r="DU479" s="119"/>
      <c r="DV479" s="119"/>
      <c r="DW479" s="119"/>
      <c r="DX479" s="119"/>
      <c r="DY479" s="119"/>
      <c r="DZ479" s="119"/>
      <c r="EA479" s="119"/>
      <c r="EB479" s="119"/>
      <c r="EC479" s="119"/>
      <c r="ED479" s="119"/>
      <c r="EE479" s="119"/>
      <c r="EF479" s="119"/>
      <c r="EG479" s="119"/>
      <c r="EH479" s="119"/>
      <c r="EI479" s="119"/>
      <c r="EJ479" s="119"/>
      <c r="EK479" s="119"/>
      <c r="EL479" s="119"/>
      <c r="EM479" s="119"/>
      <c r="EN479" s="119"/>
      <c r="EO479" s="119"/>
      <c r="EP479" s="119"/>
      <c r="EQ479" s="119"/>
      <c r="ER479" s="119"/>
      <c r="ES479" s="119"/>
      <c r="ET479" s="119"/>
      <c r="EU479" s="119"/>
      <c r="EV479" s="119"/>
      <c r="EW479" s="119"/>
      <c r="EX479" s="119"/>
      <c r="EY479" s="119"/>
      <c r="EZ479" s="119"/>
      <c r="FA479" s="119"/>
      <c r="FB479" s="119"/>
      <c r="FC479" s="119"/>
      <c r="FD479" s="119"/>
      <c r="FE479" s="119"/>
      <c r="FF479" s="119"/>
      <c r="FG479" s="119"/>
      <c r="FH479" s="119"/>
      <c r="FI479" s="119"/>
      <c r="FJ479" s="119"/>
      <c r="FK479" s="119"/>
      <c r="FL479" s="119"/>
      <c r="FM479" s="119"/>
      <c r="FN479" s="119"/>
      <c r="FO479" s="119"/>
      <c r="FP479" s="119"/>
      <c r="FQ479" s="119"/>
      <c r="FR479" s="119"/>
      <c r="FS479" s="119"/>
      <c r="FT479" s="119"/>
      <c r="FU479" s="119"/>
      <c r="FV479" s="119"/>
      <c r="FW479" s="119"/>
      <c r="FX479" s="119"/>
      <c r="FY479" s="119"/>
      <c r="FZ479" s="119"/>
      <c r="GA479" s="119"/>
      <c r="GB479" s="119"/>
      <c r="GC479" s="119"/>
      <c r="GD479" s="119"/>
      <c r="GE479" s="119"/>
      <c r="GF479" s="119"/>
      <c r="GG479" s="119"/>
      <c r="GH479" s="119"/>
      <c r="GI479" s="119"/>
      <c r="GJ479" s="119"/>
      <c r="GK479" s="119"/>
      <c r="GL479" s="119"/>
      <c r="GM479" s="119"/>
      <c r="GN479" s="119"/>
      <c r="GO479" s="119"/>
      <c r="GP479" s="119"/>
      <c r="GQ479" s="119"/>
      <c r="GR479" s="119"/>
      <c r="GS479" s="119"/>
      <c r="GT479" s="119"/>
      <c r="GU479" s="119"/>
      <c r="GV479" s="119"/>
      <c r="GW479" s="119"/>
      <c r="GX479" s="119"/>
      <c r="GY479" s="119"/>
      <c r="GZ479" s="119"/>
      <c r="HA479" s="119"/>
      <c r="HB479" s="119"/>
      <c r="HC479" s="119"/>
      <c r="HD479" s="119"/>
      <c r="HE479" s="119"/>
      <c r="HF479" s="119"/>
      <c r="HG479" s="119"/>
      <c r="HH479" s="119"/>
      <c r="HI479" s="119"/>
      <c r="HJ479" s="119"/>
      <c r="HK479" s="119"/>
      <c r="HL479" s="119"/>
      <c r="HM479" s="119"/>
      <c r="HN479" s="119"/>
      <c r="HO479" s="119"/>
      <c r="HP479" s="119"/>
      <c r="HQ479" s="119"/>
      <c r="HR479" s="119"/>
      <c r="HS479" s="119"/>
      <c r="HT479" s="119"/>
      <c r="HU479" s="119"/>
      <c r="HV479" s="119"/>
      <c r="HW479" s="119"/>
      <c r="HX479" s="119"/>
      <c r="HY479" s="119"/>
      <c r="HZ479" s="119"/>
      <c r="IA479" s="119"/>
      <c r="IB479" s="119"/>
      <c r="IC479" s="119"/>
      <c r="ID479" s="119"/>
      <c r="IE479" s="119"/>
      <c r="IF479" s="119"/>
      <c r="IG479" s="119"/>
      <c r="IH479" s="119"/>
      <c r="II479" s="119"/>
      <c r="IJ479" s="119"/>
      <c r="IK479" s="119"/>
      <c r="IL479" s="119"/>
      <c r="IM479" s="119"/>
      <c r="IN479" s="119"/>
      <c r="IO479" s="119"/>
      <c r="IP479" s="119"/>
      <c r="IQ479" s="119"/>
      <c r="IR479" s="119"/>
      <c r="IS479" s="119"/>
      <c r="IT479" s="119"/>
      <c r="IU479" s="119"/>
      <c r="IV479" s="119"/>
      <c r="IW479" s="119"/>
      <c r="IX479" s="119"/>
      <c r="IY479" s="119"/>
      <c r="IZ479" s="119"/>
      <c r="JA479" s="119"/>
      <c r="JB479" s="119"/>
      <c r="JC479" s="119"/>
      <c r="JD479" s="119"/>
      <c r="JE479" s="119"/>
      <c r="JF479" s="119"/>
      <c r="JG479" s="119"/>
      <c r="JH479" s="119"/>
      <c r="JI479" s="119"/>
      <c r="JJ479" s="119"/>
      <c r="JK479" s="119"/>
      <c r="JL479" s="119"/>
      <c r="JM479" s="119"/>
      <c r="JN479" s="119"/>
      <c r="JO479" s="119"/>
      <c r="JP479" s="119"/>
      <c r="JQ479" s="119"/>
      <c r="JR479" s="119"/>
      <c r="JS479" s="119"/>
      <c r="JT479" s="119"/>
      <c r="JU479" s="119"/>
      <c r="JV479" s="119"/>
      <c r="JW479" s="119"/>
      <c r="JX479" s="119"/>
      <c r="JY479" s="119"/>
      <c r="JZ479" s="119"/>
      <c r="KA479" s="119"/>
      <c r="KB479" s="119"/>
      <c r="KC479" s="119"/>
      <c r="KD479" s="119"/>
      <c r="KE479" s="119"/>
      <c r="KF479" s="119"/>
      <c r="KG479" s="119"/>
      <c r="KH479" s="119"/>
      <c r="KI479" s="119"/>
      <c r="KJ479" s="119"/>
      <c r="KK479" s="119"/>
      <c r="KL479" s="119"/>
      <c r="KM479" s="119"/>
      <c r="KN479" s="119"/>
      <c r="KO479" s="119"/>
      <c r="KP479" s="119"/>
      <c r="KQ479" s="119"/>
      <c r="KR479" s="119"/>
      <c r="KS479" s="119"/>
      <c r="KT479" s="119"/>
      <c r="KU479" s="119"/>
      <c r="KV479" s="119"/>
      <c r="KW479" s="119"/>
      <c r="KX479" s="119"/>
      <c r="KY479" s="119"/>
      <c r="KZ479" s="119"/>
      <c r="LA479" s="119"/>
      <c r="LB479" s="119"/>
      <c r="LC479" s="119"/>
      <c r="LD479" s="119"/>
      <c r="LE479" s="119"/>
      <c r="LF479" s="119"/>
      <c r="LG479" s="119"/>
      <c r="LH479" s="119"/>
      <c r="LI479" s="119"/>
      <c r="LJ479" s="119"/>
      <c r="LK479" s="119"/>
      <c r="LL479" s="119"/>
      <c r="LM479" s="119"/>
      <c r="LN479" s="119"/>
      <c r="LO479" s="119"/>
      <c r="LP479" s="119"/>
      <c r="LQ479" s="119"/>
      <c r="LR479" s="119"/>
      <c r="LS479" s="119"/>
      <c r="LT479" s="119"/>
      <c r="LU479" s="119"/>
      <c r="LV479" s="119"/>
      <c r="LW479" s="119"/>
      <c r="LX479" s="119"/>
      <c r="LY479" s="119"/>
      <c r="LZ479" s="119"/>
      <c r="MA479" s="119"/>
      <c r="MB479" s="119"/>
      <c r="MC479" s="119"/>
      <c r="MD479" s="119"/>
      <c r="ME479" s="119"/>
      <c r="MF479" s="119"/>
      <c r="MG479" s="119"/>
      <c r="MH479" s="119"/>
      <c r="MI479" s="119"/>
      <c r="MJ479" s="119"/>
      <c r="MK479" s="119"/>
      <c r="ML479" s="119"/>
      <c r="MM479" s="119"/>
      <c r="MN479" s="119"/>
      <c r="MO479" s="119"/>
      <c r="MP479" s="119"/>
      <c r="MQ479" s="119"/>
      <c r="MR479" s="119"/>
      <c r="MS479" s="119"/>
      <c r="MT479" s="119"/>
      <c r="MU479" s="119"/>
      <c r="MV479" s="119"/>
      <c r="MW479" s="119"/>
      <c r="MX479" s="119"/>
      <c r="MY479" s="119"/>
      <c r="MZ479" s="119"/>
    </row>
    <row r="480" spans="1:364" s="27" customFormat="1" x14ac:dyDescent="0.25">
      <c r="A480" s="122"/>
      <c r="B480" s="122"/>
      <c r="C480" s="126"/>
      <c r="D480" s="128"/>
      <c r="E480" s="109"/>
      <c r="F480" s="131"/>
      <c r="G480" s="131"/>
      <c r="H480" s="105" t="s">
        <v>439</v>
      </c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9"/>
      <c r="T480" s="119"/>
      <c r="U480" s="119"/>
      <c r="V480" s="119"/>
      <c r="W480" s="119"/>
      <c r="X480" s="119"/>
      <c r="Y480" s="119"/>
      <c r="Z480" s="119"/>
      <c r="AA480" s="119"/>
      <c r="AB480" s="119"/>
      <c r="AC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9"/>
      <c r="AT480" s="119"/>
      <c r="AU480" s="119"/>
      <c r="AV480" s="119"/>
      <c r="AW480" s="119"/>
      <c r="AX480" s="119"/>
      <c r="AY480" s="119"/>
      <c r="AZ480" s="119"/>
      <c r="BA480" s="119"/>
      <c r="BB480" s="119"/>
      <c r="BC480" s="119"/>
      <c r="BD480" s="119"/>
      <c r="BE480" s="119"/>
      <c r="BF480" s="119"/>
      <c r="BG480" s="119"/>
      <c r="BH480" s="119"/>
      <c r="BI480" s="119"/>
      <c r="BJ480" s="119"/>
      <c r="BK480" s="119"/>
      <c r="BL480" s="26"/>
      <c r="BM480" s="119"/>
      <c r="BN480" s="26"/>
      <c r="BO480" s="119"/>
      <c r="BP480" s="119"/>
      <c r="BQ480" s="119"/>
      <c r="BR480" s="119"/>
      <c r="BS480" s="119"/>
      <c r="BT480" s="119"/>
      <c r="BU480" s="119"/>
      <c r="BV480" s="119"/>
      <c r="BW480" s="119"/>
      <c r="BX480" s="119"/>
      <c r="BY480" s="119"/>
      <c r="BZ480" s="119"/>
      <c r="CA480" s="119"/>
      <c r="CB480" s="119"/>
      <c r="CC480" s="119"/>
      <c r="CD480" s="119"/>
      <c r="CE480" s="119"/>
      <c r="CF480" s="119"/>
      <c r="CG480" s="119"/>
      <c r="CH480" s="119"/>
      <c r="CI480" s="119"/>
      <c r="CJ480" s="119"/>
      <c r="CK480" s="119"/>
      <c r="CL480" s="119"/>
      <c r="CM480" s="119"/>
      <c r="CN480" s="119"/>
      <c r="CO480" s="119"/>
      <c r="CP480" s="119"/>
      <c r="CQ480" s="119"/>
      <c r="CR480" s="119"/>
      <c r="CS480" s="119"/>
      <c r="CT480" s="119"/>
      <c r="CU480" s="119"/>
      <c r="CV480" s="119"/>
      <c r="CW480" s="119"/>
      <c r="CX480" s="119"/>
      <c r="CY480" s="119"/>
      <c r="CZ480" s="119"/>
      <c r="DA480" s="119"/>
      <c r="DB480" s="119"/>
      <c r="DC480" s="119"/>
      <c r="DD480" s="119"/>
      <c r="DE480" s="119"/>
      <c r="DF480" s="119"/>
      <c r="DG480" s="119"/>
      <c r="DH480" s="119"/>
      <c r="DI480" s="119"/>
      <c r="DJ480" s="119"/>
      <c r="DK480" s="119"/>
      <c r="DL480" s="119"/>
      <c r="DM480" s="119"/>
      <c r="DN480" s="119"/>
      <c r="DO480" s="119"/>
      <c r="DP480" s="119"/>
      <c r="DQ480" s="119"/>
      <c r="DR480" s="119"/>
      <c r="DS480" s="119"/>
      <c r="DT480" s="119"/>
      <c r="DU480" s="119"/>
      <c r="DV480" s="119"/>
      <c r="DW480" s="119"/>
      <c r="DX480" s="119"/>
      <c r="DY480" s="119"/>
      <c r="DZ480" s="119"/>
      <c r="EA480" s="119"/>
      <c r="EB480" s="119"/>
      <c r="EC480" s="119"/>
      <c r="ED480" s="119"/>
      <c r="EE480" s="119"/>
      <c r="EF480" s="119"/>
      <c r="EG480" s="119"/>
      <c r="EH480" s="119"/>
      <c r="EI480" s="119"/>
      <c r="EJ480" s="119"/>
      <c r="EK480" s="119"/>
      <c r="EL480" s="119"/>
      <c r="EM480" s="119"/>
      <c r="EN480" s="119"/>
      <c r="EO480" s="119"/>
      <c r="EP480" s="119"/>
      <c r="EQ480" s="119"/>
      <c r="ER480" s="119"/>
      <c r="ES480" s="119"/>
      <c r="ET480" s="119"/>
      <c r="EU480" s="119"/>
      <c r="EV480" s="119"/>
      <c r="EW480" s="119"/>
      <c r="EX480" s="119"/>
      <c r="EY480" s="119"/>
      <c r="EZ480" s="119"/>
      <c r="FA480" s="119"/>
      <c r="FB480" s="119"/>
      <c r="FC480" s="119"/>
      <c r="FD480" s="119"/>
      <c r="FE480" s="119"/>
      <c r="FF480" s="119"/>
      <c r="FG480" s="119"/>
      <c r="FH480" s="119"/>
      <c r="FI480" s="119"/>
      <c r="FJ480" s="119"/>
      <c r="FK480" s="119"/>
      <c r="FL480" s="119"/>
      <c r="FM480" s="119"/>
      <c r="FN480" s="119"/>
      <c r="FO480" s="119"/>
      <c r="FP480" s="119"/>
      <c r="FQ480" s="119"/>
      <c r="FR480" s="119"/>
      <c r="FS480" s="119"/>
      <c r="FT480" s="119"/>
      <c r="FU480" s="119"/>
      <c r="FV480" s="119"/>
      <c r="FW480" s="119"/>
      <c r="FX480" s="119"/>
      <c r="FY480" s="119"/>
      <c r="FZ480" s="119"/>
      <c r="GA480" s="119"/>
      <c r="GB480" s="119"/>
      <c r="GC480" s="119"/>
      <c r="GD480" s="119"/>
      <c r="GE480" s="119"/>
      <c r="GF480" s="119"/>
      <c r="GG480" s="119"/>
      <c r="GH480" s="119"/>
      <c r="GI480" s="119"/>
      <c r="GJ480" s="119"/>
      <c r="GK480" s="119"/>
      <c r="GL480" s="119"/>
      <c r="GM480" s="119"/>
      <c r="GN480" s="119"/>
      <c r="GO480" s="119"/>
      <c r="GP480" s="119"/>
      <c r="GQ480" s="119"/>
      <c r="GR480" s="119"/>
      <c r="GS480" s="119"/>
      <c r="GT480" s="119"/>
      <c r="GU480" s="119"/>
      <c r="GV480" s="119"/>
      <c r="GW480" s="119"/>
      <c r="GX480" s="119"/>
      <c r="GY480" s="119"/>
      <c r="GZ480" s="119"/>
      <c r="HA480" s="119"/>
      <c r="HB480" s="119"/>
      <c r="HC480" s="119"/>
      <c r="HD480" s="119"/>
      <c r="HE480" s="119"/>
      <c r="HF480" s="119"/>
      <c r="HG480" s="119"/>
      <c r="HH480" s="119"/>
      <c r="HI480" s="119"/>
      <c r="HJ480" s="119"/>
      <c r="HK480" s="119"/>
      <c r="HL480" s="119"/>
      <c r="HM480" s="119"/>
      <c r="HN480" s="119"/>
      <c r="HO480" s="119"/>
      <c r="HP480" s="119"/>
      <c r="HQ480" s="119"/>
      <c r="HR480" s="119"/>
      <c r="HS480" s="119"/>
      <c r="HT480" s="119"/>
      <c r="HU480" s="119"/>
      <c r="HV480" s="119"/>
      <c r="HW480" s="119"/>
      <c r="HX480" s="119"/>
      <c r="HY480" s="119"/>
      <c r="HZ480" s="119"/>
      <c r="IA480" s="119"/>
      <c r="IB480" s="119"/>
      <c r="IC480" s="119"/>
      <c r="ID480" s="119"/>
      <c r="IE480" s="119"/>
      <c r="IF480" s="119"/>
      <c r="IG480" s="119"/>
      <c r="IH480" s="119"/>
      <c r="II480" s="119"/>
      <c r="IJ480" s="119"/>
      <c r="IK480" s="119"/>
      <c r="IL480" s="119"/>
      <c r="IM480" s="119"/>
      <c r="IN480" s="119"/>
      <c r="IO480" s="119"/>
      <c r="IP480" s="119"/>
      <c r="IQ480" s="119"/>
      <c r="IR480" s="119"/>
      <c r="IS480" s="119"/>
      <c r="IT480" s="119"/>
      <c r="IU480" s="119"/>
      <c r="IV480" s="119"/>
      <c r="IW480" s="119"/>
      <c r="IX480" s="119"/>
      <c r="IY480" s="119"/>
      <c r="IZ480" s="119"/>
      <c r="JA480" s="119"/>
      <c r="JB480" s="119"/>
      <c r="JC480" s="119"/>
      <c r="JD480" s="119"/>
      <c r="JE480" s="119"/>
      <c r="JF480" s="119"/>
      <c r="JG480" s="119"/>
      <c r="JH480" s="119"/>
      <c r="JI480" s="119"/>
      <c r="JJ480" s="119"/>
      <c r="JK480" s="119"/>
      <c r="JL480" s="119"/>
      <c r="JM480" s="119"/>
      <c r="JN480" s="119"/>
      <c r="JO480" s="119"/>
      <c r="JP480" s="119"/>
      <c r="JQ480" s="119"/>
      <c r="JR480" s="119"/>
      <c r="JS480" s="119"/>
      <c r="JT480" s="119"/>
      <c r="JU480" s="119"/>
      <c r="JV480" s="119"/>
      <c r="JW480" s="119"/>
      <c r="JX480" s="119"/>
      <c r="JY480" s="119"/>
      <c r="JZ480" s="119"/>
      <c r="KA480" s="119"/>
      <c r="KB480" s="119"/>
      <c r="KC480" s="119"/>
      <c r="KD480" s="119"/>
      <c r="KE480" s="119"/>
      <c r="KF480" s="119"/>
      <c r="KG480" s="119"/>
      <c r="KH480" s="119"/>
      <c r="KI480" s="119"/>
      <c r="KJ480" s="119"/>
      <c r="KK480" s="119"/>
      <c r="KL480" s="119"/>
      <c r="KM480" s="119"/>
      <c r="KN480" s="119"/>
      <c r="KO480" s="119"/>
      <c r="KP480" s="119"/>
      <c r="KQ480" s="119"/>
      <c r="KR480" s="119"/>
      <c r="KS480" s="119"/>
      <c r="KT480" s="119"/>
      <c r="KU480" s="119"/>
      <c r="KV480" s="119"/>
      <c r="KW480" s="119"/>
      <c r="KX480" s="119"/>
      <c r="KY480" s="119"/>
      <c r="KZ480" s="119"/>
      <c r="LA480" s="119"/>
      <c r="LB480" s="119"/>
      <c r="LC480" s="119"/>
      <c r="LD480" s="119"/>
      <c r="LE480" s="119"/>
      <c r="LF480" s="119"/>
      <c r="LG480" s="119"/>
      <c r="LH480" s="119"/>
      <c r="LI480" s="119"/>
      <c r="LJ480" s="119"/>
      <c r="LK480" s="119"/>
      <c r="LL480" s="119"/>
      <c r="LM480" s="119"/>
      <c r="LN480" s="119"/>
      <c r="LO480" s="119"/>
      <c r="LP480" s="119"/>
      <c r="LQ480" s="119"/>
      <c r="LR480" s="119"/>
      <c r="LS480" s="119"/>
      <c r="LT480" s="119"/>
      <c r="LU480" s="119"/>
      <c r="LV480" s="119"/>
      <c r="LW480" s="119"/>
      <c r="LX480" s="119"/>
      <c r="LY480" s="119"/>
      <c r="LZ480" s="119"/>
      <c r="MA480" s="119"/>
      <c r="MB480" s="119"/>
      <c r="MC480" s="119"/>
      <c r="MD480" s="119"/>
      <c r="ME480" s="119"/>
      <c r="MF480" s="119"/>
      <c r="MG480" s="119"/>
      <c r="MH480" s="119"/>
      <c r="MI480" s="119"/>
      <c r="MJ480" s="119"/>
      <c r="MK480" s="119"/>
      <c r="ML480" s="119"/>
      <c r="MM480" s="119"/>
      <c r="MN480" s="119"/>
      <c r="MO480" s="119"/>
      <c r="MP480" s="119"/>
      <c r="MQ480" s="119"/>
      <c r="MR480" s="119"/>
      <c r="MS480" s="119"/>
      <c r="MT480" s="119"/>
      <c r="MU480" s="119"/>
      <c r="MV480" s="119"/>
      <c r="MW480" s="119"/>
      <c r="MX480" s="119"/>
      <c r="MY480" s="119"/>
      <c r="MZ480" s="119"/>
    </row>
    <row r="481" spans="1:364" s="27" customFormat="1" x14ac:dyDescent="0.25">
      <c r="A481" s="122"/>
      <c r="B481" s="122"/>
      <c r="C481" s="126"/>
      <c r="D481" s="128"/>
      <c r="E481" s="109" t="s">
        <v>493</v>
      </c>
      <c r="F481" s="131"/>
      <c r="G481" s="131"/>
      <c r="H481" s="106" t="s">
        <v>438</v>
      </c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19"/>
      <c r="T481" s="119"/>
      <c r="U481" s="119"/>
      <c r="V481" s="119"/>
      <c r="W481" s="119"/>
      <c r="X481" s="119"/>
      <c r="Y481" s="119"/>
      <c r="Z481" s="119"/>
      <c r="AA481" s="119"/>
      <c r="AB481" s="119"/>
      <c r="AC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9"/>
      <c r="AT481" s="119"/>
      <c r="AU481" s="119"/>
      <c r="AV481" s="119"/>
      <c r="AW481" s="119"/>
      <c r="AX481" s="119"/>
      <c r="AY481" s="119"/>
      <c r="AZ481" s="119"/>
      <c r="BA481" s="119"/>
      <c r="BB481" s="119"/>
      <c r="BC481" s="119"/>
      <c r="BD481" s="119"/>
      <c r="BE481" s="119"/>
      <c r="BF481" s="119"/>
      <c r="BG481" s="119"/>
      <c r="BH481" s="119"/>
      <c r="BI481" s="119"/>
      <c r="BJ481" s="119"/>
      <c r="BK481" s="119"/>
      <c r="BL481" s="26"/>
      <c r="BM481" s="119"/>
      <c r="BN481" s="119"/>
      <c r="BO481" s="119"/>
      <c r="BP481" s="119"/>
      <c r="BQ481" s="119"/>
      <c r="BR481" s="119"/>
      <c r="BS481" s="119"/>
      <c r="BT481" s="119"/>
      <c r="BU481" s="119"/>
      <c r="BV481" s="119"/>
      <c r="BW481" s="119"/>
      <c r="BX481" s="119"/>
      <c r="BY481" s="119"/>
      <c r="BZ481" s="119"/>
      <c r="CA481" s="119"/>
      <c r="CB481" s="119"/>
      <c r="CC481" s="119"/>
      <c r="CD481" s="119"/>
      <c r="CE481" s="119"/>
      <c r="CF481" s="119"/>
      <c r="CG481" s="119"/>
      <c r="CH481" s="119"/>
      <c r="CI481" s="119"/>
      <c r="CJ481" s="119"/>
      <c r="CK481" s="119"/>
      <c r="CL481" s="119"/>
      <c r="CM481" s="119"/>
      <c r="CN481" s="119"/>
      <c r="CO481" s="119"/>
      <c r="CP481" s="119"/>
      <c r="CQ481" s="119"/>
      <c r="CR481" s="119"/>
      <c r="CS481" s="119"/>
      <c r="CT481" s="119"/>
      <c r="CU481" s="119"/>
      <c r="CV481" s="119"/>
      <c r="CW481" s="119"/>
      <c r="CX481" s="119"/>
      <c r="CY481" s="119"/>
      <c r="CZ481" s="119"/>
      <c r="DA481" s="119"/>
      <c r="DB481" s="119"/>
      <c r="DC481" s="119"/>
      <c r="DD481" s="119"/>
      <c r="DE481" s="119"/>
      <c r="DF481" s="119"/>
      <c r="DG481" s="119"/>
      <c r="DH481" s="119"/>
      <c r="DI481" s="119"/>
      <c r="DJ481" s="119"/>
      <c r="DK481" s="119"/>
      <c r="DL481" s="119"/>
      <c r="DM481" s="119"/>
      <c r="DN481" s="119"/>
      <c r="DO481" s="119"/>
      <c r="DP481" s="119"/>
      <c r="DQ481" s="119"/>
      <c r="DR481" s="119"/>
      <c r="DS481" s="119"/>
      <c r="DT481" s="119"/>
      <c r="DU481" s="119"/>
      <c r="DV481" s="119"/>
      <c r="DW481" s="119"/>
      <c r="DX481" s="119"/>
      <c r="DY481" s="119"/>
      <c r="DZ481" s="119"/>
      <c r="EA481" s="119"/>
      <c r="EB481" s="119"/>
      <c r="EC481" s="119"/>
      <c r="ED481" s="119"/>
      <c r="EE481" s="119"/>
      <c r="EF481" s="119"/>
      <c r="EG481" s="119"/>
      <c r="EH481" s="119"/>
      <c r="EI481" s="119"/>
      <c r="EJ481" s="119"/>
      <c r="EK481" s="119"/>
      <c r="EL481" s="119"/>
      <c r="EM481" s="119"/>
      <c r="EN481" s="119"/>
      <c r="EO481" s="119"/>
      <c r="EP481" s="119"/>
      <c r="EQ481" s="119"/>
      <c r="ER481" s="119"/>
      <c r="ES481" s="119"/>
      <c r="ET481" s="119"/>
      <c r="EU481" s="119"/>
      <c r="EV481" s="119"/>
      <c r="EW481" s="119"/>
      <c r="EX481" s="119"/>
      <c r="EY481" s="119"/>
      <c r="EZ481" s="119"/>
      <c r="FA481" s="119"/>
      <c r="FB481" s="119"/>
      <c r="FC481" s="119"/>
      <c r="FD481" s="119"/>
      <c r="FE481" s="119"/>
      <c r="FF481" s="119"/>
      <c r="FG481" s="119"/>
      <c r="FH481" s="119"/>
      <c r="FI481" s="119"/>
      <c r="FJ481" s="119"/>
      <c r="FK481" s="119"/>
      <c r="FL481" s="119"/>
      <c r="FM481" s="119"/>
      <c r="FN481" s="119"/>
      <c r="FO481" s="119"/>
      <c r="FP481" s="119"/>
      <c r="FQ481" s="119"/>
      <c r="FR481" s="119"/>
      <c r="FS481" s="119"/>
      <c r="FT481" s="119"/>
      <c r="FU481" s="119"/>
      <c r="FV481" s="119"/>
      <c r="FW481" s="119"/>
      <c r="FX481" s="119"/>
      <c r="FY481" s="119"/>
      <c r="FZ481" s="119"/>
      <c r="GA481" s="119"/>
      <c r="GB481" s="119"/>
      <c r="GC481" s="119"/>
      <c r="GD481" s="119"/>
      <c r="GE481" s="119"/>
      <c r="GF481" s="119"/>
      <c r="GG481" s="119"/>
      <c r="GH481" s="119"/>
      <c r="GI481" s="119"/>
      <c r="GJ481" s="119"/>
      <c r="GK481" s="119"/>
      <c r="GL481" s="119"/>
      <c r="GM481" s="119"/>
      <c r="GN481" s="119"/>
      <c r="GO481" s="119"/>
      <c r="GP481" s="119"/>
      <c r="GQ481" s="119"/>
      <c r="GR481" s="119"/>
      <c r="GS481" s="119"/>
      <c r="GT481" s="119"/>
      <c r="GU481" s="119"/>
      <c r="GV481" s="119"/>
      <c r="GW481" s="119"/>
      <c r="GX481" s="119"/>
      <c r="GY481" s="119"/>
      <c r="GZ481" s="119"/>
      <c r="HA481" s="119"/>
      <c r="HB481" s="119"/>
      <c r="HC481" s="119"/>
      <c r="HD481" s="119"/>
      <c r="HE481" s="119"/>
      <c r="HF481" s="119"/>
      <c r="HG481" s="119"/>
      <c r="HH481" s="119"/>
      <c r="HI481" s="119"/>
      <c r="HJ481" s="119"/>
      <c r="HK481" s="119"/>
      <c r="HL481" s="119"/>
      <c r="HM481" s="119"/>
      <c r="HN481" s="119"/>
      <c r="HO481" s="119"/>
      <c r="HP481" s="119"/>
      <c r="HQ481" s="119"/>
      <c r="HR481" s="119"/>
      <c r="HS481" s="119"/>
      <c r="HT481" s="119"/>
      <c r="HU481" s="119"/>
      <c r="HV481" s="119"/>
      <c r="HW481" s="119"/>
      <c r="HX481" s="119"/>
      <c r="HY481" s="119"/>
      <c r="HZ481" s="119"/>
      <c r="IA481" s="119"/>
      <c r="IB481" s="119"/>
      <c r="IC481" s="119"/>
      <c r="ID481" s="119"/>
      <c r="IE481" s="119"/>
      <c r="IF481" s="119"/>
      <c r="IG481" s="119"/>
      <c r="IH481" s="119"/>
      <c r="II481" s="119"/>
      <c r="IJ481" s="119"/>
      <c r="IK481" s="119"/>
      <c r="IL481" s="119"/>
      <c r="IM481" s="119"/>
      <c r="IN481" s="119"/>
      <c r="IO481" s="119"/>
      <c r="IP481" s="119"/>
      <c r="IQ481" s="119"/>
      <c r="IR481" s="119"/>
      <c r="IS481" s="119"/>
      <c r="IT481" s="119"/>
      <c r="IU481" s="119"/>
      <c r="IV481" s="119"/>
      <c r="IW481" s="119"/>
      <c r="IX481" s="119"/>
      <c r="IY481" s="119"/>
      <c r="IZ481" s="119"/>
      <c r="JA481" s="119"/>
      <c r="JB481" s="119"/>
      <c r="JC481" s="119"/>
      <c r="JD481" s="119"/>
      <c r="JE481" s="119"/>
      <c r="JF481" s="119"/>
      <c r="JG481" s="119"/>
      <c r="JH481" s="119"/>
      <c r="JI481" s="119"/>
      <c r="JJ481" s="119"/>
      <c r="JK481" s="119"/>
      <c r="JL481" s="119"/>
      <c r="JM481" s="119"/>
      <c r="JN481" s="119"/>
      <c r="JO481" s="119"/>
      <c r="JP481" s="119"/>
      <c r="JQ481" s="119"/>
      <c r="JR481" s="119"/>
      <c r="JS481" s="119"/>
      <c r="JT481" s="119"/>
      <c r="JU481" s="119"/>
      <c r="JV481" s="119"/>
      <c r="JW481" s="119"/>
      <c r="JX481" s="119"/>
      <c r="JY481" s="119"/>
      <c r="JZ481" s="119"/>
      <c r="KA481" s="119"/>
      <c r="KB481" s="119"/>
      <c r="KC481" s="119"/>
      <c r="KD481" s="119"/>
      <c r="KE481" s="119"/>
      <c r="KF481" s="119"/>
      <c r="KG481" s="119"/>
      <c r="KH481" s="119"/>
      <c r="KI481" s="119"/>
      <c r="KJ481" s="119"/>
      <c r="KK481" s="119"/>
      <c r="KL481" s="119"/>
      <c r="KM481" s="119"/>
      <c r="KN481" s="119"/>
      <c r="KO481" s="119"/>
      <c r="KP481" s="119"/>
      <c r="KQ481" s="119"/>
      <c r="KR481" s="119"/>
      <c r="KS481" s="119"/>
      <c r="KT481" s="119"/>
      <c r="KU481" s="119"/>
      <c r="KV481" s="119"/>
      <c r="KW481" s="119"/>
      <c r="KX481" s="119"/>
      <c r="KY481" s="119"/>
      <c r="KZ481" s="119"/>
      <c r="LA481" s="119"/>
      <c r="LB481" s="119"/>
      <c r="LC481" s="119"/>
      <c r="LD481" s="119"/>
      <c r="LE481" s="119"/>
      <c r="LF481" s="119"/>
      <c r="LG481" s="119"/>
      <c r="LH481" s="119"/>
      <c r="LI481" s="119"/>
      <c r="LJ481" s="119"/>
      <c r="LK481" s="119"/>
      <c r="LL481" s="119"/>
      <c r="LM481" s="119"/>
      <c r="LN481" s="119"/>
      <c r="LO481" s="119"/>
      <c r="LP481" s="119"/>
      <c r="LQ481" s="119"/>
      <c r="LR481" s="119"/>
      <c r="LS481" s="119"/>
      <c r="LT481" s="119"/>
      <c r="LU481" s="119"/>
      <c r="LV481" s="119"/>
      <c r="LW481" s="119"/>
      <c r="LX481" s="119"/>
      <c r="LY481" s="119"/>
      <c r="LZ481" s="119"/>
      <c r="MA481" s="119"/>
      <c r="MB481" s="119"/>
      <c r="MC481" s="119"/>
      <c r="MD481" s="119"/>
      <c r="ME481" s="119"/>
      <c r="MF481" s="119"/>
      <c r="MG481" s="119"/>
      <c r="MH481" s="119"/>
      <c r="MI481" s="119"/>
      <c r="MJ481" s="119"/>
      <c r="MK481" s="119"/>
      <c r="ML481" s="119"/>
      <c r="MM481" s="119"/>
      <c r="MN481" s="119"/>
      <c r="MO481" s="119"/>
      <c r="MP481" s="119"/>
      <c r="MQ481" s="119"/>
      <c r="MR481" s="119"/>
      <c r="MS481" s="119"/>
      <c r="MT481" s="119"/>
      <c r="MU481" s="119"/>
      <c r="MV481" s="119"/>
      <c r="MW481" s="119"/>
      <c r="MX481" s="119"/>
      <c r="MY481" s="119"/>
      <c r="MZ481" s="119"/>
    </row>
    <row r="482" spans="1:364" s="27" customFormat="1" x14ac:dyDescent="0.25">
      <c r="A482" s="123"/>
      <c r="B482" s="123"/>
      <c r="C482" s="126"/>
      <c r="D482" s="129"/>
      <c r="E482" s="109"/>
      <c r="F482" s="131"/>
      <c r="G482" s="132"/>
      <c r="H482" s="114" t="s">
        <v>149</v>
      </c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19"/>
      <c r="T482" s="119"/>
      <c r="U482" s="119"/>
      <c r="V482" s="119"/>
      <c r="W482" s="119"/>
      <c r="X482" s="119"/>
      <c r="Y482" s="119"/>
      <c r="Z482" s="119"/>
      <c r="AA482" s="119"/>
      <c r="AB482" s="119"/>
      <c r="AC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9"/>
      <c r="AT482" s="119"/>
      <c r="AU482" s="119"/>
      <c r="AV482" s="119"/>
      <c r="AW482" s="119"/>
      <c r="AX482" s="119"/>
      <c r="AY482" s="119"/>
      <c r="AZ482" s="119"/>
      <c r="BA482" s="119"/>
      <c r="BB482" s="119"/>
      <c r="BC482" s="119"/>
      <c r="BD482" s="119"/>
      <c r="BE482" s="119"/>
      <c r="BF482" s="119"/>
      <c r="BG482" s="119"/>
      <c r="BH482" s="119"/>
      <c r="BI482" s="119"/>
      <c r="BJ482" s="119"/>
      <c r="BK482" s="119"/>
      <c r="BL482" s="26"/>
      <c r="BM482" s="119"/>
      <c r="BN482" s="119"/>
      <c r="BO482" s="119"/>
      <c r="BP482" s="119"/>
      <c r="BQ482" s="119"/>
      <c r="BR482" s="119"/>
      <c r="BS482" s="119"/>
      <c r="BT482" s="119"/>
      <c r="BU482" s="119"/>
      <c r="BV482" s="119"/>
      <c r="BW482" s="119"/>
      <c r="BX482" s="119"/>
      <c r="BY482" s="119"/>
      <c r="BZ482" s="119"/>
      <c r="CA482" s="119"/>
      <c r="CB482" s="119"/>
      <c r="CC482" s="119"/>
      <c r="CD482" s="119"/>
      <c r="CE482" s="119"/>
      <c r="CF482" s="119"/>
      <c r="CG482" s="119"/>
      <c r="CH482" s="119"/>
      <c r="CI482" s="119"/>
      <c r="CJ482" s="119"/>
      <c r="CK482" s="119"/>
      <c r="CL482" s="119"/>
      <c r="CM482" s="119"/>
      <c r="CN482" s="119"/>
      <c r="CO482" s="119"/>
      <c r="CP482" s="119"/>
      <c r="CQ482" s="119"/>
      <c r="CR482" s="119"/>
      <c r="CS482" s="119"/>
      <c r="CT482" s="119"/>
      <c r="CU482" s="119"/>
      <c r="CV482" s="119"/>
      <c r="CW482" s="119"/>
      <c r="CX482" s="119"/>
      <c r="CY482" s="119"/>
      <c r="CZ482" s="119"/>
      <c r="DA482" s="119"/>
      <c r="DB482" s="119"/>
      <c r="DC482" s="119"/>
      <c r="DD482" s="119"/>
      <c r="DE482" s="119"/>
      <c r="DF482" s="119"/>
      <c r="DG482" s="119"/>
      <c r="DH482" s="119"/>
      <c r="DI482" s="119"/>
      <c r="DJ482" s="119"/>
      <c r="DK482" s="119"/>
      <c r="DL482" s="119"/>
      <c r="DM482" s="119"/>
      <c r="DN482" s="119"/>
      <c r="DO482" s="119"/>
      <c r="DP482" s="119"/>
      <c r="DQ482" s="119"/>
      <c r="DR482" s="119"/>
      <c r="DS482" s="119"/>
      <c r="DT482" s="119"/>
      <c r="DU482" s="119"/>
      <c r="DV482" s="119"/>
      <c r="DW482" s="119"/>
      <c r="DX482" s="119"/>
      <c r="DY482" s="119"/>
      <c r="DZ482" s="119"/>
      <c r="EA482" s="119"/>
      <c r="EB482" s="119"/>
      <c r="EC482" s="119"/>
      <c r="ED482" s="119"/>
      <c r="EE482" s="119"/>
      <c r="EF482" s="119"/>
      <c r="EG482" s="119"/>
      <c r="EH482" s="119"/>
      <c r="EI482" s="119"/>
      <c r="EJ482" s="119"/>
      <c r="EK482" s="119"/>
      <c r="EL482" s="119"/>
      <c r="EM482" s="119"/>
      <c r="EN482" s="119"/>
      <c r="EO482" s="119"/>
      <c r="EP482" s="119"/>
      <c r="EQ482" s="119"/>
      <c r="ER482" s="119"/>
      <c r="ES482" s="119"/>
      <c r="ET482" s="119"/>
      <c r="EU482" s="119"/>
      <c r="EV482" s="119"/>
      <c r="EW482" s="119"/>
      <c r="EX482" s="119"/>
      <c r="EY482" s="119"/>
      <c r="EZ482" s="119"/>
      <c r="FA482" s="119"/>
      <c r="FB482" s="119"/>
      <c r="FC482" s="119"/>
      <c r="FD482" s="119"/>
      <c r="FE482" s="119"/>
      <c r="FF482" s="119"/>
      <c r="FG482" s="119"/>
      <c r="FH482" s="119"/>
      <c r="FI482" s="119"/>
      <c r="FJ482" s="119"/>
      <c r="FK482" s="119"/>
      <c r="FL482" s="119"/>
      <c r="FM482" s="119"/>
      <c r="FN482" s="119"/>
      <c r="FO482" s="119"/>
      <c r="FP482" s="119"/>
      <c r="FQ482" s="119"/>
      <c r="FR482" s="119"/>
      <c r="FS482" s="119"/>
      <c r="FT482" s="119"/>
      <c r="FU482" s="119"/>
      <c r="FV482" s="119"/>
      <c r="FW482" s="119"/>
      <c r="FX482" s="119"/>
      <c r="FY482" s="119"/>
      <c r="FZ482" s="119"/>
      <c r="GA482" s="119"/>
      <c r="GB482" s="119"/>
      <c r="GC482" s="119"/>
      <c r="GD482" s="119"/>
      <c r="GE482" s="119"/>
      <c r="GF482" s="119"/>
      <c r="GG482" s="119"/>
      <c r="GH482" s="119"/>
      <c r="GI482" s="119"/>
      <c r="GJ482" s="119"/>
      <c r="GK482" s="119"/>
      <c r="GL482" s="119"/>
      <c r="GM482" s="119"/>
      <c r="GN482" s="119"/>
      <c r="GO482" s="119"/>
      <c r="GP482" s="119"/>
      <c r="GQ482" s="119"/>
      <c r="GR482" s="119"/>
      <c r="GS482" s="119"/>
      <c r="GT482" s="119"/>
      <c r="GU482" s="119"/>
      <c r="GV482" s="119"/>
      <c r="GW482" s="119"/>
      <c r="GX482" s="119"/>
      <c r="GY482" s="119"/>
      <c r="GZ482" s="119"/>
      <c r="HA482" s="119"/>
      <c r="HB482" s="119"/>
      <c r="HC482" s="119"/>
      <c r="HD482" s="119"/>
      <c r="HE482" s="119"/>
      <c r="HF482" s="119"/>
      <c r="HG482" s="119"/>
      <c r="HH482" s="119"/>
      <c r="HI482" s="119"/>
      <c r="HJ482" s="119"/>
      <c r="HK482" s="119"/>
      <c r="HL482" s="119"/>
      <c r="HM482" s="119"/>
      <c r="HN482" s="119"/>
      <c r="HO482" s="119"/>
      <c r="HP482" s="119"/>
      <c r="HQ482" s="119"/>
      <c r="HR482" s="119"/>
      <c r="HS482" s="119"/>
      <c r="HT482" s="119"/>
      <c r="HU482" s="119"/>
      <c r="HV482" s="119"/>
      <c r="HW482" s="119"/>
      <c r="HX482" s="119"/>
      <c r="HY482" s="119"/>
      <c r="HZ482" s="119"/>
      <c r="IA482" s="119"/>
      <c r="IB482" s="119"/>
      <c r="IC482" s="119"/>
      <c r="ID482" s="119"/>
      <c r="IE482" s="119"/>
      <c r="IF482" s="119"/>
      <c r="IG482" s="119"/>
      <c r="IH482" s="119"/>
      <c r="II482" s="119"/>
      <c r="IJ482" s="119"/>
      <c r="IK482" s="119"/>
      <c r="IL482" s="119"/>
      <c r="IM482" s="119"/>
      <c r="IN482" s="119"/>
      <c r="IO482" s="119"/>
      <c r="IP482" s="119"/>
      <c r="IQ482" s="119"/>
      <c r="IR482" s="119"/>
      <c r="IS482" s="119"/>
      <c r="IT482" s="119"/>
      <c r="IU482" s="119"/>
      <c r="IV482" s="119"/>
      <c r="IW482" s="119"/>
      <c r="IX482" s="119"/>
      <c r="IY482" s="119"/>
      <c r="IZ482" s="119"/>
      <c r="JA482" s="119"/>
      <c r="JB482" s="119"/>
      <c r="JC482" s="119"/>
      <c r="JD482" s="119"/>
      <c r="JE482" s="119"/>
      <c r="JF482" s="119"/>
      <c r="JG482" s="119"/>
      <c r="JH482" s="119"/>
      <c r="JI482" s="119"/>
      <c r="JJ482" s="119"/>
      <c r="JK482" s="119"/>
      <c r="JL482" s="119"/>
      <c r="JM482" s="119"/>
      <c r="JN482" s="119"/>
      <c r="JO482" s="119"/>
      <c r="JP482" s="119"/>
      <c r="JQ482" s="119"/>
      <c r="JR482" s="119"/>
      <c r="JS482" s="119"/>
      <c r="JT482" s="119"/>
      <c r="JU482" s="119"/>
      <c r="JV482" s="119"/>
      <c r="JW482" s="119"/>
      <c r="JX482" s="119"/>
      <c r="JY482" s="119"/>
      <c r="JZ482" s="119"/>
      <c r="KA482" s="119"/>
      <c r="KB482" s="119"/>
      <c r="KC482" s="119"/>
      <c r="KD482" s="119"/>
      <c r="KE482" s="119"/>
      <c r="KF482" s="119"/>
      <c r="KG482" s="119"/>
      <c r="KH482" s="119"/>
      <c r="KI482" s="119"/>
      <c r="KJ482" s="119"/>
      <c r="KK482" s="119"/>
      <c r="KL482" s="119"/>
      <c r="KM482" s="119"/>
      <c r="KN482" s="119"/>
      <c r="KO482" s="119"/>
      <c r="KP482" s="119"/>
      <c r="KQ482" s="119"/>
      <c r="KR482" s="119"/>
      <c r="KS482" s="119"/>
      <c r="KT482" s="119"/>
      <c r="KU482" s="119"/>
      <c r="KV482" s="119"/>
      <c r="KW482" s="119"/>
      <c r="KX482" s="119"/>
      <c r="KY482" s="119"/>
      <c r="KZ482" s="119"/>
      <c r="LA482" s="119"/>
      <c r="LB482" s="119"/>
      <c r="LC482" s="119"/>
      <c r="LD482" s="119"/>
      <c r="LE482" s="119"/>
      <c r="LF482" s="119"/>
      <c r="LG482" s="119"/>
      <c r="LH482" s="119"/>
      <c r="LI482" s="119"/>
      <c r="LJ482" s="119"/>
      <c r="LK482" s="119"/>
      <c r="LL482" s="119"/>
      <c r="LM482" s="119"/>
      <c r="LN482" s="119"/>
      <c r="LO482" s="119"/>
      <c r="LP482" s="119"/>
      <c r="LQ482" s="119"/>
      <c r="LR482" s="119"/>
      <c r="LS482" s="119"/>
      <c r="LT482" s="119"/>
      <c r="LU482" s="119"/>
      <c r="LV482" s="119"/>
      <c r="LW482" s="119"/>
      <c r="LX482" s="119"/>
      <c r="LY482" s="119"/>
      <c r="LZ482" s="119"/>
      <c r="MA482" s="119"/>
      <c r="MB482" s="119"/>
      <c r="MC482" s="119"/>
      <c r="MD482" s="119"/>
      <c r="ME482" s="119"/>
      <c r="MF482" s="119"/>
      <c r="MG482" s="119"/>
      <c r="MH482" s="119"/>
      <c r="MI482" s="119"/>
      <c r="MJ482" s="119"/>
      <c r="MK482" s="119"/>
      <c r="ML482" s="119"/>
      <c r="MM482" s="119"/>
      <c r="MN482" s="119"/>
      <c r="MO482" s="119"/>
      <c r="MP482" s="119"/>
      <c r="MQ482" s="119"/>
      <c r="MR482" s="119"/>
      <c r="MS482" s="119"/>
      <c r="MT482" s="119"/>
      <c r="MU482" s="119"/>
      <c r="MV482" s="119"/>
      <c r="MW482" s="119"/>
      <c r="MX482" s="119"/>
      <c r="MY482" s="119"/>
      <c r="MZ482" s="119"/>
    </row>
    <row r="483" spans="1:364" s="27" customFormat="1" x14ac:dyDescent="0.25">
      <c r="A483" s="121"/>
      <c r="B483" s="124" t="e">
        <f>VLOOKUP(A483,Rules!$B$8:$C$154,2,0)</f>
        <v>#N/A</v>
      </c>
      <c r="C483" s="125">
        <f t="shared" ref="C483" si="20">SUM(I484:XX484)</f>
        <v>0</v>
      </c>
      <c r="D483" s="127"/>
      <c r="E483" s="110" t="s">
        <v>492</v>
      </c>
      <c r="F483" s="130" t="e">
        <f>VLOOKUP(A483,Table2[],10,0)</f>
        <v>#N/A</v>
      </c>
      <c r="G483" s="130"/>
      <c r="H483" s="113" t="s">
        <v>440</v>
      </c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9"/>
      <c r="T483" s="119"/>
      <c r="U483" s="119"/>
      <c r="V483" s="119"/>
      <c r="W483" s="119"/>
      <c r="X483" s="119"/>
      <c r="Y483" s="119"/>
      <c r="Z483" s="119"/>
      <c r="AA483" s="119"/>
      <c r="AB483" s="119"/>
      <c r="AC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9"/>
      <c r="AT483" s="119"/>
      <c r="AU483" s="119"/>
      <c r="AV483" s="119"/>
      <c r="AW483" s="119"/>
      <c r="AX483" s="119"/>
      <c r="AY483" s="119"/>
      <c r="AZ483" s="119"/>
      <c r="BA483" s="119"/>
      <c r="BB483" s="119"/>
      <c r="BC483" s="119"/>
      <c r="BD483" s="119"/>
      <c r="BE483" s="119"/>
      <c r="BF483" s="119"/>
      <c r="BG483" s="119"/>
      <c r="BH483" s="119"/>
      <c r="BI483" s="119"/>
      <c r="BJ483" s="119"/>
      <c r="BK483" s="119"/>
      <c r="BL483" s="26"/>
      <c r="BM483" s="119"/>
      <c r="BN483" s="26"/>
      <c r="BO483" s="119"/>
      <c r="BP483" s="119"/>
      <c r="BQ483" s="119"/>
      <c r="BR483" s="119"/>
      <c r="BS483" s="119"/>
      <c r="BT483" s="119"/>
      <c r="BU483" s="119"/>
      <c r="BV483" s="119"/>
      <c r="BW483" s="119"/>
      <c r="BX483" s="119"/>
      <c r="BY483" s="119"/>
      <c r="BZ483" s="119"/>
      <c r="CA483" s="119"/>
      <c r="CB483" s="119"/>
      <c r="CC483" s="119"/>
      <c r="CD483" s="119"/>
      <c r="CE483" s="119"/>
      <c r="CF483" s="119"/>
      <c r="CG483" s="119"/>
      <c r="CH483" s="119"/>
      <c r="CI483" s="119"/>
      <c r="CJ483" s="119"/>
      <c r="CK483" s="119"/>
      <c r="CL483" s="119"/>
      <c r="CM483" s="119"/>
      <c r="CN483" s="119"/>
      <c r="CO483" s="119"/>
      <c r="CP483" s="119"/>
      <c r="CQ483" s="119"/>
      <c r="CR483" s="119"/>
      <c r="CS483" s="119"/>
      <c r="CT483" s="119"/>
      <c r="CU483" s="119"/>
      <c r="CV483" s="119"/>
      <c r="CW483" s="119"/>
      <c r="CX483" s="119"/>
      <c r="CY483" s="119"/>
      <c r="CZ483" s="119"/>
      <c r="DA483" s="119"/>
      <c r="DB483" s="119"/>
      <c r="DC483" s="119"/>
      <c r="DD483" s="119"/>
      <c r="DE483" s="119"/>
      <c r="DF483" s="119"/>
      <c r="DG483" s="119"/>
      <c r="DH483" s="119"/>
      <c r="DI483" s="119"/>
      <c r="DJ483" s="119"/>
      <c r="DK483" s="119"/>
      <c r="DL483" s="119"/>
      <c r="DM483" s="119"/>
      <c r="DN483" s="119"/>
      <c r="DO483" s="119"/>
      <c r="DP483" s="119"/>
      <c r="DQ483" s="119"/>
      <c r="DR483" s="119"/>
      <c r="DS483" s="119"/>
      <c r="DT483" s="119"/>
      <c r="DU483" s="119"/>
      <c r="DV483" s="119"/>
      <c r="DW483" s="119"/>
      <c r="DX483" s="119"/>
      <c r="DY483" s="119"/>
      <c r="DZ483" s="119"/>
      <c r="EA483" s="119"/>
      <c r="EB483" s="119"/>
      <c r="EC483" s="119"/>
      <c r="ED483" s="119"/>
      <c r="EE483" s="119"/>
      <c r="EF483" s="119"/>
      <c r="EG483" s="119"/>
      <c r="EH483" s="119"/>
      <c r="EI483" s="119"/>
      <c r="EJ483" s="119"/>
      <c r="EK483" s="119"/>
      <c r="EL483" s="119"/>
      <c r="EM483" s="119"/>
      <c r="EN483" s="119"/>
      <c r="EO483" s="119"/>
      <c r="EP483" s="119"/>
      <c r="EQ483" s="119"/>
      <c r="ER483" s="119"/>
      <c r="ES483" s="119"/>
      <c r="ET483" s="119"/>
      <c r="EU483" s="119"/>
      <c r="EV483" s="119"/>
      <c r="EW483" s="119"/>
      <c r="EX483" s="119"/>
      <c r="EY483" s="119"/>
      <c r="EZ483" s="119"/>
      <c r="FA483" s="119"/>
      <c r="FB483" s="119"/>
      <c r="FC483" s="119"/>
      <c r="FD483" s="119"/>
      <c r="FE483" s="119"/>
      <c r="FF483" s="119"/>
      <c r="FG483" s="119"/>
      <c r="FH483" s="119"/>
      <c r="FI483" s="119"/>
      <c r="FJ483" s="119"/>
      <c r="FK483" s="119"/>
      <c r="FL483" s="119"/>
      <c r="FM483" s="119"/>
      <c r="FN483" s="119"/>
      <c r="FO483" s="119"/>
      <c r="FP483" s="119"/>
      <c r="FQ483" s="119"/>
      <c r="FR483" s="119"/>
      <c r="FS483" s="119"/>
      <c r="FT483" s="119"/>
      <c r="FU483" s="119"/>
      <c r="FV483" s="119"/>
      <c r="FW483" s="119"/>
      <c r="FX483" s="119"/>
      <c r="FY483" s="119"/>
      <c r="FZ483" s="119"/>
      <c r="GA483" s="119"/>
      <c r="GB483" s="119"/>
      <c r="GC483" s="119"/>
      <c r="GD483" s="119"/>
      <c r="GE483" s="119"/>
      <c r="GF483" s="119"/>
      <c r="GG483" s="119"/>
      <c r="GH483" s="119"/>
      <c r="GI483" s="119"/>
      <c r="GJ483" s="119"/>
      <c r="GK483" s="119"/>
      <c r="GL483" s="119"/>
      <c r="GM483" s="119"/>
      <c r="GN483" s="119"/>
      <c r="GO483" s="119"/>
      <c r="GP483" s="119"/>
      <c r="GQ483" s="119"/>
      <c r="GR483" s="119"/>
      <c r="GS483" s="119"/>
      <c r="GT483" s="119"/>
      <c r="GU483" s="119"/>
      <c r="GV483" s="119"/>
      <c r="GW483" s="119"/>
      <c r="GX483" s="119"/>
      <c r="GY483" s="119"/>
      <c r="GZ483" s="119"/>
      <c r="HA483" s="119"/>
      <c r="HB483" s="119"/>
      <c r="HC483" s="119"/>
      <c r="HD483" s="119"/>
      <c r="HE483" s="119"/>
      <c r="HF483" s="119"/>
      <c r="HG483" s="119"/>
      <c r="HH483" s="119"/>
      <c r="HI483" s="119"/>
      <c r="HJ483" s="119"/>
      <c r="HK483" s="119"/>
      <c r="HL483" s="119"/>
      <c r="HM483" s="119"/>
      <c r="HN483" s="119"/>
      <c r="HO483" s="119"/>
      <c r="HP483" s="119"/>
      <c r="HQ483" s="119"/>
      <c r="HR483" s="119"/>
      <c r="HS483" s="119"/>
      <c r="HT483" s="119"/>
      <c r="HU483" s="119"/>
      <c r="HV483" s="119"/>
      <c r="HW483" s="119"/>
      <c r="HX483" s="119"/>
      <c r="HY483" s="119"/>
      <c r="HZ483" s="119"/>
      <c r="IA483" s="119"/>
      <c r="IB483" s="119"/>
      <c r="IC483" s="119"/>
      <c r="ID483" s="119"/>
      <c r="IE483" s="119"/>
      <c r="IF483" s="119"/>
      <c r="IG483" s="119"/>
      <c r="IH483" s="119"/>
      <c r="II483" s="119"/>
      <c r="IJ483" s="119"/>
      <c r="IK483" s="119"/>
      <c r="IL483" s="119"/>
      <c r="IM483" s="119"/>
      <c r="IN483" s="119"/>
      <c r="IO483" s="119"/>
      <c r="IP483" s="119"/>
      <c r="IQ483" s="119"/>
      <c r="IR483" s="119"/>
      <c r="IS483" s="119"/>
      <c r="IT483" s="119"/>
      <c r="IU483" s="119"/>
      <c r="IV483" s="119"/>
      <c r="IW483" s="119"/>
      <c r="IX483" s="119"/>
      <c r="IY483" s="119"/>
      <c r="IZ483" s="119"/>
      <c r="JA483" s="119"/>
      <c r="JB483" s="119"/>
      <c r="JC483" s="119"/>
      <c r="JD483" s="119"/>
      <c r="JE483" s="119"/>
      <c r="JF483" s="119"/>
      <c r="JG483" s="119"/>
      <c r="JH483" s="119"/>
      <c r="JI483" s="119"/>
      <c r="JJ483" s="119"/>
      <c r="JK483" s="119"/>
      <c r="JL483" s="119"/>
      <c r="JM483" s="119"/>
      <c r="JN483" s="119"/>
      <c r="JO483" s="119"/>
      <c r="JP483" s="119"/>
      <c r="JQ483" s="119"/>
      <c r="JR483" s="119"/>
      <c r="JS483" s="119"/>
      <c r="JT483" s="119"/>
      <c r="JU483" s="119"/>
      <c r="JV483" s="119"/>
      <c r="JW483" s="119"/>
      <c r="JX483" s="119"/>
      <c r="JY483" s="119"/>
      <c r="JZ483" s="119"/>
      <c r="KA483" s="119"/>
      <c r="KB483" s="119"/>
      <c r="KC483" s="119"/>
      <c r="KD483" s="119"/>
      <c r="KE483" s="119"/>
      <c r="KF483" s="119"/>
      <c r="KG483" s="119"/>
      <c r="KH483" s="119"/>
      <c r="KI483" s="119"/>
      <c r="KJ483" s="119"/>
      <c r="KK483" s="119"/>
      <c r="KL483" s="119"/>
      <c r="KM483" s="119"/>
      <c r="KN483" s="119"/>
      <c r="KO483" s="119"/>
      <c r="KP483" s="119"/>
      <c r="KQ483" s="119"/>
      <c r="KR483" s="119"/>
      <c r="KS483" s="119"/>
      <c r="KT483" s="119"/>
      <c r="KU483" s="119"/>
      <c r="KV483" s="119"/>
      <c r="KW483" s="119"/>
      <c r="KX483" s="119"/>
      <c r="KY483" s="119"/>
      <c r="KZ483" s="119"/>
      <c r="LA483" s="119"/>
      <c r="LB483" s="119"/>
      <c r="LC483" s="119"/>
      <c r="LD483" s="119"/>
      <c r="LE483" s="119"/>
      <c r="LF483" s="119"/>
      <c r="LG483" s="119"/>
      <c r="LH483" s="119"/>
      <c r="LI483" s="119"/>
      <c r="LJ483" s="119"/>
      <c r="LK483" s="119"/>
      <c r="LL483" s="119"/>
      <c r="LM483" s="119"/>
      <c r="LN483" s="119"/>
      <c r="LO483" s="119"/>
      <c r="LP483" s="119"/>
      <c r="LQ483" s="119"/>
      <c r="LR483" s="119"/>
      <c r="LS483" s="119"/>
      <c r="LT483" s="119"/>
      <c r="LU483" s="119"/>
      <c r="LV483" s="119"/>
      <c r="LW483" s="119"/>
      <c r="LX483" s="119"/>
      <c r="LY483" s="119"/>
      <c r="LZ483" s="119"/>
      <c r="MA483" s="119"/>
      <c r="MB483" s="119"/>
      <c r="MC483" s="119"/>
      <c r="MD483" s="119"/>
      <c r="ME483" s="119"/>
      <c r="MF483" s="119"/>
      <c r="MG483" s="119"/>
      <c r="MH483" s="119"/>
      <c r="MI483" s="119"/>
      <c r="MJ483" s="119"/>
      <c r="MK483" s="119"/>
      <c r="ML483" s="119"/>
      <c r="MM483" s="119"/>
      <c r="MN483" s="119"/>
      <c r="MO483" s="119"/>
      <c r="MP483" s="119"/>
      <c r="MQ483" s="119"/>
      <c r="MR483" s="119"/>
      <c r="MS483" s="119"/>
      <c r="MT483" s="119"/>
      <c r="MU483" s="119"/>
      <c r="MV483" s="119"/>
      <c r="MW483" s="119"/>
      <c r="MX483" s="119"/>
      <c r="MY483" s="119"/>
      <c r="MZ483" s="119"/>
    </row>
    <row r="484" spans="1:364" s="27" customFormat="1" x14ac:dyDescent="0.25">
      <c r="A484" s="122"/>
      <c r="B484" s="122"/>
      <c r="C484" s="126"/>
      <c r="D484" s="128"/>
      <c r="E484" s="109"/>
      <c r="F484" s="131"/>
      <c r="G484" s="131"/>
      <c r="H484" s="105" t="s">
        <v>439</v>
      </c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9"/>
      <c r="T484" s="119"/>
      <c r="U484" s="119"/>
      <c r="V484" s="119"/>
      <c r="W484" s="119"/>
      <c r="X484" s="119"/>
      <c r="Y484" s="119"/>
      <c r="Z484" s="119"/>
      <c r="AA484" s="119"/>
      <c r="AB484" s="119"/>
      <c r="AC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9"/>
      <c r="AT484" s="119"/>
      <c r="AU484" s="119"/>
      <c r="AV484" s="119"/>
      <c r="AW484" s="119"/>
      <c r="AX484" s="119"/>
      <c r="AY484" s="119"/>
      <c r="AZ484" s="119"/>
      <c r="BA484" s="119"/>
      <c r="BB484" s="119"/>
      <c r="BC484" s="119"/>
      <c r="BD484" s="119"/>
      <c r="BE484" s="119"/>
      <c r="BF484" s="119"/>
      <c r="BG484" s="119"/>
      <c r="BH484" s="119"/>
      <c r="BI484" s="119"/>
      <c r="BJ484" s="119"/>
      <c r="BK484" s="119"/>
      <c r="BL484" s="26"/>
      <c r="BM484" s="119"/>
      <c r="BN484" s="26"/>
      <c r="BO484" s="119"/>
      <c r="BP484" s="119"/>
      <c r="BQ484" s="119"/>
      <c r="BR484" s="119"/>
      <c r="BS484" s="119"/>
      <c r="BT484" s="119"/>
      <c r="BU484" s="119"/>
      <c r="BV484" s="119"/>
      <c r="BW484" s="119"/>
      <c r="BX484" s="119"/>
      <c r="BY484" s="119"/>
      <c r="BZ484" s="119"/>
      <c r="CA484" s="119"/>
      <c r="CB484" s="119"/>
      <c r="CC484" s="119"/>
      <c r="CD484" s="119"/>
      <c r="CE484" s="119"/>
      <c r="CF484" s="119"/>
      <c r="CG484" s="119"/>
      <c r="CH484" s="119"/>
      <c r="CI484" s="119"/>
      <c r="CJ484" s="119"/>
      <c r="CK484" s="119"/>
      <c r="CL484" s="119"/>
      <c r="CM484" s="119"/>
      <c r="CN484" s="119"/>
      <c r="CO484" s="119"/>
      <c r="CP484" s="119"/>
      <c r="CQ484" s="119"/>
      <c r="CR484" s="119"/>
      <c r="CS484" s="119"/>
      <c r="CT484" s="119"/>
      <c r="CU484" s="119"/>
      <c r="CV484" s="119"/>
      <c r="CW484" s="119"/>
      <c r="CX484" s="119"/>
      <c r="CY484" s="119"/>
      <c r="CZ484" s="119"/>
      <c r="DA484" s="119"/>
      <c r="DB484" s="119"/>
      <c r="DC484" s="119"/>
      <c r="DD484" s="119"/>
      <c r="DE484" s="119"/>
      <c r="DF484" s="119"/>
      <c r="DG484" s="119"/>
      <c r="DH484" s="119"/>
      <c r="DI484" s="119"/>
      <c r="DJ484" s="119"/>
      <c r="DK484" s="119"/>
      <c r="DL484" s="119"/>
      <c r="DM484" s="119"/>
      <c r="DN484" s="119"/>
      <c r="DO484" s="119"/>
      <c r="DP484" s="119"/>
      <c r="DQ484" s="119"/>
      <c r="DR484" s="119"/>
      <c r="DS484" s="119"/>
      <c r="DT484" s="119"/>
      <c r="DU484" s="119"/>
      <c r="DV484" s="119"/>
      <c r="DW484" s="119"/>
      <c r="DX484" s="119"/>
      <c r="DY484" s="119"/>
      <c r="DZ484" s="119"/>
      <c r="EA484" s="119"/>
      <c r="EB484" s="119"/>
      <c r="EC484" s="119"/>
      <c r="ED484" s="119"/>
      <c r="EE484" s="119"/>
      <c r="EF484" s="119"/>
      <c r="EG484" s="119"/>
      <c r="EH484" s="119"/>
      <c r="EI484" s="119"/>
      <c r="EJ484" s="119"/>
      <c r="EK484" s="119"/>
      <c r="EL484" s="119"/>
      <c r="EM484" s="119"/>
      <c r="EN484" s="119"/>
      <c r="EO484" s="119"/>
      <c r="EP484" s="119"/>
      <c r="EQ484" s="119"/>
      <c r="ER484" s="119"/>
      <c r="ES484" s="119"/>
      <c r="ET484" s="119"/>
      <c r="EU484" s="119"/>
      <c r="EV484" s="119"/>
      <c r="EW484" s="119"/>
      <c r="EX484" s="119"/>
      <c r="EY484" s="119"/>
      <c r="EZ484" s="119"/>
      <c r="FA484" s="119"/>
      <c r="FB484" s="119"/>
      <c r="FC484" s="119"/>
      <c r="FD484" s="119"/>
      <c r="FE484" s="119"/>
      <c r="FF484" s="119"/>
      <c r="FG484" s="119"/>
      <c r="FH484" s="119"/>
      <c r="FI484" s="119"/>
      <c r="FJ484" s="119"/>
      <c r="FK484" s="119"/>
      <c r="FL484" s="119"/>
      <c r="FM484" s="119"/>
      <c r="FN484" s="119"/>
      <c r="FO484" s="119"/>
      <c r="FP484" s="119"/>
      <c r="FQ484" s="119"/>
      <c r="FR484" s="119"/>
      <c r="FS484" s="119"/>
      <c r="FT484" s="119"/>
      <c r="FU484" s="119"/>
      <c r="FV484" s="119"/>
      <c r="FW484" s="119"/>
      <c r="FX484" s="119"/>
      <c r="FY484" s="119"/>
      <c r="FZ484" s="119"/>
      <c r="GA484" s="119"/>
      <c r="GB484" s="119"/>
      <c r="GC484" s="119"/>
      <c r="GD484" s="119"/>
      <c r="GE484" s="119"/>
      <c r="GF484" s="119"/>
      <c r="GG484" s="119"/>
      <c r="GH484" s="119"/>
      <c r="GI484" s="119"/>
      <c r="GJ484" s="119"/>
      <c r="GK484" s="119"/>
      <c r="GL484" s="119"/>
      <c r="GM484" s="119"/>
      <c r="GN484" s="119"/>
      <c r="GO484" s="119"/>
      <c r="GP484" s="119"/>
      <c r="GQ484" s="119"/>
      <c r="GR484" s="119"/>
      <c r="GS484" s="119"/>
      <c r="GT484" s="119"/>
      <c r="GU484" s="119"/>
      <c r="GV484" s="119"/>
      <c r="GW484" s="119"/>
      <c r="GX484" s="119"/>
      <c r="GY484" s="119"/>
      <c r="GZ484" s="119"/>
      <c r="HA484" s="119"/>
      <c r="HB484" s="119"/>
      <c r="HC484" s="119"/>
      <c r="HD484" s="119"/>
      <c r="HE484" s="119"/>
      <c r="HF484" s="119"/>
      <c r="HG484" s="119"/>
      <c r="HH484" s="119"/>
      <c r="HI484" s="119"/>
      <c r="HJ484" s="119"/>
      <c r="HK484" s="119"/>
      <c r="HL484" s="119"/>
      <c r="HM484" s="119"/>
      <c r="HN484" s="119"/>
      <c r="HO484" s="119"/>
      <c r="HP484" s="119"/>
      <c r="HQ484" s="119"/>
      <c r="HR484" s="119"/>
      <c r="HS484" s="119"/>
      <c r="HT484" s="119"/>
      <c r="HU484" s="119"/>
      <c r="HV484" s="119"/>
      <c r="HW484" s="119"/>
      <c r="HX484" s="119"/>
      <c r="HY484" s="119"/>
      <c r="HZ484" s="119"/>
      <c r="IA484" s="119"/>
      <c r="IB484" s="119"/>
      <c r="IC484" s="119"/>
      <c r="ID484" s="119"/>
      <c r="IE484" s="119"/>
      <c r="IF484" s="119"/>
      <c r="IG484" s="119"/>
      <c r="IH484" s="119"/>
      <c r="II484" s="119"/>
      <c r="IJ484" s="119"/>
      <c r="IK484" s="119"/>
      <c r="IL484" s="119"/>
      <c r="IM484" s="119"/>
      <c r="IN484" s="119"/>
      <c r="IO484" s="119"/>
      <c r="IP484" s="119"/>
      <c r="IQ484" s="119"/>
      <c r="IR484" s="119"/>
      <c r="IS484" s="119"/>
      <c r="IT484" s="119"/>
      <c r="IU484" s="119"/>
      <c r="IV484" s="119"/>
      <c r="IW484" s="119"/>
      <c r="IX484" s="119"/>
      <c r="IY484" s="119"/>
      <c r="IZ484" s="119"/>
      <c r="JA484" s="119"/>
      <c r="JB484" s="119"/>
      <c r="JC484" s="119"/>
      <c r="JD484" s="119"/>
      <c r="JE484" s="119"/>
      <c r="JF484" s="119"/>
      <c r="JG484" s="119"/>
      <c r="JH484" s="119"/>
      <c r="JI484" s="119"/>
      <c r="JJ484" s="119"/>
      <c r="JK484" s="119"/>
      <c r="JL484" s="119"/>
      <c r="JM484" s="119"/>
      <c r="JN484" s="119"/>
      <c r="JO484" s="119"/>
      <c r="JP484" s="119"/>
      <c r="JQ484" s="119"/>
      <c r="JR484" s="119"/>
      <c r="JS484" s="119"/>
      <c r="JT484" s="119"/>
      <c r="JU484" s="119"/>
      <c r="JV484" s="119"/>
      <c r="JW484" s="119"/>
      <c r="JX484" s="119"/>
      <c r="JY484" s="119"/>
      <c r="JZ484" s="119"/>
      <c r="KA484" s="119"/>
      <c r="KB484" s="119"/>
      <c r="KC484" s="119"/>
      <c r="KD484" s="119"/>
      <c r="KE484" s="119"/>
      <c r="KF484" s="119"/>
      <c r="KG484" s="119"/>
      <c r="KH484" s="119"/>
      <c r="KI484" s="119"/>
      <c r="KJ484" s="119"/>
      <c r="KK484" s="119"/>
      <c r="KL484" s="119"/>
      <c r="KM484" s="119"/>
      <c r="KN484" s="119"/>
      <c r="KO484" s="119"/>
      <c r="KP484" s="119"/>
      <c r="KQ484" s="119"/>
      <c r="KR484" s="119"/>
      <c r="KS484" s="119"/>
      <c r="KT484" s="119"/>
      <c r="KU484" s="119"/>
      <c r="KV484" s="119"/>
      <c r="KW484" s="119"/>
      <c r="KX484" s="119"/>
      <c r="KY484" s="119"/>
      <c r="KZ484" s="119"/>
      <c r="LA484" s="119"/>
      <c r="LB484" s="119"/>
      <c r="LC484" s="119"/>
      <c r="LD484" s="119"/>
      <c r="LE484" s="119"/>
      <c r="LF484" s="119"/>
      <c r="LG484" s="119"/>
      <c r="LH484" s="119"/>
      <c r="LI484" s="119"/>
      <c r="LJ484" s="119"/>
      <c r="LK484" s="119"/>
      <c r="LL484" s="119"/>
      <c r="LM484" s="119"/>
      <c r="LN484" s="119"/>
      <c r="LO484" s="119"/>
      <c r="LP484" s="119"/>
      <c r="LQ484" s="119"/>
      <c r="LR484" s="119"/>
      <c r="LS484" s="119"/>
      <c r="LT484" s="119"/>
      <c r="LU484" s="119"/>
      <c r="LV484" s="119"/>
      <c r="LW484" s="119"/>
      <c r="LX484" s="119"/>
      <c r="LY484" s="119"/>
      <c r="LZ484" s="119"/>
      <c r="MA484" s="119"/>
      <c r="MB484" s="119"/>
      <c r="MC484" s="119"/>
      <c r="MD484" s="119"/>
      <c r="ME484" s="119"/>
      <c r="MF484" s="119"/>
      <c r="MG484" s="119"/>
      <c r="MH484" s="119"/>
      <c r="MI484" s="119"/>
      <c r="MJ484" s="119"/>
      <c r="MK484" s="119"/>
      <c r="ML484" s="119"/>
      <c r="MM484" s="119"/>
      <c r="MN484" s="119"/>
      <c r="MO484" s="119"/>
      <c r="MP484" s="119"/>
      <c r="MQ484" s="119"/>
      <c r="MR484" s="119"/>
      <c r="MS484" s="119"/>
      <c r="MT484" s="119"/>
      <c r="MU484" s="119"/>
      <c r="MV484" s="119"/>
      <c r="MW484" s="119"/>
      <c r="MX484" s="119"/>
      <c r="MY484" s="119"/>
      <c r="MZ484" s="119"/>
    </row>
    <row r="485" spans="1:364" s="27" customFormat="1" x14ac:dyDescent="0.25">
      <c r="A485" s="122"/>
      <c r="B485" s="122"/>
      <c r="C485" s="126"/>
      <c r="D485" s="128"/>
      <c r="E485" s="109" t="s">
        <v>493</v>
      </c>
      <c r="F485" s="131"/>
      <c r="G485" s="131"/>
      <c r="H485" s="106" t="s">
        <v>438</v>
      </c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19"/>
      <c r="T485" s="119"/>
      <c r="U485" s="119"/>
      <c r="V485" s="119"/>
      <c r="W485" s="119"/>
      <c r="X485" s="119"/>
      <c r="Y485" s="119"/>
      <c r="Z485" s="119"/>
      <c r="AA485" s="119"/>
      <c r="AB485" s="119"/>
      <c r="AC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9"/>
      <c r="AT485" s="119"/>
      <c r="AU485" s="119"/>
      <c r="AV485" s="119"/>
      <c r="AW485" s="119"/>
      <c r="AX485" s="119"/>
      <c r="AY485" s="119"/>
      <c r="AZ485" s="119"/>
      <c r="BA485" s="119"/>
      <c r="BB485" s="119"/>
      <c r="BC485" s="119"/>
      <c r="BD485" s="119"/>
      <c r="BE485" s="119"/>
      <c r="BF485" s="119"/>
      <c r="BG485" s="119"/>
      <c r="BH485" s="119"/>
      <c r="BI485" s="119"/>
      <c r="BJ485" s="119"/>
      <c r="BK485" s="119"/>
      <c r="BL485" s="26"/>
      <c r="BM485" s="119"/>
      <c r="BN485" s="119"/>
      <c r="BO485" s="119"/>
      <c r="BP485" s="119"/>
      <c r="BQ485" s="119"/>
      <c r="BR485" s="119"/>
      <c r="BS485" s="119"/>
      <c r="BT485" s="119"/>
      <c r="BU485" s="119"/>
      <c r="BV485" s="119"/>
      <c r="BW485" s="119"/>
      <c r="BX485" s="119"/>
      <c r="BY485" s="119"/>
      <c r="BZ485" s="119"/>
      <c r="CA485" s="119"/>
      <c r="CB485" s="119"/>
      <c r="CC485" s="119"/>
      <c r="CD485" s="119"/>
      <c r="CE485" s="119"/>
      <c r="CF485" s="119"/>
      <c r="CG485" s="119"/>
      <c r="CH485" s="119"/>
      <c r="CI485" s="119"/>
      <c r="CJ485" s="119"/>
      <c r="CK485" s="119"/>
      <c r="CL485" s="119"/>
      <c r="CM485" s="119"/>
      <c r="CN485" s="119"/>
      <c r="CO485" s="119"/>
      <c r="CP485" s="119"/>
      <c r="CQ485" s="119"/>
      <c r="CR485" s="119"/>
      <c r="CS485" s="119"/>
      <c r="CT485" s="119"/>
      <c r="CU485" s="119"/>
      <c r="CV485" s="119"/>
      <c r="CW485" s="119"/>
      <c r="CX485" s="119"/>
      <c r="CY485" s="119"/>
      <c r="CZ485" s="119"/>
      <c r="DA485" s="119"/>
      <c r="DB485" s="119"/>
      <c r="DC485" s="119"/>
      <c r="DD485" s="119"/>
      <c r="DE485" s="119"/>
      <c r="DF485" s="119"/>
      <c r="DG485" s="119"/>
      <c r="DH485" s="119"/>
      <c r="DI485" s="119"/>
      <c r="DJ485" s="119"/>
      <c r="DK485" s="119"/>
      <c r="DL485" s="119"/>
      <c r="DM485" s="119"/>
      <c r="DN485" s="119"/>
      <c r="DO485" s="119"/>
      <c r="DP485" s="119"/>
      <c r="DQ485" s="119"/>
      <c r="DR485" s="119"/>
      <c r="DS485" s="119"/>
      <c r="DT485" s="119"/>
      <c r="DU485" s="119"/>
      <c r="DV485" s="119"/>
      <c r="DW485" s="119"/>
      <c r="DX485" s="119"/>
      <c r="DY485" s="119"/>
      <c r="DZ485" s="119"/>
      <c r="EA485" s="119"/>
      <c r="EB485" s="119"/>
      <c r="EC485" s="119"/>
      <c r="ED485" s="119"/>
      <c r="EE485" s="119"/>
      <c r="EF485" s="119"/>
      <c r="EG485" s="119"/>
      <c r="EH485" s="119"/>
      <c r="EI485" s="119"/>
      <c r="EJ485" s="119"/>
      <c r="EK485" s="119"/>
      <c r="EL485" s="119"/>
      <c r="EM485" s="119"/>
      <c r="EN485" s="119"/>
      <c r="EO485" s="119"/>
      <c r="EP485" s="119"/>
      <c r="EQ485" s="119"/>
      <c r="ER485" s="119"/>
      <c r="ES485" s="119"/>
      <c r="ET485" s="119"/>
      <c r="EU485" s="119"/>
      <c r="EV485" s="119"/>
      <c r="EW485" s="119"/>
      <c r="EX485" s="119"/>
      <c r="EY485" s="119"/>
      <c r="EZ485" s="119"/>
      <c r="FA485" s="119"/>
      <c r="FB485" s="119"/>
      <c r="FC485" s="119"/>
      <c r="FD485" s="119"/>
      <c r="FE485" s="119"/>
      <c r="FF485" s="119"/>
      <c r="FG485" s="119"/>
      <c r="FH485" s="119"/>
      <c r="FI485" s="119"/>
      <c r="FJ485" s="119"/>
      <c r="FK485" s="119"/>
      <c r="FL485" s="119"/>
      <c r="FM485" s="119"/>
      <c r="FN485" s="119"/>
      <c r="FO485" s="119"/>
      <c r="FP485" s="119"/>
      <c r="FQ485" s="119"/>
      <c r="FR485" s="119"/>
      <c r="FS485" s="119"/>
      <c r="FT485" s="119"/>
      <c r="FU485" s="119"/>
      <c r="FV485" s="119"/>
      <c r="FW485" s="119"/>
      <c r="FX485" s="119"/>
      <c r="FY485" s="119"/>
      <c r="FZ485" s="119"/>
      <c r="GA485" s="119"/>
      <c r="GB485" s="119"/>
      <c r="GC485" s="119"/>
      <c r="GD485" s="119"/>
      <c r="GE485" s="119"/>
      <c r="GF485" s="119"/>
      <c r="GG485" s="119"/>
      <c r="GH485" s="119"/>
      <c r="GI485" s="119"/>
      <c r="GJ485" s="119"/>
      <c r="GK485" s="119"/>
      <c r="GL485" s="119"/>
      <c r="GM485" s="119"/>
      <c r="GN485" s="119"/>
      <c r="GO485" s="119"/>
      <c r="GP485" s="119"/>
      <c r="GQ485" s="119"/>
      <c r="GR485" s="119"/>
      <c r="GS485" s="119"/>
      <c r="GT485" s="119"/>
      <c r="GU485" s="119"/>
      <c r="GV485" s="119"/>
      <c r="GW485" s="119"/>
      <c r="GX485" s="119"/>
      <c r="GY485" s="119"/>
      <c r="GZ485" s="119"/>
      <c r="HA485" s="119"/>
      <c r="HB485" s="119"/>
      <c r="HC485" s="119"/>
      <c r="HD485" s="119"/>
      <c r="HE485" s="119"/>
      <c r="HF485" s="119"/>
      <c r="HG485" s="119"/>
      <c r="HH485" s="119"/>
      <c r="HI485" s="119"/>
      <c r="HJ485" s="119"/>
      <c r="HK485" s="119"/>
      <c r="HL485" s="119"/>
      <c r="HM485" s="119"/>
      <c r="HN485" s="119"/>
      <c r="HO485" s="119"/>
      <c r="HP485" s="119"/>
      <c r="HQ485" s="119"/>
      <c r="HR485" s="119"/>
      <c r="HS485" s="119"/>
      <c r="HT485" s="119"/>
      <c r="HU485" s="119"/>
      <c r="HV485" s="119"/>
      <c r="HW485" s="119"/>
      <c r="HX485" s="119"/>
      <c r="HY485" s="119"/>
      <c r="HZ485" s="119"/>
      <c r="IA485" s="119"/>
      <c r="IB485" s="119"/>
      <c r="IC485" s="119"/>
      <c r="ID485" s="119"/>
      <c r="IE485" s="119"/>
      <c r="IF485" s="119"/>
      <c r="IG485" s="119"/>
      <c r="IH485" s="119"/>
      <c r="II485" s="119"/>
      <c r="IJ485" s="119"/>
      <c r="IK485" s="119"/>
      <c r="IL485" s="119"/>
      <c r="IM485" s="119"/>
      <c r="IN485" s="119"/>
      <c r="IO485" s="119"/>
      <c r="IP485" s="119"/>
      <c r="IQ485" s="119"/>
      <c r="IR485" s="119"/>
      <c r="IS485" s="119"/>
      <c r="IT485" s="119"/>
      <c r="IU485" s="119"/>
      <c r="IV485" s="119"/>
      <c r="IW485" s="119"/>
      <c r="IX485" s="119"/>
      <c r="IY485" s="119"/>
      <c r="IZ485" s="119"/>
      <c r="JA485" s="119"/>
      <c r="JB485" s="119"/>
      <c r="JC485" s="119"/>
      <c r="JD485" s="119"/>
      <c r="JE485" s="119"/>
      <c r="JF485" s="119"/>
      <c r="JG485" s="119"/>
      <c r="JH485" s="119"/>
      <c r="JI485" s="119"/>
      <c r="JJ485" s="119"/>
      <c r="JK485" s="119"/>
      <c r="JL485" s="119"/>
      <c r="JM485" s="119"/>
      <c r="JN485" s="119"/>
      <c r="JO485" s="119"/>
      <c r="JP485" s="119"/>
      <c r="JQ485" s="119"/>
      <c r="JR485" s="119"/>
      <c r="JS485" s="119"/>
      <c r="JT485" s="119"/>
      <c r="JU485" s="119"/>
      <c r="JV485" s="119"/>
      <c r="JW485" s="119"/>
      <c r="JX485" s="119"/>
      <c r="JY485" s="119"/>
      <c r="JZ485" s="119"/>
      <c r="KA485" s="119"/>
      <c r="KB485" s="119"/>
      <c r="KC485" s="119"/>
      <c r="KD485" s="119"/>
      <c r="KE485" s="119"/>
      <c r="KF485" s="119"/>
      <c r="KG485" s="119"/>
      <c r="KH485" s="119"/>
      <c r="KI485" s="119"/>
      <c r="KJ485" s="119"/>
      <c r="KK485" s="119"/>
      <c r="KL485" s="119"/>
      <c r="KM485" s="119"/>
      <c r="KN485" s="119"/>
      <c r="KO485" s="119"/>
      <c r="KP485" s="119"/>
      <c r="KQ485" s="119"/>
      <c r="KR485" s="119"/>
      <c r="KS485" s="119"/>
      <c r="KT485" s="119"/>
      <c r="KU485" s="119"/>
      <c r="KV485" s="119"/>
      <c r="KW485" s="119"/>
      <c r="KX485" s="119"/>
      <c r="KY485" s="119"/>
      <c r="KZ485" s="119"/>
      <c r="LA485" s="119"/>
      <c r="LB485" s="119"/>
      <c r="LC485" s="119"/>
      <c r="LD485" s="119"/>
      <c r="LE485" s="119"/>
      <c r="LF485" s="119"/>
      <c r="LG485" s="119"/>
      <c r="LH485" s="119"/>
      <c r="LI485" s="119"/>
      <c r="LJ485" s="119"/>
      <c r="LK485" s="119"/>
      <c r="LL485" s="119"/>
      <c r="LM485" s="119"/>
      <c r="LN485" s="119"/>
      <c r="LO485" s="119"/>
      <c r="LP485" s="119"/>
      <c r="LQ485" s="119"/>
      <c r="LR485" s="119"/>
      <c r="LS485" s="119"/>
      <c r="LT485" s="119"/>
      <c r="LU485" s="119"/>
      <c r="LV485" s="119"/>
      <c r="LW485" s="119"/>
      <c r="LX485" s="119"/>
      <c r="LY485" s="119"/>
      <c r="LZ485" s="119"/>
      <c r="MA485" s="119"/>
      <c r="MB485" s="119"/>
      <c r="MC485" s="119"/>
      <c r="MD485" s="119"/>
      <c r="ME485" s="119"/>
      <c r="MF485" s="119"/>
      <c r="MG485" s="119"/>
      <c r="MH485" s="119"/>
      <c r="MI485" s="119"/>
      <c r="MJ485" s="119"/>
      <c r="MK485" s="119"/>
      <c r="ML485" s="119"/>
      <c r="MM485" s="119"/>
      <c r="MN485" s="119"/>
      <c r="MO485" s="119"/>
      <c r="MP485" s="119"/>
      <c r="MQ485" s="119"/>
      <c r="MR485" s="119"/>
      <c r="MS485" s="119"/>
      <c r="MT485" s="119"/>
      <c r="MU485" s="119"/>
      <c r="MV485" s="119"/>
      <c r="MW485" s="119"/>
      <c r="MX485" s="119"/>
      <c r="MY485" s="119"/>
      <c r="MZ485" s="119"/>
    </row>
    <row r="486" spans="1:364" s="27" customFormat="1" x14ac:dyDescent="0.25">
      <c r="A486" s="123"/>
      <c r="B486" s="123"/>
      <c r="C486" s="126"/>
      <c r="D486" s="129"/>
      <c r="E486" s="109"/>
      <c r="F486" s="131"/>
      <c r="G486" s="132"/>
      <c r="H486" s="114" t="s">
        <v>149</v>
      </c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19"/>
      <c r="T486" s="119"/>
      <c r="U486" s="119"/>
      <c r="V486" s="119"/>
      <c r="W486" s="119"/>
      <c r="X486" s="119"/>
      <c r="Y486" s="119"/>
      <c r="Z486" s="119"/>
      <c r="AA486" s="119"/>
      <c r="AB486" s="119"/>
      <c r="AC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9"/>
      <c r="AT486" s="119"/>
      <c r="AU486" s="119"/>
      <c r="AV486" s="119"/>
      <c r="AW486" s="119"/>
      <c r="AX486" s="119"/>
      <c r="AY486" s="119"/>
      <c r="AZ486" s="119"/>
      <c r="BA486" s="119"/>
      <c r="BB486" s="119"/>
      <c r="BC486" s="119"/>
      <c r="BD486" s="119"/>
      <c r="BE486" s="119"/>
      <c r="BF486" s="119"/>
      <c r="BG486" s="119"/>
      <c r="BH486" s="119"/>
      <c r="BI486" s="119"/>
      <c r="BJ486" s="119"/>
      <c r="BK486" s="119"/>
      <c r="BL486" s="26"/>
      <c r="BM486" s="119"/>
      <c r="BN486" s="119"/>
      <c r="BO486" s="119"/>
      <c r="BP486" s="119"/>
      <c r="BQ486" s="119"/>
      <c r="BR486" s="119"/>
      <c r="BS486" s="119"/>
      <c r="BT486" s="119"/>
      <c r="BU486" s="119"/>
      <c r="BV486" s="119"/>
      <c r="BW486" s="119"/>
      <c r="BX486" s="119"/>
      <c r="BY486" s="119"/>
      <c r="BZ486" s="119"/>
      <c r="CA486" s="119"/>
      <c r="CB486" s="119"/>
      <c r="CC486" s="119"/>
      <c r="CD486" s="119"/>
      <c r="CE486" s="119"/>
      <c r="CF486" s="119"/>
      <c r="CG486" s="119"/>
      <c r="CH486" s="119"/>
      <c r="CI486" s="119"/>
      <c r="CJ486" s="119"/>
      <c r="CK486" s="119"/>
      <c r="CL486" s="119"/>
      <c r="CM486" s="119"/>
      <c r="CN486" s="119"/>
      <c r="CO486" s="119"/>
      <c r="CP486" s="119"/>
      <c r="CQ486" s="119"/>
      <c r="CR486" s="119"/>
      <c r="CS486" s="119"/>
      <c r="CT486" s="119"/>
      <c r="CU486" s="119"/>
      <c r="CV486" s="119"/>
      <c r="CW486" s="119"/>
      <c r="CX486" s="119"/>
      <c r="CY486" s="119"/>
      <c r="CZ486" s="119"/>
      <c r="DA486" s="119"/>
      <c r="DB486" s="119"/>
      <c r="DC486" s="119"/>
      <c r="DD486" s="119"/>
      <c r="DE486" s="119"/>
      <c r="DF486" s="119"/>
      <c r="DG486" s="119"/>
      <c r="DH486" s="119"/>
      <c r="DI486" s="119"/>
      <c r="DJ486" s="119"/>
      <c r="DK486" s="119"/>
      <c r="DL486" s="119"/>
      <c r="DM486" s="119"/>
      <c r="DN486" s="119"/>
      <c r="DO486" s="119"/>
      <c r="DP486" s="119"/>
      <c r="DQ486" s="119"/>
      <c r="DR486" s="119"/>
      <c r="DS486" s="119"/>
      <c r="DT486" s="119"/>
      <c r="DU486" s="119"/>
      <c r="DV486" s="119"/>
      <c r="DW486" s="119"/>
      <c r="DX486" s="119"/>
      <c r="DY486" s="119"/>
      <c r="DZ486" s="119"/>
      <c r="EA486" s="119"/>
      <c r="EB486" s="119"/>
      <c r="EC486" s="119"/>
      <c r="ED486" s="119"/>
      <c r="EE486" s="119"/>
      <c r="EF486" s="119"/>
      <c r="EG486" s="119"/>
      <c r="EH486" s="119"/>
      <c r="EI486" s="119"/>
      <c r="EJ486" s="119"/>
      <c r="EK486" s="119"/>
      <c r="EL486" s="119"/>
      <c r="EM486" s="119"/>
      <c r="EN486" s="119"/>
      <c r="EO486" s="119"/>
      <c r="EP486" s="119"/>
      <c r="EQ486" s="119"/>
      <c r="ER486" s="119"/>
      <c r="ES486" s="119"/>
      <c r="ET486" s="119"/>
      <c r="EU486" s="119"/>
      <c r="EV486" s="119"/>
      <c r="EW486" s="119"/>
      <c r="EX486" s="119"/>
      <c r="EY486" s="119"/>
      <c r="EZ486" s="119"/>
      <c r="FA486" s="119"/>
      <c r="FB486" s="119"/>
      <c r="FC486" s="119"/>
      <c r="FD486" s="119"/>
      <c r="FE486" s="119"/>
      <c r="FF486" s="119"/>
      <c r="FG486" s="119"/>
      <c r="FH486" s="119"/>
      <c r="FI486" s="119"/>
      <c r="FJ486" s="119"/>
      <c r="FK486" s="119"/>
      <c r="FL486" s="119"/>
      <c r="FM486" s="119"/>
      <c r="FN486" s="119"/>
      <c r="FO486" s="119"/>
      <c r="FP486" s="119"/>
      <c r="FQ486" s="119"/>
      <c r="FR486" s="119"/>
      <c r="FS486" s="119"/>
      <c r="FT486" s="119"/>
      <c r="FU486" s="119"/>
      <c r="FV486" s="119"/>
      <c r="FW486" s="119"/>
      <c r="FX486" s="119"/>
      <c r="FY486" s="119"/>
      <c r="FZ486" s="119"/>
      <c r="GA486" s="119"/>
      <c r="GB486" s="119"/>
      <c r="GC486" s="119"/>
      <c r="GD486" s="119"/>
      <c r="GE486" s="119"/>
      <c r="GF486" s="119"/>
      <c r="GG486" s="119"/>
      <c r="GH486" s="119"/>
      <c r="GI486" s="119"/>
      <c r="GJ486" s="119"/>
      <c r="GK486" s="119"/>
      <c r="GL486" s="119"/>
      <c r="GM486" s="119"/>
      <c r="GN486" s="119"/>
      <c r="GO486" s="119"/>
      <c r="GP486" s="119"/>
      <c r="GQ486" s="119"/>
      <c r="GR486" s="119"/>
      <c r="GS486" s="119"/>
      <c r="GT486" s="119"/>
      <c r="GU486" s="119"/>
      <c r="GV486" s="119"/>
      <c r="GW486" s="119"/>
      <c r="GX486" s="119"/>
      <c r="GY486" s="119"/>
      <c r="GZ486" s="119"/>
      <c r="HA486" s="119"/>
      <c r="HB486" s="119"/>
      <c r="HC486" s="119"/>
      <c r="HD486" s="119"/>
      <c r="HE486" s="119"/>
      <c r="HF486" s="119"/>
      <c r="HG486" s="119"/>
      <c r="HH486" s="119"/>
      <c r="HI486" s="119"/>
      <c r="HJ486" s="119"/>
      <c r="HK486" s="119"/>
      <c r="HL486" s="119"/>
      <c r="HM486" s="119"/>
      <c r="HN486" s="119"/>
      <c r="HO486" s="119"/>
      <c r="HP486" s="119"/>
      <c r="HQ486" s="119"/>
      <c r="HR486" s="119"/>
      <c r="HS486" s="119"/>
      <c r="HT486" s="119"/>
      <c r="HU486" s="119"/>
      <c r="HV486" s="119"/>
      <c r="HW486" s="119"/>
      <c r="HX486" s="119"/>
      <c r="HY486" s="119"/>
      <c r="HZ486" s="119"/>
      <c r="IA486" s="119"/>
      <c r="IB486" s="119"/>
      <c r="IC486" s="119"/>
      <c r="ID486" s="119"/>
      <c r="IE486" s="119"/>
      <c r="IF486" s="119"/>
      <c r="IG486" s="119"/>
      <c r="IH486" s="119"/>
      <c r="II486" s="119"/>
      <c r="IJ486" s="119"/>
      <c r="IK486" s="119"/>
      <c r="IL486" s="119"/>
      <c r="IM486" s="119"/>
      <c r="IN486" s="119"/>
      <c r="IO486" s="119"/>
      <c r="IP486" s="119"/>
      <c r="IQ486" s="119"/>
      <c r="IR486" s="119"/>
      <c r="IS486" s="119"/>
      <c r="IT486" s="119"/>
      <c r="IU486" s="119"/>
      <c r="IV486" s="119"/>
      <c r="IW486" s="119"/>
      <c r="IX486" s="119"/>
      <c r="IY486" s="119"/>
      <c r="IZ486" s="119"/>
      <c r="JA486" s="119"/>
      <c r="JB486" s="119"/>
      <c r="JC486" s="119"/>
      <c r="JD486" s="119"/>
      <c r="JE486" s="119"/>
      <c r="JF486" s="119"/>
      <c r="JG486" s="119"/>
      <c r="JH486" s="119"/>
      <c r="JI486" s="119"/>
      <c r="JJ486" s="119"/>
      <c r="JK486" s="119"/>
      <c r="JL486" s="119"/>
      <c r="JM486" s="119"/>
      <c r="JN486" s="119"/>
      <c r="JO486" s="119"/>
      <c r="JP486" s="119"/>
      <c r="JQ486" s="119"/>
      <c r="JR486" s="119"/>
      <c r="JS486" s="119"/>
      <c r="JT486" s="119"/>
      <c r="JU486" s="119"/>
      <c r="JV486" s="119"/>
      <c r="JW486" s="119"/>
      <c r="JX486" s="119"/>
      <c r="JY486" s="119"/>
      <c r="JZ486" s="119"/>
      <c r="KA486" s="119"/>
      <c r="KB486" s="119"/>
      <c r="KC486" s="119"/>
      <c r="KD486" s="119"/>
      <c r="KE486" s="119"/>
      <c r="KF486" s="119"/>
      <c r="KG486" s="119"/>
      <c r="KH486" s="119"/>
      <c r="KI486" s="119"/>
      <c r="KJ486" s="119"/>
      <c r="KK486" s="119"/>
      <c r="KL486" s="119"/>
      <c r="KM486" s="119"/>
      <c r="KN486" s="119"/>
      <c r="KO486" s="119"/>
      <c r="KP486" s="119"/>
      <c r="KQ486" s="119"/>
      <c r="KR486" s="119"/>
      <c r="KS486" s="119"/>
      <c r="KT486" s="119"/>
      <c r="KU486" s="119"/>
      <c r="KV486" s="119"/>
      <c r="KW486" s="119"/>
      <c r="KX486" s="119"/>
      <c r="KY486" s="119"/>
      <c r="KZ486" s="119"/>
      <c r="LA486" s="119"/>
      <c r="LB486" s="119"/>
      <c r="LC486" s="119"/>
      <c r="LD486" s="119"/>
      <c r="LE486" s="119"/>
      <c r="LF486" s="119"/>
      <c r="LG486" s="119"/>
      <c r="LH486" s="119"/>
      <c r="LI486" s="119"/>
      <c r="LJ486" s="119"/>
      <c r="LK486" s="119"/>
      <c r="LL486" s="119"/>
      <c r="LM486" s="119"/>
      <c r="LN486" s="119"/>
      <c r="LO486" s="119"/>
      <c r="LP486" s="119"/>
      <c r="LQ486" s="119"/>
      <c r="LR486" s="119"/>
      <c r="LS486" s="119"/>
      <c r="LT486" s="119"/>
      <c r="LU486" s="119"/>
      <c r="LV486" s="119"/>
      <c r="LW486" s="119"/>
      <c r="LX486" s="119"/>
      <c r="LY486" s="119"/>
      <c r="LZ486" s="119"/>
      <c r="MA486" s="119"/>
      <c r="MB486" s="119"/>
      <c r="MC486" s="119"/>
      <c r="MD486" s="119"/>
      <c r="ME486" s="119"/>
      <c r="MF486" s="119"/>
      <c r="MG486" s="119"/>
      <c r="MH486" s="119"/>
      <c r="MI486" s="119"/>
      <c r="MJ486" s="119"/>
      <c r="MK486" s="119"/>
      <c r="ML486" s="119"/>
      <c r="MM486" s="119"/>
      <c r="MN486" s="119"/>
      <c r="MO486" s="119"/>
      <c r="MP486" s="119"/>
      <c r="MQ486" s="119"/>
      <c r="MR486" s="119"/>
      <c r="MS486" s="119"/>
      <c r="MT486" s="119"/>
      <c r="MU486" s="119"/>
      <c r="MV486" s="119"/>
      <c r="MW486" s="119"/>
      <c r="MX486" s="119"/>
      <c r="MY486" s="119"/>
      <c r="MZ486" s="119"/>
    </row>
    <row r="487" spans="1:364" s="27" customFormat="1" x14ac:dyDescent="0.25">
      <c r="A487" s="121"/>
      <c r="B487" s="124" t="e">
        <f>VLOOKUP(A487,Rules!$B$8:$C$154,2,0)</f>
        <v>#N/A</v>
      </c>
      <c r="C487" s="125">
        <f t="shared" ref="C487" si="21">SUM(I488:XX488)</f>
        <v>0</v>
      </c>
      <c r="D487" s="127"/>
      <c r="E487" s="110" t="s">
        <v>492</v>
      </c>
      <c r="F487" s="130" t="e">
        <f>VLOOKUP(A487,Table2[],10,0)</f>
        <v>#N/A</v>
      </c>
      <c r="G487" s="130"/>
      <c r="H487" s="113" t="s">
        <v>440</v>
      </c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9"/>
      <c r="T487" s="119"/>
      <c r="U487" s="119"/>
      <c r="V487" s="119"/>
      <c r="W487" s="119"/>
      <c r="X487" s="119"/>
      <c r="Y487" s="119"/>
      <c r="Z487" s="119"/>
      <c r="AA487" s="119"/>
      <c r="AB487" s="119"/>
      <c r="AC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9"/>
      <c r="AT487" s="119"/>
      <c r="AU487" s="119"/>
      <c r="AV487" s="119"/>
      <c r="AW487" s="119"/>
      <c r="AX487" s="119"/>
      <c r="AY487" s="119"/>
      <c r="AZ487" s="119"/>
      <c r="BA487" s="119"/>
      <c r="BB487" s="119"/>
      <c r="BC487" s="119"/>
      <c r="BD487" s="119"/>
      <c r="BE487" s="119"/>
      <c r="BF487" s="119"/>
      <c r="BG487" s="119"/>
      <c r="BH487" s="119"/>
      <c r="BI487" s="119"/>
      <c r="BJ487" s="119"/>
      <c r="BK487" s="119"/>
      <c r="BL487" s="26"/>
      <c r="BM487" s="119"/>
      <c r="BN487" s="26"/>
      <c r="BO487" s="119"/>
      <c r="BP487" s="119"/>
      <c r="BQ487" s="119"/>
      <c r="BR487" s="119"/>
      <c r="BS487" s="119"/>
      <c r="BT487" s="119"/>
      <c r="BU487" s="119"/>
      <c r="BV487" s="119"/>
      <c r="BW487" s="119"/>
      <c r="BX487" s="119"/>
      <c r="BY487" s="119"/>
      <c r="BZ487" s="119"/>
      <c r="CA487" s="119"/>
      <c r="CB487" s="119"/>
      <c r="CC487" s="119"/>
      <c r="CD487" s="119"/>
      <c r="CE487" s="119"/>
      <c r="CF487" s="119"/>
      <c r="CG487" s="119"/>
      <c r="CH487" s="119"/>
      <c r="CI487" s="119"/>
      <c r="CJ487" s="119"/>
      <c r="CK487" s="119"/>
      <c r="CL487" s="119"/>
      <c r="CM487" s="119"/>
      <c r="CN487" s="119"/>
      <c r="CO487" s="119"/>
      <c r="CP487" s="119"/>
      <c r="CQ487" s="119"/>
      <c r="CR487" s="119"/>
      <c r="CS487" s="119"/>
      <c r="CT487" s="119"/>
      <c r="CU487" s="119"/>
      <c r="CV487" s="119"/>
      <c r="CW487" s="119"/>
      <c r="CX487" s="119"/>
      <c r="CY487" s="119"/>
      <c r="CZ487" s="119"/>
      <c r="DA487" s="119"/>
      <c r="DB487" s="119"/>
      <c r="DC487" s="119"/>
      <c r="DD487" s="119"/>
      <c r="DE487" s="119"/>
      <c r="DF487" s="119"/>
      <c r="DG487" s="119"/>
      <c r="DH487" s="119"/>
      <c r="DI487" s="119"/>
      <c r="DJ487" s="119"/>
      <c r="DK487" s="119"/>
      <c r="DL487" s="119"/>
      <c r="DM487" s="119"/>
      <c r="DN487" s="119"/>
      <c r="DO487" s="119"/>
      <c r="DP487" s="119"/>
      <c r="DQ487" s="119"/>
      <c r="DR487" s="119"/>
      <c r="DS487" s="119"/>
      <c r="DT487" s="119"/>
      <c r="DU487" s="119"/>
      <c r="DV487" s="119"/>
      <c r="DW487" s="119"/>
      <c r="DX487" s="119"/>
      <c r="DY487" s="119"/>
      <c r="DZ487" s="119"/>
      <c r="EA487" s="119"/>
      <c r="EB487" s="119"/>
      <c r="EC487" s="119"/>
      <c r="ED487" s="119"/>
      <c r="EE487" s="119"/>
      <c r="EF487" s="119"/>
      <c r="EG487" s="119"/>
      <c r="EH487" s="119"/>
      <c r="EI487" s="119"/>
      <c r="EJ487" s="119"/>
      <c r="EK487" s="119"/>
      <c r="EL487" s="119"/>
      <c r="EM487" s="119"/>
      <c r="EN487" s="119"/>
      <c r="EO487" s="119"/>
      <c r="EP487" s="119"/>
      <c r="EQ487" s="119"/>
      <c r="ER487" s="119"/>
      <c r="ES487" s="119"/>
      <c r="ET487" s="119"/>
      <c r="EU487" s="119"/>
      <c r="EV487" s="119"/>
      <c r="EW487" s="119"/>
      <c r="EX487" s="119"/>
      <c r="EY487" s="119"/>
      <c r="EZ487" s="119"/>
      <c r="FA487" s="119"/>
      <c r="FB487" s="119"/>
      <c r="FC487" s="119"/>
      <c r="FD487" s="119"/>
      <c r="FE487" s="119"/>
      <c r="FF487" s="119"/>
      <c r="FG487" s="119"/>
      <c r="FH487" s="119"/>
      <c r="FI487" s="119"/>
      <c r="FJ487" s="119"/>
      <c r="FK487" s="119"/>
      <c r="FL487" s="119"/>
      <c r="FM487" s="119"/>
      <c r="FN487" s="119"/>
      <c r="FO487" s="119"/>
      <c r="FP487" s="119"/>
      <c r="FQ487" s="119"/>
      <c r="FR487" s="119"/>
      <c r="FS487" s="119"/>
      <c r="FT487" s="119"/>
      <c r="FU487" s="119"/>
      <c r="FV487" s="119"/>
      <c r="FW487" s="119"/>
      <c r="FX487" s="119"/>
      <c r="FY487" s="119"/>
      <c r="FZ487" s="119"/>
      <c r="GA487" s="119"/>
      <c r="GB487" s="119"/>
      <c r="GC487" s="119"/>
      <c r="GD487" s="119"/>
      <c r="GE487" s="119"/>
      <c r="GF487" s="119"/>
      <c r="GG487" s="119"/>
      <c r="GH487" s="119"/>
      <c r="GI487" s="119"/>
      <c r="GJ487" s="119"/>
      <c r="GK487" s="119"/>
      <c r="GL487" s="119"/>
      <c r="GM487" s="119"/>
      <c r="GN487" s="119"/>
      <c r="GO487" s="119"/>
      <c r="GP487" s="119"/>
      <c r="GQ487" s="119"/>
      <c r="GR487" s="119"/>
      <c r="GS487" s="119"/>
      <c r="GT487" s="119"/>
      <c r="GU487" s="119"/>
      <c r="GV487" s="119"/>
      <c r="GW487" s="119"/>
      <c r="GX487" s="119"/>
      <c r="GY487" s="119"/>
      <c r="GZ487" s="119"/>
      <c r="HA487" s="119"/>
      <c r="HB487" s="119"/>
      <c r="HC487" s="119"/>
      <c r="HD487" s="119"/>
      <c r="HE487" s="119"/>
      <c r="HF487" s="119"/>
      <c r="HG487" s="119"/>
      <c r="HH487" s="119"/>
      <c r="HI487" s="119"/>
      <c r="HJ487" s="119"/>
      <c r="HK487" s="119"/>
      <c r="HL487" s="119"/>
      <c r="HM487" s="119"/>
      <c r="HN487" s="119"/>
      <c r="HO487" s="119"/>
      <c r="HP487" s="119"/>
      <c r="HQ487" s="119"/>
      <c r="HR487" s="119"/>
      <c r="HS487" s="119"/>
      <c r="HT487" s="119"/>
      <c r="HU487" s="119"/>
      <c r="HV487" s="119"/>
      <c r="HW487" s="119"/>
      <c r="HX487" s="119"/>
      <c r="HY487" s="119"/>
      <c r="HZ487" s="119"/>
      <c r="IA487" s="119"/>
      <c r="IB487" s="119"/>
      <c r="IC487" s="119"/>
      <c r="ID487" s="119"/>
      <c r="IE487" s="119"/>
      <c r="IF487" s="119"/>
      <c r="IG487" s="119"/>
      <c r="IH487" s="119"/>
      <c r="II487" s="119"/>
      <c r="IJ487" s="119"/>
      <c r="IK487" s="119"/>
      <c r="IL487" s="119"/>
      <c r="IM487" s="119"/>
      <c r="IN487" s="119"/>
      <c r="IO487" s="119"/>
      <c r="IP487" s="119"/>
      <c r="IQ487" s="119"/>
      <c r="IR487" s="119"/>
      <c r="IS487" s="119"/>
      <c r="IT487" s="119"/>
      <c r="IU487" s="119"/>
      <c r="IV487" s="119"/>
      <c r="IW487" s="119"/>
      <c r="IX487" s="119"/>
      <c r="IY487" s="119"/>
      <c r="IZ487" s="119"/>
      <c r="JA487" s="119"/>
      <c r="JB487" s="119"/>
      <c r="JC487" s="119"/>
      <c r="JD487" s="119"/>
      <c r="JE487" s="119"/>
      <c r="JF487" s="119"/>
      <c r="JG487" s="119"/>
      <c r="JH487" s="119"/>
      <c r="JI487" s="119"/>
      <c r="JJ487" s="119"/>
      <c r="JK487" s="119"/>
      <c r="JL487" s="119"/>
      <c r="JM487" s="119"/>
      <c r="JN487" s="119"/>
      <c r="JO487" s="119"/>
      <c r="JP487" s="119"/>
      <c r="JQ487" s="119"/>
      <c r="JR487" s="119"/>
      <c r="JS487" s="119"/>
      <c r="JT487" s="119"/>
      <c r="JU487" s="119"/>
      <c r="JV487" s="119"/>
      <c r="JW487" s="119"/>
      <c r="JX487" s="119"/>
      <c r="JY487" s="119"/>
      <c r="JZ487" s="119"/>
      <c r="KA487" s="119"/>
      <c r="KB487" s="119"/>
      <c r="KC487" s="119"/>
      <c r="KD487" s="119"/>
      <c r="KE487" s="119"/>
      <c r="KF487" s="119"/>
      <c r="KG487" s="119"/>
      <c r="KH487" s="119"/>
      <c r="KI487" s="119"/>
      <c r="KJ487" s="119"/>
      <c r="KK487" s="119"/>
      <c r="KL487" s="119"/>
      <c r="KM487" s="119"/>
      <c r="KN487" s="119"/>
      <c r="KO487" s="119"/>
      <c r="KP487" s="119"/>
      <c r="KQ487" s="119"/>
      <c r="KR487" s="119"/>
      <c r="KS487" s="119"/>
      <c r="KT487" s="119"/>
      <c r="KU487" s="119"/>
      <c r="KV487" s="119"/>
      <c r="KW487" s="119"/>
      <c r="KX487" s="119"/>
      <c r="KY487" s="119"/>
      <c r="KZ487" s="119"/>
      <c r="LA487" s="119"/>
      <c r="LB487" s="119"/>
      <c r="LC487" s="119"/>
      <c r="LD487" s="119"/>
      <c r="LE487" s="119"/>
      <c r="LF487" s="119"/>
      <c r="LG487" s="119"/>
      <c r="LH487" s="119"/>
      <c r="LI487" s="119"/>
      <c r="LJ487" s="119"/>
      <c r="LK487" s="119"/>
      <c r="LL487" s="119"/>
      <c r="LM487" s="119"/>
      <c r="LN487" s="119"/>
      <c r="LO487" s="119"/>
      <c r="LP487" s="119"/>
      <c r="LQ487" s="119"/>
      <c r="LR487" s="119"/>
      <c r="LS487" s="119"/>
      <c r="LT487" s="119"/>
      <c r="LU487" s="119"/>
      <c r="LV487" s="119"/>
      <c r="LW487" s="119"/>
      <c r="LX487" s="119"/>
      <c r="LY487" s="119"/>
      <c r="LZ487" s="119"/>
      <c r="MA487" s="119"/>
      <c r="MB487" s="119"/>
      <c r="MC487" s="119"/>
      <c r="MD487" s="119"/>
      <c r="ME487" s="119"/>
      <c r="MF487" s="119"/>
      <c r="MG487" s="119"/>
      <c r="MH487" s="119"/>
      <c r="MI487" s="119"/>
      <c r="MJ487" s="119"/>
      <c r="MK487" s="119"/>
      <c r="ML487" s="119"/>
      <c r="MM487" s="119"/>
      <c r="MN487" s="119"/>
      <c r="MO487" s="119"/>
      <c r="MP487" s="119"/>
      <c r="MQ487" s="119"/>
      <c r="MR487" s="119"/>
      <c r="MS487" s="119"/>
      <c r="MT487" s="119"/>
      <c r="MU487" s="119"/>
      <c r="MV487" s="119"/>
      <c r="MW487" s="119"/>
      <c r="MX487" s="119"/>
      <c r="MY487" s="119"/>
      <c r="MZ487" s="119"/>
    </row>
    <row r="488" spans="1:364" s="27" customFormat="1" x14ac:dyDescent="0.25">
      <c r="A488" s="122"/>
      <c r="B488" s="122"/>
      <c r="C488" s="126"/>
      <c r="D488" s="128"/>
      <c r="E488" s="109"/>
      <c r="F488" s="131"/>
      <c r="G488" s="131"/>
      <c r="H488" s="105" t="s">
        <v>439</v>
      </c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9"/>
      <c r="T488" s="119"/>
      <c r="U488" s="119"/>
      <c r="V488" s="119"/>
      <c r="W488" s="119"/>
      <c r="X488" s="119"/>
      <c r="Y488" s="119"/>
      <c r="Z488" s="119"/>
      <c r="AA488" s="119"/>
      <c r="AB488" s="119"/>
      <c r="AC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9"/>
      <c r="AT488" s="119"/>
      <c r="AU488" s="119"/>
      <c r="AV488" s="119"/>
      <c r="AW488" s="119"/>
      <c r="AX488" s="119"/>
      <c r="AY488" s="119"/>
      <c r="AZ488" s="119"/>
      <c r="BA488" s="119"/>
      <c r="BB488" s="119"/>
      <c r="BC488" s="119"/>
      <c r="BD488" s="119"/>
      <c r="BE488" s="119"/>
      <c r="BF488" s="119"/>
      <c r="BG488" s="119"/>
      <c r="BH488" s="119"/>
      <c r="BI488" s="119"/>
      <c r="BJ488" s="119"/>
      <c r="BK488" s="119"/>
      <c r="BL488" s="26"/>
      <c r="BM488" s="119"/>
      <c r="BN488" s="26"/>
      <c r="BO488" s="119"/>
      <c r="BP488" s="119"/>
      <c r="BQ488" s="119"/>
      <c r="BR488" s="119"/>
      <c r="BS488" s="119"/>
      <c r="BT488" s="119"/>
      <c r="BU488" s="119"/>
      <c r="BV488" s="119"/>
      <c r="BW488" s="119"/>
      <c r="BX488" s="119"/>
      <c r="BY488" s="119"/>
      <c r="BZ488" s="119"/>
      <c r="CA488" s="119"/>
      <c r="CB488" s="119"/>
      <c r="CC488" s="119"/>
      <c r="CD488" s="119"/>
      <c r="CE488" s="119"/>
      <c r="CF488" s="119"/>
      <c r="CG488" s="119"/>
      <c r="CH488" s="119"/>
      <c r="CI488" s="119"/>
      <c r="CJ488" s="119"/>
      <c r="CK488" s="119"/>
      <c r="CL488" s="119"/>
      <c r="CM488" s="119"/>
      <c r="CN488" s="119"/>
      <c r="CO488" s="119"/>
      <c r="CP488" s="119"/>
      <c r="CQ488" s="119"/>
      <c r="CR488" s="119"/>
      <c r="CS488" s="119"/>
      <c r="CT488" s="119"/>
      <c r="CU488" s="119"/>
      <c r="CV488" s="119"/>
      <c r="CW488" s="119"/>
      <c r="CX488" s="119"/>
      <c r="CY488" s="119"/>
      <c r="CZ488" s="119"/>
      <c r="DA488" s="119"/>
      <c r="DB488" s="119"/>
      <c r="DC488" s="119"/>
      <c r="DD488" s="119"/>
      <c r="DE488" s="119"/>
      <c r="DF488" s="119"/>
      <c r="DG488" s="119"/>
      <c r="DH488" s="119"/>
      <c r="DI488" s="119"/>
      <c r="DJ488" s="119"/>
      <c r="DK488" s="119"/>
      <c r="DL488" s="119"/>
      <c r="DM488" s="119"/>
      <c r="DN488" s="119"/>
      <c r="DO488" s="119"/>
      <c r="DP488" s="119"/>
      <c r="DQ488" s="119"/>
      <c r="DR488" s="119"/>
      <c r="DS488" s="119"/>
      <c r="DT488" s="119"/>
      <c r="DU488" s="119"/>
      <c r="DV488" s="119"/>
      <c r="DW488" s="119"/>
      <c r="DX488" s="119"/>
      <c r="DY488" s="119"/>
      <c r="DZ488" s="119"/>
      <c r="EA488" s="119"/>
      <c r="EB488" s="119"/>
      <c r="EC488" s="119"/>
      <c r="ED488" s="119"/>
      <c r="EE488" s="119"/>
      <c r="EF488" s="119"/>
      <c r="EG488" s="119"/>
      <c r="EH488" s="119"/>
      <c r="EI488" s="119"/>
      <c r="EJ488" s="119"/>
      <c r="EK488" s="119"/>
      <c r="EL488" s="119"/>
      <c r="EM488" s="119"/>
      <c r="EN488" s="119"/>
      <c r="EO488" s="119"/>
      <c r="EP488" s="119"/>
      <c r="EQ488" s="119"/>
      <c r="ER488" s="119"/>
      <c r="ES488" s="119"/>
      <c r="ET488" s="119"/>
      <c r="EU488" s="119"/>
      <c r="EV488" s="119"/>
      <c r="EW488" s="119"/>
      <c r="EX488" s="119"/>
      <c r="EY488" s="119"/>
      <c r="EZ488" s="119"/>
      <c r="FA488" s="119"/>
      <c r="FB488" s="119"/>
      <c r="FC488" s="119"/>
      <c r="FD488" s="119"/>
      <c r="FE488" s="119"/>
      <c r="FF488" s="119"/>
      <c r="FG488" s="119"/>
      <c r="FH488" s="119"/>
      <c r="FI488" s="119"/>
      <c r="FJ488" s="119"/>
      <c r="FK488" s="119"/>
      <c r="FL488" s="119"/>
      <c r="FM488" s="119"/>
      <c r="FN488" s="119"/>
      <c r="FO488" s="119"/>
      <c r="FP488" s="119"/>
      <c r="FQ488" s="119"/>
      <c r="FR488" s="119"/>
      <c r="FS488" s="119"/>
      <c r="FT488" s="119"/>
      <c r="FU488" s="119"/>
      <c r="FV488" s="119"/>
      <c r="FW488" s="119"/>
      <c r="FX488" s="119"/>
      <c r="FY488" s="119"/>
      <c r="FZ488" s="119"/>
      <c r="GA488" s="119"/>
      <c r="GB488" s="119"/>
      <c r="GC488" s="119"/>
      <c r="GD488" s="119"/>
      <c r="GE488" s="119"/>
      <c r="GF488" s="119"/>
      <c r="GG488" s="119"/>
      <c r="GH488" s="119"/>
      <c r="GI488" s="119"/>
      <c r="GJ488" s="119"/>
      <c r="GK488" s="119"/>
      <c r="GL488" s="119"/>
      <c r="GM488" s="119"/>
      <c r="GN488" s="119"/>
      <c r="GO488" s="119"/>
      <c r="GP488" s="119"/>
      <c r="GQ488" s="119"/>
      <c r="GR488" s="119"/>
      <c r="GS488" s="119"/>
      <c r="GT488" s="119"/>
      <c r="GU488" s="119"/>
      <c r="GV488" s="119"/>
      <c r="GW488" s="119"/>
      <c r="GX488" s="119"/>
      <c r="GY488" s="119"/>
      <c r="GZ488" s="119"/>
      <c r="HA488" s="119"/>
      <c r="HB488" s="119"/>
      <c r="HC488" s="119"/>
      <c r="HD488" s="119"/>
      <c r="HE488" s="119"/>
      <c r="HF488" s="119"/>
      <c r="HG488" s="119"/>
      <c r="HH488" s="119"/>
      <c r="HI488" s="119"/>
      <c r="HJ488" s="119"/>
      <c r="HK488" s="119"/>
      <c r="HL488" s="119"/>
      <c r="HM488" s="119"/>
      <c r="HN488" s="119"/>
      <c r="HO488" s="119"/>
      <c r="HP488" s="119"/>
      <c r="HQ488" s="119"/>
      <c r="HR488" s="119"/>
      <c r="HS488" s="119"/>
      <c r="HT488" s="119"/>
      <c r="HU488" s="119"/>
      <c r="HV488" s="119"/>
      <c r="HW488" s="119"/>
      <c r="HX488" s="119"/>
      <c r="HY488" s="119"/>
      <c r="HZ488" s="119"/>
      <c r="IA488" s="119"/>
      <c r="IB488" s="119"/>
      <c r="IC488" s="119"/>
      <c r="ID488" s="119"/>
      <c r="IE488" s="119"/>
      <c r="IF488" s="119"/>
      <c r="IG488" s="119"/>
      <c r="IH488" s="119"/>
      <c r="II488" s="119"/>
      <c r="IJ488" s="119"/>
      <c r="IK488" s="119"/>
      <c r="IL488" s="119"/>
      <c r="IM488" s="119"/>
      <c r="IN488" s="119"/>
      <c r="IO488" s="119"/>
      <c r="IP488" s="119"/>
      <c r="IQ488" s="119"/>
      <c r="IR488" s="119"/>
      <c r="IS488" s="119"/>
      <c r="IT488" s="119"/>
      <c r="IU488" s="119"/>
      <c r="IV488" s="119"/>
      <c r="IW488" s="119"/>
      <c r="IX488" s="119"/>
      <c r="IY488" s="119"/>
      <c r="IZ488" s="119"/>
      <c r="JA488" s="119"/>
      <c r="JB488" s="119"/>
      <c r="JC488" s="119"/>
      <c r="JD488" s="119"/>
      <c r="JE488" s="119"/>
      <c r="JF488" s="119"/>
      <c r="JG488" s="119"/>
      <c r="JH488" s="119"/>
      <c r="JI488" s="119"/>
      <c r="JJ488" s="119"/>
      <c r="JK488" s="119"/>
      <c r="JL488" s="119"/>
      <c r="JM488" s="119"/>
      <c r="JN488" s="119"/>
      <c r="JO488" s="119"/>
      <c r="JP488" s="119"/>
      <c r="JQ488" s="119"/>
      <c r="JR488" s="119"/>
      <c r="JS488" s="119"/>
      <c r="JT488" s="119"/>
      <c r="JU488" s="119"/>
      <c r="JV488" s="119"/>
      <c r="JW488" s="119"/>
      <c r="JX488" s="119"/>
      <c r="JY488" s="119"/>
      <c r="JZ488" s="119"/>
      <c r="KA488" s="119"/>
      <c r="KB488" s="119"/>
      <c r="KC488" s="119"/>
      <c r="KD488" s="119"/>
      <c r="KE488" s="119"/>
      <c r="KF488" s="119"/>
      <c r="KG488" s="119"/>
      <c r="KH488" s="119"/>
      <c r="KI488" s="119"/>
      <c r="KJ488" s="119"/>
      <c r="KK488" s="119"/>
      <c r="KL488" s="119"/>
      <c r="KM488" s="119"/>
      <c r="KN488" s="119"/>
      <c r="KO488" s="119"/>
      <c r="KP488" s="119"/>
      <c r="KQ488" s="119"/>
      <c r="KR488" s="119"/>
      <c r="KS488" s="119"/>
      <c r="KT488" s="119"/>
      <c r="KU488" s="119"/>
      <c r="KV488" s="119"/>
      <c r="KW488" s="119"/>
      <c r="KX488" s="119"/>
      <c r="KY488" s="119"/>
      <c r="KZ488" s="119"/>
      <c r="LA488" s="119"/>
      <c r="LB488" s="119"/>
      <c r="LC488" s="119"/>
      <c r="LD488" s="119"/>
      <c r="LE488" s="119"/>
      <c r="LF488" s="119"/>
      <c r="LG488" s="119"/>
      <c r="LH488" s="119"/>
      <c r="LI488" s="119"/>
      <c r="LJ488" s="119"/>
      <c r="LK488" s="119"/>
      <c r="LL488" s="119"/>
      <c r="LM488" s="119"/>
      <c r="LN488" s="119"/>
      <c r="LO488" s="119"/>
      <c r="LP488" s="119"/>
      <c r="LQ488" s="119"/>
      <c r="LR488" s="119"/>
      <c r="LS488" s="119"/>
      <c r="LT488" s="119"/>
      <c r="LU488" s="119"/>
      <c r="LV488" s="119"/>
      <c r="LW488" s="119"/>
      <c r="LX488" s="119"/>
      <c r="LY488" s="119"/>
      <c r="LZ488" s="119"/>
      <c r="MA488" s="119"/>
      <c r="MB488" s="119"/>
      <c r="MC488" s="119"/>
      <c r="MD488" s="119"/>
      <c r="ME488" s="119"/>
      <c r="MF488" s="119"/>
      <c r="MG488" s="119"/>
      <c r="MH488" s="119"/>
      <c r="MI488" s="119"/>
      <c r="MJ488" s="119"/>
      <c r="MK488" s="119"/>
      <c r="ML488" s="119"/>
      <c r="MM488" s="119"/>
      <c r="MN488" s="119"/>
      <c r="MO488" s="119"/>
      <c r="MP488" s="119"/>
      <c r="MQ488" s="119"/>
      <c r="MR488" s="119"/>
      <c r="MS488" s="119"/>
      <c r="MT488" s="119"/>
      <c r="MU488" s="119"/>
      <c r="MV488" s="119"/>
      <c r="MW488" s="119"/>
      <c r="MX488" s="119"/>
      <c r="MY488" s="119"/>
      <c r="MZ488" s="119"/>
    </row>
    <row r="489" spans="1:364" s="27" customFormat="1" x14ac:dyDescent="0.25">
      <c r="A489" s="122"/>
      <c r="B489" s="122"/>
      <c r="C489" s="126"/>
      <c r="D489" s="128"/>
      <c r="E489" s="109" t="s">
        <v>493</v>
      </c>
      <c r="F489" s="131"/>
      <c r="G489" s="131"/>
      <c r="H489" s="106" t="s">
        <v>438</v>
      </c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19"/>
      <c r="T489" s="119"/>
      <c r="U489" s="119"/>
      <c r="V489" s="119"/>
      <c r="W489" s="119"/>
      <c r="X489" s="119"/>
      <c r="Y489" s="119"/>
      <c r="Z489" s="119"/>
      <c r="AA489" s="119"/>
      <c r="AB489" s="119"/>
      <c r="AC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9"/>
      <c r="AT489" s="119"/>
      <c r="AU489" s="119"/>
      <c r="AV489" s="119"/>
      <c r="AW489" s="119"/>
      <c r="AX489" s="119"/>
      <c r="AY489" s="119"/>
      <c r="AZ489" s="119"/>
      <c r="BA489" s="119"/>
      <c r="BB489" s="119"/>
      <c r="BC489" s="119"/>
      <c r="BD489" s="119"/>
      <c r="BE489" s="119"/>
      <c r="BF489" s="119"/>
      <c r="BG489" s="119"/>
      <c r="BH489" s="119"/>
      <c r="BI489" s="119"/>
      <c r="BJ489" s="119"/>
      <c r="BK489" s="119"/>
      <c r="BL489" s="26"/>
      <c r="BM489" s="119"/>
      <c r="BN489" s="119"/>
      <c r="BO489" s="119"/>
      <c r="BP489" s="119"/>
      <c r="BQ489" s="119"/>
      <c r="BR489" s="119"/>
      <c r="BS489" s="119"/>
      <c r="BT489" s="119"/>
      <c r="BU489" s="119"/>
      <c r="BV489" s="119"/>
      <c r="BW489" s="119"/>
      <c r="BX489" s="119"/>
      <c r="BY489" s="119"/>
      <c r="BZ489" s="119"/>
      <c r="CA489" s="119"/>
      <c r="CB489" s="119"/>
      <c r="CC489" s="119"/>
      <c r="CD489" s="119"/>
      <c r="CE489" s="119"/>
      <c r="CF489" s="119"/>
      <c r="CG489" s="119"/>
      <c r="CH489" s="119"/>
      <c r="CI489" s="119"/>
      <c r="CJ489" s="119"/>
      <c r="CK489" s="119"/>
      <c r="CL489" s="119"/>
      <c r="CM489" s="119"/>
      <c r="CN489" s="119"/>
      <c r="CO489" s="119"/>
      <c r="CP489" s="119"/>
      <c r="CQ489" s="119"/>
      <c r="CR489" s="119"/>
      <c r="CS489" s="119"/>
      <c r="CT489" s="119"/>
      <c r="CU489" s="119"/>
      <c r="CV489" s="119"/>
      <c r="CW489" s="119"/>
      <c r="CX489" s="119"/>
      <c r="CY489" s="119"/>
      <c r="CZ489" s="119"/>
      <c r="DA489" s="119"/>
      <c r="DB489" s="119"/>
      <c r="DC489" s="119"/>
      <c r="DD489" s="119"/>
      <c r="DE489" s="119"/>
      <c r="DF489" s="119"/>
      <c r="DG489" s="119"/>
      <c r="DH489" s="119"/>
      <c r="DI489" s="119"/>
      <c r="DJ489" s="119"/>
      <c r="DK489" s="119"/>
      <c r="DL489" s="119"/>
      <c r="DM489" s="119"/>
      <c r="DN489" s="119"/>
      <c r="DO489" s="119"/>
      <c r="DP489" s="119"/>
      <c r="DQ489" s="119"/>
      <c r="DR489" s="119"/>
      <c r="DS489" s="119"/>
      <c r="DT489" s="119"/>
      <c r="DU489" s="119"/>
      <c r="DV489" s="119"/>
      <c r="DW489" s="119"/>
      <c r="DX489" s="119"/>
      <c r="DY489" s="119"/>
      <c r="DZ489" s="119"/>
      <c r="EA489" s="119"/>
      <c r="EB489" s="119"/>
      <c r="EC489" s="119"/>
      <c r="ED489" s="119"/>
      <c r="EE489" s="119"/>
      <c r="EF489" s="119"/>
      <c r="EG489" s="119"/>
      <c r="EH489" s="119"/>
      <c r="EI489" s="119"/>
      <c r="EJ489" s="119"/>
      <c r="EK489" s="119"/>
      <c r="EL489" s="119"/>
      <c r="EM489" s="119"/>
      <c r="EN489" s="119"/>
      <c r="EO489" s="119"/>
      <c r="EP489" s="119"/>
      <c r="EQ489" s="119"/>
      <c r="ER489" s="119"/>
      <c r="ES489" s="119"/>
      <c r="ET489" s="119"/>
      <c r="EU489" s="119"/>
      <c r="EV489" s="119"/>
      <c r="EW489" s="119"/>
      <c r="EX489" s="119"/>
      <c r="EY489" s="119"/>
      <c r="EZ489" s="119"/>
      <c r="FA489" s="119"/>
      <c r="FB489" s="119"/>
      <c r="FC489" s="119"/>
      <c r="FD489" s="119"/>
      <c r="FE489" s="119"/>
      <c r="FF489" s="119"/>
      <c r="FG489" s="119"/>
      <c r="FH489" s="119"/>
      <c r="FI489" s="119"/>
      <c r="FJ489" s="119"/>
      <c r="FK489" s="119"/>
      <c r="FL489" s="119"/>
      <c r="FM489" s="119"/>
      <c r="FN489" s="119"/>
      <c r="FO489" s="119"/>
      <c r="FP489" s="119"/>
      <c r="FQ489" s="119"/>
      <c r="FR489" s="119"/>
      <c r="FS489" s="119"/>
      <c r="FT489" s="119"/>
      <c r="FU489" s="119"/>
      <c r="FV489" s="119"/>
      <c r="FW489" s="119"/>
      <c r="FX489" s="119"/>
      <c r="FY489" s="119"/>
      <c r="FZ489" s="119"/>
      <c r="GA489" s="119"/>
      <c r="GB489" s="119"/>
      <c r="GC489" s="119"/>
      <c r="GD489" s="119"/>
      <c r="GE489" s="119"/>
      <c r="GF489" s="119"/>
      <c r="GG489" s="119"/>
      <c r="GH489" s="119"/>
      <c r="GI489" s="119"/>
      <c r="GJ489" s="119"/>
      <c r="GK489" s="119"/>
      <c r="GL489" s="119"/>
      <c r="GM489" s="119"/>
      <c r="GN489" s="119"/>
      <c r="GO489" s="119"/>
      <c r="GP489" s="119"/>
      <c r="GQ489" s="119"/>
      <c r="GR489" s="119"/>
      <c r="GS489" s="119"/>
      <c r="GT489" s="119"/>
      <c r="GU489" s="119"/>
      <c r="GV489" s="119"/>
      <c r="GW489" s="119"/>
      <c r="GX489" s="119"/>
      <c r="GY489" s="119"/>
      <c r="GZ489" s="119"/>
      <c r="HA489" s="119"/>
      <c r="HB489" s="119"/>
      <c r="HC489" s="119"/>
      <c r="HD489" s="119"/>
      <c r="HE489" s="119"/>
      <c r="HF489" s="119"/>
      <c r="HG489" s="119"/>
      <c r="HH489" s="119"/>
      <c r="HI489" s="119"/>
      <c r="HJ489" s="119"/>
      <c r="HK489" s="119"/>
      <c r="HL489" s="119"/>
      <c r="HM489" s="119"/>
      <c r="HN489" s="119"/>
      <c r="HO489" s="119"/>
      <c r="HP489" s="119"/>
      <c r="HQ489" s="119"/>
      <c r="HR489" s="119"/>
      <c r="HS489" s="119"/>
      <c r="HT489" s="119"/>
      <c r="HU489" s="119"/>
      <c r="HV489" s="119"/>
      <c r="HW489" s="119"/>
      <c r="HX489" s="119"/>
      <c r="HY489" s="119"/>
      <c r="HZ489" s="119"/>
      <c r="IA489" s="119"/>
      <c r="IB489" s="119"/>
      <c r="IC489" s="119"/>
      <c r="ID489" s="119"/>
      <c r="IE489" s="119"/>
      <c r="IF489" s="119"/>
      <c r="IG489" s="119"/>
      <c r="IH489" s="119"/>
      <c r="II489" s="119"/>
      <c r="IJ489" s="119"/>
      <c r="IK489" s="119"/>
      <c r="IL489" s="119"/>
      <c r="IM489" s="119"/>
      <c r="IN489" s="119"/>
      <c r="IO489" s="119"/>
      <c r="IP489" s="119"/>
      <c r="IQ489" s="119"/>
      <c r="IR489" s="119"/>
      <c r="IS489" s="119"/>
      <c r="IT489" s="119"/>
      <c r="IU489" s="119"/>
      <c r="IV489" s="119"/>
      <c r="IW489" s="119"/>
      <c r="IX489" s="119"/>
      <c r="IY489" s="119"/>
      <c r="IZ489" s="119"/>
      <c r="JA489" s="119"/>
      <c r="JB489" s="119"/>
      <c r="JC489" s="119"/>
      <c r="JD489" s="119"/>
      <c r="JE489" s="119"/>
      <c r="JF489" s="119"/>
      <c r="JG489" s="119"/>
      <c r="JH489" s="119"/>
      <c r="JI489" s="119"/>
      <c r="JJ489" s="119"/>
      <c r="JK489" s="119"/>
      <c r="JL489" s="119"/>
      <c r="JM489" s="119"/>
      <c r="JN489" s="119"/>
      <c r="JO489" s="119"/>
      <c r="JP489" s="119"/>
      <c r="JQ489" s="119"/>
      <c r="JR489" s="119"/>
      <c r="JS489" s="119"/>
      <c r="JT489" s="119"/>
      <c r="JU489" s="119"/>
      <c r="JV489" s="119"/>
      <c r="JW489" s="119"/>
      <c r="JX489" s="119"/>
      <c r="JY489" s="119"/>
      <c r="JZ489" s="119"/>
      <c r="KA489" s="119"/>
      <c r="KB489" s="119"/>
      <c r="KC489" s="119"/>
      <c r="KD489" s="119"/>
      <c r="KE489" s="119"/>
      <c r="KF489" s="119"/>
      <c r="KG489" s="119"/>
      <c r="KH489" s="119"/>
      <c r="KI489" s="119"/>
      <c r="KJ489" s="119"/>
      <c r="KK489" s="119"/>
      <c r="KL489" s="119"/>
      <c r="KM489" s="119"/>
      <c r="KN489" s="119"/>
      <c r="KO489" s="119"/>
      <c r="KP489" s="119"/>
      <c r="KQ489" s="119"/>
      <c r="KR489" s="119"/>
      <c r="KS489" s="119"/>
      <c r="KT489" s="119"/>
      <c r="KU489" s="119"/>
      <c r="KV489" s="119"/>
      <c r="KW489" s="119"/>
      <c r="KX489" s="119"/>
      <c r="KY489" s="119"/>
      <c r="KZ489" s="119"/>
      <c r="LA489" s="119"/>
      <c r="LB489" s="119"/>
      <c r="LC489" s="119"/>
      <c r="LD489" s="119"/>
      <c r="LE489" s="119"/>
      <c r="LF489" s="119"/>
      <c r="LG489" s="119"/>
      <c r="LH489" s="119"/>
      <c r="LI489" s="119"/>
      <c r="LJ489" s="119"/>
      <c r="LK489" s="119"/>
      <c r="LL489" s="119"/>
      <c r="LM489" s="119"/>
      <c r="LN489" s="119"/>
      <c r="LO489" s="119"/>
      <c r="LP489" s="119"/>
      <c r="LQ489" s="119"/>
      <c r="LR489" s="119"/>
      <c r="LS489" s="119"/>
      <c r="LT489" s="119"/>
      <c r="LU489" s="119"/>
      <c r="LV489" s="119"/>
      <c r="LW489" s="119"/>
      <c r="LX489" s="119"/>
      <c r="LY489" s="119"/>
      <c r="LZ489" s="119"/>
      <c r="MA489" s="119"/>
      <c r="MB489" s="119"/>
      <c r="MC489" s="119"/>
      <c r="MD489" s="119"/>
      <c r="ME489" s="119"/>
      <c r="MF489" s="119"/>
      <c r="MG489" s="119"/>
      <c r="MH489" s="119"/>
      <c r="MI489" s="119"/>
      <c r="MJ489" s="119"/>
      <c r="MK489" s="119"/>
      <c r="ML489" s="119"/>
      <c r="MM489" s="119"/>
      <c r="MN489" s="119"/>
      <c r="MO489" s="119"/>
      <c r="MP489" s="119"/>
      <c r="MQ489" s="119"/>
      <c r="MR489" s="119"/>
      <c r="MS489" s="119"/>
      <c r="MT489" s="119"/>
      <c r="MU489" s="119"/>
      <c r="MV489" s="119"/>
      <c r="MW489" s="119"/>
      <c r="MX489" s="119"/>
      <c r="MY489" s="119"/>
      <c r="MZ489" s="119"/>
    </row>
    <row r="490" spans="1:364" s="27" customFormat="1" x14ac:dyDescent="0.25">
      <c r="A490" s="123"/>
      <c r="B490" s="123"/>
      <c r="C490" s="126"/>
      <c r="D490" s="129"/>
      <c r="E490" s="109"/>
      <c r="F490" s="131"/>
      <c r="G490" s="132"/>
      <c r="H490" s="114" t="s">
        <v>149</v>
      </c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19"/>
      <c r="T490" s="119"/>
      <c r="U490" s="119"/>
      <c r="V490" s="119"/>
      <c r="W490" s="119"/>
      <c r="X490" s="119"/>
      <c r="Y490" s="119"/>
      <c r="Z490" s="119"/>
      <c r="AA490" s="119"/>
      <c r="AB490" s="119"/>
      <c r="AC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9"/>
      <c r="AT490" s="119"/>
      <c r="AU490" s="119"/>
      <c r="AV490" s="119"/>
      <c r="AW490" s="119"/>
      <c r="AX490" s="119"/>
      <c r="AY490" s="119"/>
      <c r="AZ490" s="119"/>
      <c r="BA490" s="119"/>
      <c r="BB490" s="119"/>
      <c r="BC490" s="119"/>
      <c r="BD490" s="119"/>
      <c r="BE490" s="119"/>
      <c r="BF490" s="119"/>
      <c r="BG490" s="119"/>
      <c r="BH490" s="119"/>
      <c r="BI490" s="119"/>
      <c r="BJ490" s="119"/>
      <c r="BK490" s="119"/>
      <c r="BL490" s="26"/>
      <c r="BM490" s="119"/>
      <c r="BN490" s="119"/>
      <c r="BO490" s="119"/>
      <c r="BP490" s="119"/>
      <c r="BQ490" s="119"/>
      <c r="BR490" s="119"/>
      <c r="BS490" s="119"/>
      <c r="BT490" s="119"/>
      <c r="BU490" s="119"/>
      <c r="BV490" s="119"/>
      <c r="BW490" s="119"/>
      <c r="BX490" s="119"/>
      <c r="BY490" s="119"/>
      <c r="BZ490" s="119"/>
      <c r="CA490" s="119"/>
      <c r="CB490" s="119"/>
      <c r="CC490" s="119"/>
      <c r="CD490" s="119"/>
      <c r="CE490" s="119"/>
      <c r="CF490" s="119"/>
      <c r="CG490" s="119"/>
      <c r="CH490" s="119"/>
      <c r="CI490" s="119"/>
      <c r="CJ490" s="119"/>
      <c r="CK490" s="119"/>
      <c r="CL490" s="119"/>
      <c r="CM490" s="119"/>
      <c r="CN490" s="119"/>
      <c r="CO490" s="119"/>
      <c r="CP490" s="119"/>
      <c r="CQ490" s="119"/>
      <c r="CR490" s="119"/>
      <c r="CS490" s="119"/>
      <c r="CT490" s="119"/>
      <c r="CU490" s="119"/>
      <c r="CV490" s="119"/>
      <c r="CW490" s="119"/>
      <c r="CX490" s="119"/>
      <c r="CY490" s="119"/>
      <c r="CZ490" s="119"/>
      <c r="DA490" s="119"/>
      <c r="DB490" s="119"/>
      <c r="DC490" s="119"/>
      <c r="DD490" s="119"/>
      <c r="DE490" s="119"/>
      <c r="DF490" s="119"/>
      <c r="DG490" s="119"/>
      <c r="DH490" s="119"/>
      <c r="DI490" s="119"/>
      <c r="DJ490" s="119"/>
      <c r="DK490" s="119"/>
      <c r="DL490" s="119"/>
      <c r="DM490" s="119"/>
      <c r="DN490" s="119"/>
      <c r="DO490" s="119"/>
      <c r="DP490" s="119"/>
      <c r="DQ490" s="119"/>
      <c r="DR490" s="119"/>
      <c r="DS490" s="119"/>
      <c r="DT490" s="119"/>
      <c r="DU490" s="119"/>
      <c r="DV490" s="119"/>
      <c r="DW490" s="119"/>
      <c r="DX490" s="119"/>
      <c r="DY490" s="119"/>
      <c r="DZ490" s="119"/>
      <c r="EA490" s="119"/>
      <c r="EB490" s="119"/>
      <c r="EC490" s="119"/>
      <c r="ED490" s="119"/>
      <c r="EE490" s="119"/>
      <c r="EF490" s="119"/>
      <c r="EG490" s="119"/>
      <c r="EH490" s="119"/>
      <c r="EI490" s="119"/>
      <c r="EJ490" s="119"/>
      <c r="EK490" s="119"/>
      <c r="EL490" s="119"/>
      <c r="EM490" s="119"/>
      <c r="EN490" s="119"/>
      <c r="EO490" s="119"/>
      <c r="EP490" s="119"/>
      <c r="EQ490" s="119"/>
      <c r="ER490" s="119"/>
      <c r="ES490" s="119"/>
      <c r="ET490" s="119"/>
      <c r="EU490" s="119"/>
      <c r="EV490" s="119"/>
      <c r="EW490" s="119"/>
      <c r="EX490" s="119"/>
      <c r="EY490" s="119"/>
      <c r="EZ490" s="119"/>
      <c r="FA490" s="119"/>
      <c r="FB490" s="119"/>
      <c r="FC490" s="119"/>
      <c r="FD490" s="119"/>
      <c r="FE490" s="119"/>
      <c r="FF490" s="119"/>
      <c r="FG490" s="119"/>
      <c r="FH490" s="119"/>
      <c r="FI490" s="119"/>
      <c r="FJ490" s="119"/>
      <c r="FK490" s="119"/>
      <c r="FL490" s="119"/>
      <c r="FM490" s="119"/>
      <c r="FN490" s="119"/>
      <c r="FO490" s="119"/>
      <c r="FP490" s="119"/>
      <c r="FQ490" s="119"/>
      <c r="FR490" s="119"/>
      <c r="FS490" s="119"/>
      <c r="FT490" s="119"/>
      <c r="FU490" s="119"/>
      <c r="FV490" s="119"/>
      <c r="FW490" s="119"/>
      <c r="FX490" s="119"/>
      <c r="FY490" s="119"/>
      <c r="FZ490" s="119"/>
      <c r="GA490" s="119"/>
      <c r="GB490" s="119"/>
      <c r="GC490" s="119"/>
      <c r="GD490" s="119"/>
      <c r="GE490" s="119"/>
      <c r="GF490" s="119"/>
      <c r="GG490" s="119"/>
      <c r="GH490" s="119"/>
      <c r="GI490" s="119"/>
      <c r="GJ490" s="119"/>
      <c r="GK490" s="119"/>
      <c r="GL490" s="119"/>
      <c r="GM490" s="119"/>
      <c r="GN490" s="119"/>
      <c r="GO490" s="119"/>
      <c r="GP490" s="119"/>
      <c r="GQ490" s="119"/>
      <c r="GR490" s="119"/>
      <c r="GS490" s="119"/>
      <c r="GT490" s="119"/>
      <c r="GU490" s="119"/>
      <c r="GV490" s="119"/>
      <c r="GW490" s="119"/>
      <c r="GX490" s="119"/>
      <c r="GY490" s="119"/>
      <c r="GZ490" s="119"/>
      <c r="HA490" s="119"/>
      <c r="HB490" s="119"/>
      <c r="HC490" s="119"/>
      <c r="HD490" s="119"/>
      <c r="HE490" s="119"/>
      <c r="HF490" s="119"/>
      <c r="HG490" s="119"/>
      <c r="HH490" s="119"/>
      <c r="HI490" s="119"/>
      <c r="HJ490" s="119"/>
      <c r="HK490" s="119"/>
      <c r="HL490" s="119"/>
      <c r="HM490" s="119"/>
      <c r="HN490" s="119"/>
      <c r="HO490" s="119"/>
      <c r="HP490" s="119"/>
      <c r="HQ490" s="119"/>
      <c r="HR490" s="119"/>
      <c r="HS490" s="119"/>
      <c r="HT490" s="119"/>
      <c r="HU490" s="119"/>
      <c r="HV490" s="119"/>
      <c r="HW490" s="119"/>
      <c r="HX490" s="119"/>
      <c r="HY490" s="119"/>
      <c r="HZ490" s="119"/>
      <c r="IA490" s="119"/>
      <c r="IB490" s="119"/>
      <c r="IC490" s="119"/>
      <c r="ID490" s="119"/>
      <c r="IE490" s="119"/>
      <c r="IF490" s="119"/>
      <c r="IG490" s="119"/>
      <c r="IH490" s="119"/>
      <c r="II490" s="119"/>
      <c r="IJ490" s="119"/>
      <c r="IK490" s="119"/>
      <c r="IL490" s="119"/>
      <c r="IM490" s="119"/>
      <c r="IN490" s="119"/>
      <c r="IO490" s="119"/>
      <c r="IP490" s="119"/>
      <c r="IQ490" s="119"/>
      <c r="IR490" s="119"/>
      <c r="IS490" s="119"/>
      <c r="IT490" s="119"/>
      <c r="IU490" s="119"/>
      <c r="IV490" s="119"/>
      <c r="IW490" s="119"/>
      <c r="IX490" s="119"/>
      <c r="IY490" s="119"/>
      <c r="IZ490" s="119"/>
      <c r="JA490" s="119"/>
      <c r="JB490" s="119"/>
      <c r="JC490" s="119"/>
      <c r="JD490" s="119"/>
      <c r="JE490" s="119"/>
      <c r="JF490" s="119"/>
      <c r="JG490" s="119"/>
      <c r="JH490" s="119"/>
      <c r="JI490" s="119"/>
      <c r="JJ490" s="119"/>
      <c r="JK490" s="119"/>
      <c r="JL490" s="119"/>
      <c r="JM490" s="119"/>
      <c r="JN490" s="119"/>
      <c r="JO490" s="119"/>
      <c r="JP490" s="119"/>
      <c r="JQ490" s="119"/>
      <c r="JR490" s="119"/>
      <c r="JS490" s="119"/>
      <c r="JT490" s="119"/>
      <c r="JU490" s="119"/>
      <c r="JV490" s="119"/>
      <c r="JW490" s="119"/>
      <c r="JX490" s="119"/>
      <c r="JY490" s="119"/>
      <c r="JZ490" s="119"/>
      <c r="KA490" s="119"/>
      <c r="KB490" s="119"/>
      <c r="KC490" s="119"/>
      <c r="KD490" s="119"/>
      <c r="KE490" s="119"/>
      <c r="KF490" s="119"/>
      <c r="KG490" s="119"/>
      <c r="KH490" s="119"/>
      <c r="KI490" s="119"/>
      <c r="KJ490" s="119"/>
      <c r="KK490" s="119"/>
      <c r="KL490" s="119"/>
      <c r="KM490" s="119"/>
      <c r="KN490" s="119"/>
      <c r="KO490" s="119"/>
      <c r="KP490" s="119"/>
      <c r="KQ490" s="119"/>
      <c r="KR490" s="119"/>
      <c r="KS490" s="119"/>
      <c r="KT490" s="119"/>
      <c r="KU490" s="119"/>
      <c r="KV490" s="119"/>
      <c r="KW490" s="119"/>
      <c r="KX490" s="119"/>
      <c r="KY490" s="119"/>
      <c r="KZ490" s="119"/>
      <c r="LA490" s="119"/>
      <c r="LB490" s="119"/>
      <c r="LC490" s="119"/>
      <c r="LD490" s="119"/>
      <c r="LE490" s="119"/>
      <c r="LF490" s="119"/>
      <c r="LG490" s="119"/>
      <c r="LH490" s="119"/>
      <c r="LI490" s="119"/>
      <c r="LJ490" s="119"/>
      <c r="LK490" s="119"/>
      <c r="LL490" s="119"/>
      <c r="LM490" s="119"/>
      <c r="LN490" s="119"/>
      <c r="LO490" s="119"/>
      <c r="LP490" s="119"/>
      <c r="LQ490" s="119"/>
      <c r="LR490" s="119"/>
      <c r="LS490" s="119"/>
      <c r="LT490" s="119"/>
      <c r="LU490" s="119"/>
      <c r="LV490" s="119"/>
      <c r="LW490" s="119"/>
      <c r="LX490" s="119"/>
      <c r="LY490" s="119"/>
      <c r="LZ490" s="119"/>
      <c r="MA490" s="119"/>
      <c r="MB490" s="119"/>
      <c r="MC490" s="119"/>
      <c r="MD490" s="119"/>
      <c r="ME490" s="119"/>
      <c r="MF490" s="119"/>
      <c r="MG490" s="119"/>
      <c r="MH490" s="119"/>
      <c r="MI490" s="119"/>
      <c r="MJ490" s="119"/>
      <c r="MK490" s="119"/>
      <c r="ML490" s="119"/>
      <c r="MM490" s="119"/>
      <c r="MN490" s="119"/>
      <c r="MO490" s="119"/>
      <c r="MP490" s="119"/>
      <c r="MQ490" s="119"/>
      <c r="MR490" s="119"/>
      <c r="MS490" s="119"/>
      <c r="MT490" s="119"/>
      <c r="MU490" s="119"/>
      <c r="MV490" s="119"/>
      <c r="MW490" s="119"/>
      <c r="MX490" s="119"/>
      <c r="MY490" s="119"/>
      <c r="MZ490" s="119"/>
    </row>
    <row r="491" spans="1:364" s="27" customFormat="1" x14ac:dyDescent="0.25">
      <c r="A491" s="121"/>
      <c r="B491" s="124" t="e">
        <f>VLOOKUP(A491,Rules!$B$8:$C$154,2,0)</f>
        <v>#N/A</v>
      </c>
      <c r="C491" s="125">
        <f t="shared" ref="C491" si="22">SUM(I492:XX492)</f>
        <v>0</v>
      </c>
      <c r="D491" s="127"/>
      <c r="E491" s="110" t="s">
        <v>492</v>
      </c>
      <c r="F491" s="130" t="e">
        <f>VLOOKUP(A491,Table2[],10,0)</f>
        <v>#N/A</v>
      </c>
      <c r="G491" s="130"/>
      <c r="H491" s="113" t="s">
        <v>440</v>
      </c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9"/>
      <c r="T491" s="119"/>
      <c r="U491" s="119"/>
      <c r="V491" s="119"/>
      <c r="W491" s="119"/>
      <c r="X491" s="119"/>
      <c r="Y491" s="119"/>
      <c r="Z491" s="119"/>
      <c r="AA491" s="119"/>
      <c r="AB491" s="119"/>
      <c r="AC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9"/>
      <c r="AT491" s="119"/>
      <c r="AU491" s="119"/>
      <c r="AV491" s="119"/>
      <c r="AW491" s="119"/>
      <c r="AX491" s="119"/>
      <c r="AY491" s="119"/>
      <c r="AZ491" s="119"/>
      <c r="BA491" s="119"/>
      <c r="BB491" s="119"/>
      <c r="BC491" s="119"/>
      <c r="BD491" s="119"/>
      <c r="BE491" s="119"/>
      <c r="BF491" s="119"/>
      <c r="BG491" s="119"/>
      <c r="BH491" s="119"/>
      <c r="BI491" s="119"/>
      <c r="BJ491" s="119"/>
      <c r="BK491" s="119"/>
      <c r="BL491" s="26"/>
      <c r="BM491" s="119"/>
      <c r="BN491" s="26"/>
      <c r="BO491" s="119"/>
      <c r="BP491" s="119"/>
      <c r="BQ491" s="119"/>
      <c r="BR491" s="119"/>
      <c r="BS491" s="119"/>
      <c r="BT491" s="119"/>
      <c r="BU491" s="119"/>
      <c r="BV491" s="119"/>
      <c r="BW491" s="119"/>
      <c r="BX491" s="119"/>
      <c r="BY491" s="119"/>
      <c r="BZ491" s="119"/>
      <c r="CA491" s="119"/>
      <c r="CB491" s="119"/>
      <c r="CC491" s="119"/>
      <c r="CD491" s="119"/>
      <c r="CE491" s="119"/>
      <c r="CF491" s="119"/>
      <c r="CG491" s="119"/>
      <c r="CH491" s="119"/>
      <c r="CI491" s="119"/>
      <c r="CJ491" s="119"/>
      <c r="CK491" s="119"/>
      <c r="CL491" s="119"/>
      <c r="CM491" s="119"/>
      <c r="CN491" s="119"/>
      <c r="CO491" s="119"/>
      <c r="CP491" s="119"/>
      <c r="CQ491" s="119"/>
      <c r="CR491" s="119"/>
      <c r="CS491" s="119"/>
      <c r="CT491" s="119"/>
      <c r="CU491" s="119"/>
      <c r="CV491" s="119"/>
      <c r="CW491" s="119"/>
      <c r="CX491" s="119"/>
      <c r="CY491" s="119"/>
      <c r="CZ491" s="119"/>
      <c r="DA491" s="119"/>
      <c r="DB491" s="119"/>
      <c r="DC491" s="119"/>
      <c r="DD491" s="119"/>
      <c r="DE491" s="119"/>
      <c r="DF491" s="119"/>
      <c r="DG491" s="119"/>
      <c r="DH491" s="119"/>
      <c r="DI491" s="119"/>
      <c r="DJ491" s="119"/>
      <c r="DK491" s="119"/>
      <c r="DL491" s="119"/>
      <c r="DM491" s="119"/>
      <c r="DN491" s="119"/>
      <c r="DO491" s="119"/>
      <c r="DP491" s="119"/>
      <c r="DQ491" s="119"/>
      <c r="DR491" s="119"/>
      <c r="DS491" s="119"/>
      <c r="DT491" s="119"/>
      <c r="DU491" s="119"/>
      <c r="DV491" s="119"/>
      <c r="DW491" s="119"/>
      <c r="DX491" s="119"/>
      <c r="DY491" s="119"/>
      <c r="DZ491" s="119"/>
      <c r="EA491" s="119"/>
      <c r="EB491" s="119"/>
      <c r="EC491" s="119"/>
      <c r="ED491" s="119"/>
      <c r="EE491" s="119"/>
      <c r="EF491" s="119"/>
      <c r="EG491" s="119"/>
      <c r="EH491" s="119"/>
      <c r="EI491" s="119"/>
      <c r="EJ491" s="119"/>
      <c r="EK491" s="119"/>
      <c r="EL491" s="119"/>
      <c r="EM491" s="119"/>
      <c r="EN491" s="119"/>
      <c r="EO491" s="119"/>
      <c r="EP491" s="119"/>
      <c r="EQ491" s="119"/>
      <c r="ER491" s="119"/>
      <c r="ES491" s="119"/>
      <c r="ET491" s="119"/>
      <c r="EU491" s="119"/>
      <c r="EV491" s="119"/>
      <c r="EW491" s="119"/>
      <c r="EX491" s="119"/>
      <c r="EY491" s="119"/>
      <c r="EZ491" s="119"/>
      <c r="FA491" s="119"/>
      <c r="FB491" s="119"/>
      <c r="FC491" s="119"/>
      <c r="FD491" s="119"/>
      <c r="FE491" s="119"/>
      <c r="FF491" s="119"/>
      <c r="FG491" s="119"/>
      <c r="FH491" s="119"/>
      <c r="FI491" s="119"/>
      <c r="FJ491" s="119"/>
      <c r="FK491" s="119"/>
      <c r="FL491" s="119"/>
      <c r="FM491" s="119"/>
      <c r="FN491" s="119"/>
      <c r="FO491" s="119"/>
      <c r="FP491" s="119"/>
      <c r="FQ491" s="119"/>
      <c r="FR491" s="119"/>
      <c r="FS491" s="119"/>
      <c r="FT491" s="119"/>
      <c r="FU491" s="119"/>
      <c r="FV491" s="119"/>
      <c r="FW491" s="119"/>
      <c r="FX491" s="119"/>
      <c r="FY491" s="119"/>
      <c r="FZ491" s="119"/>
      <c r="GA491" s="119"/>
      <c r="GB491" s="119"/>
      <c r="GC491" s="119"/>
      <c r="GD491" s="119"/>
      <c r="GE491" s="119"/>
      <c r="GF491" s="119"/>
      <c r="GG491" s="119"/>
      <c r="GH491" s="119"/>
      <c r="GI491" s="119"/>
      <c r="GJ491" s="119"/>
      <c r="GK491" s="119"/>
      <c r="GL491" s="119"/>
      <c r="GM491" s="119"/>
      <c r="GN491" s="119"/>
      <c r="GO491" s="119"/>
      <c r="GP491" s="119"/>
      <c r="GQ491" s="119"/>
      <c r="GR491" s="119"/>
      <c r="GS491" s="119"/>
      <c r="GT491" s="119"/>
      <c r="GU491" s="119"/>
      <c r="GV491" s="119"/>
      <c r="GW491" s="119"/>
      <c r="GX491" s="119"/>
      <c r="GY491" s="119"/>
      <c r="GZ491" s="119"/>
      <c r="HA491" s="119"/>
      <c r="HB491" s="119"/>
      <c r="HC491" s="119"/>
      <c r="HD491" s="119"/>
      <c r="HE491" s="119"/>
      <c r="HF491" s="119"/>
      <c r="HG491" s="119"/>
      <c r="HH491" s="119"/>
      <c r="HI491" s="119"/>
      <c r="HJ491" s="119"/>
      <c r="HK491" s="119"/>
      <c r="HL491" s="119"/>
      <c r="HM491" s="119"/>
      <c r="HN491" s="119"/>
      <c r="HO491" s="119"/>
      <c r="HP491" s="119"/>
      <c r="HQ491" s="119"/>
      <c r="HR491" s="119"/>
      <c r="HS491" s="119"/>
      <c r="HT491" s="119"/>
      <c r="HU491" s="119"/>
      <c r="HV491" s="119"/>
      <c r="HW491" s="119"/>
      <c r="HX491" s="119"/>
      <c r="HY491" s="119"/>
      <c r="HZ491" s="119"/>
      <c r="IA491" s="119"/>
      <c r="IB491" s="119"/>
      <c r="IC491" s="119"/>
      <c r="ID491" s="119"/>
      <c r="IE491" s="119"/>
      <c r="IF491" s="119"/>
      <c r="IG491" s="119"/>
      <c r="IH491" s="119"/>
      <c r="II491" s="119"/>
      <c r="IJ491" s="119"/>
      <c r="IK491" s="119"/>
      <c r="IL491" s="119"/>
      <c r="IM491" s="119"/>
      <c r="IN491" s="119"/>
      <c r="IO491" s="119"/>
      <c r="IP491" s="119"/>
      <c r="IQ491" s="119"/>
      <c r="IR491" s="119"/>
      <c r="IS491" s="119"/>
      <c r="IT491" s="119"/>
      <c r="IU491" s="119"/>
      <c r="IV491" s="119"/>
      <c r="IW491" s="119"/>
      <c r="IX491" s="119"/>
      <c r="IY491" s="119"/>
      <c r="IZ491" s="119"/>
      <c r="JA491" s="119"/>
      <c r="JB491" s="119"/>
      <c r="JC491" s="119"/>
      <c r="JD491" s="119"/>
      <c r="JE491" s="119"/>
      <c r="JF491" s="119"/>
      <c r="JG491" s="119"/>
      <c r="JH491" s="119"/>
      <c r="JI491" s="119"/>
      <c r="JJ491" s="119"/>
      <c r="JK491" s="119"/>
      <c r="JL491" s="119"/>
      <c r="JM491" s="119"/>
      <c r="JN491" s="119"/>
      <c r="JO491" s="119"/>
      <c r="JP491" s="119"/>
      <c r="JQ491" s="119"/>
      <c r="JR491" s="119"/>
      <c r="JS491" s="119"/>
      <c r="JT491" s="119"/>
      <c r="JU491" s="119"/>
      <c r="JV491" s="119"/>
      <c r="JW491" s="119"/>
      <c r="JX491" s="119"/>
      <c r="JY491" s="119"/>
      <c r="JZ491" s="119"/>
      <c r="KA491" s="119"/>
      <c r="KB491" s="119"/>
      <c r="KC491" s="119"/>
      <c r="KD491" s="119"/>
      <c r="KE491" s="119"/>
      <c r="KF491" s="119"/>
      <c r="KG491" s="119"/>
      <c r="KH491" s="119"/>
      <c r="KI491" s="119"/>
      <c r="KJ491" s="119"/>
      <c r="KK491" s="119"/>
      <c r="KL491" s="119"/>
      <c r="KM491" s="119"/>
      <c r="KN491" s="119"/>
      <c r="KO491" s="119"/>
      <c r="KP491" s="119"/>
      <c r="KQ491" s="119"/>
      <c r="KR491" s="119"/>
      <c r="KS491" s="119"/>
      <c r="KT491" s="119"/>
      <c r="KU491" s="119"/>
      <c r="KV491" s="119"/>
      <c r="KW491" s="119"/>
      <c r="KX491" s="119"/>
      <c r="KY491" s="119"/>
      <c r="KZ491" s="119"/>
      <c r="LA491" s="119"/>
      <c r="LB491" s="119"/>
      <c r="LC491" s="119"/>
      <c r="LD491" s="119"/>
      <c r="LE491" s="119"/>
      <c r="LF491" s="119"/>
      <c r="LG491" s="119"/>
      <c r="LH491" s="119"/>
      <c r="LI491" s="119"/>
      <c r="LJ491" s="119"/>
      <c r="LK491" s="119"/>
      <c r="LL491" s="119"/>
      <c r="LM491" s="119"/>
      <c r="LN491" s="119"/>
      <c r="LO491" s="119"/>
      <c r="LP491" s="119"/>
      <c r="LQ491" s="119"/>
      <c r="LR491" s="119"/>
      <c r="LS491" s="119"/>
      <c r="LT491" s="119"/>
      <c r="LU491" s="119"/>
      <c r="LV491" s="119"/>
      <c r="LW491" s="119"/>
      <c r="LX491" s="119"/>
      <c r="LY491" s="119"/>
      <c r="LZ491" s="119"/>
      <c r="MA491" s="119"/>
      <c r="MB491" s="119"/>
      <c r="MC491" s="119"/>
      <c r="MD491" s="119"/>
      <c r="ME491" s="119"/>
      <c r="MF491" s="119"/>
      <c r="MG491" s="119"/>
      <c r="MH491" s="119"/>
      <c r="MI491" s="119"/>
      <c r="MJ491" s="119"/>
      <c r="MK491" s="119"/>
      <c r="ML491" s="119"/>
      <c r="MM491" s="119"/>
      <c r="MN491" s="119"/>
      <c r="MO491" s="119"/>
      <c r="MP491" s="119"/>
      <c r="MQ491" s="119"/>
      <c r="MR491" s="119"/>
      <c r="MS491" s="119"/>
      <c r="MT491" s="119"/>
      <c r="MU491" s="119"/>
      <c r="MV491" s="119"/>
      <c r="MW491" s="119"/>
      <c r="MX491" s="119"/>
      <c r="MY491" s="119"/>
      <c r="MZ491" s="119"/>
    </row>
    <row r="492" spans="1:364" s="27" customFormat="1" x14ac:dyDescent="0.25">
      <c r="A492" s="122"/>
      <c r="B492" s="122"/>
      <c r="C492" s="126"/>
      <c r="D492" s="128"/>
      <c r="E492" s="109"/>
      <c r="F492" s="131"/>
      <c r="G492" s="131"/>
      <c r="H492" s="105" t="s">
        <v>439</v>
      </c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9"/>
      <c r="T492" s="119"/>
      <c r="U492" s="119"/>
      <c r="V492" s="119"/>
      <c r="W492" s="119"/>
      <c r="X492" s="119"/>
      <c r="Y492" s="119"/>
      <c r="Z492" s="119"/>
      <c r="AA492" s="119"/>
      <c r="AB492" s="119"/>
      <c r="AC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9"/>
      <c r="AT492" s="119"/>
      <c r="AU492" s="119"/>
      <c r="AV492" s="119"/>
      <c r="AW492" s="119"/>
      <c r="AX492" s="119"/>
      <c r="AY492" s="119"/>
      <c r="AZ492" s="119"/>
      <c r="BA492" s="119"/>
      <c r="BB492" s="119"/>
      <c r="BC492" s="119"/>
      <c r="BD492" s="119"/>
      <c r="BE492" s="119"/>
      <c r="BF492" s="119"/>
      <c r="BG492" s="119"/>
      <c r="BH492" s="119"/>
      <c r="BI492" s="119"/>
      <c r="BJ492" s="119"/>
      <c r="BK492" s="119"/>
      <c r="BL492" s="26"/>
      <c r="BM492" s="119"/>
      <c r="BN492" s="26"/>
      <c r="BO492" s="119"/>
      <c r="BP492" s="119"/>
      <c r="BQ492" s="119"/>
      <c r="BR492" s="119"/>
      <c r="BS492" s="119"/>
      <c r="BT492" s="119"/>
      <c r="BU492" s="119"/>
      <c r="BV492" s="119"/>
      <c r="BW492" s="119"/>
      <c r="BX492" s="119"/>
      <c r="BY492" s="119"/>
      <c r="BZ492" s="119"/>
      <c r="CA492" s="119"/>
      <c r="CB492" s="119"/>
      <c r="CC492" s="119"/>
      <c r="CD492" s="119"/>
      <c r="CE492" s="119"/>
      <c r="CF492" s="119"/>
      <c r="CG492" s="119"/>
      <c r="CH492" s="119"/>
      <c r="CI492" s="119"/>
      <c r="CJ492" s="119"/>
      <c r="CK492" s="119"/>
      <c r="CL492" s="119"/>
      <c r="CM492" s="119"/>
      <c r="CN492" s="119"/>
      <c r="CO492" s="119"/>
      <c r="CP492" s="119"/>
      <c r="CQ492" s="119"/>
      <c r="CR492" s="119"/>
      <c r="CS492" s="119"/>
      <c r="CT492" s="119"/>
      <c r="CU492" s="119"/>
      <c r="CV492" s="119"/>
      <c r="CW492" s="119"/>
      <c r="CX492" s="119"/>
      <c r="CY492" s="119"/>
      <c r="CZ492" s="119"/>
      <c r="DA492" s="119"/>
      <c r="DB492" s="119"/>
      <c r="DC492" s="119"/>
      <c r="DD492" s="119"/>
      <c r="DE492" s="119"/>
      <c r="DF492" s="119"/>
      <c r="DG492" s="119"/>
      <c r="DH492" s="119"/>
      <c r="DI492" s="119"/>
      <c r="DJ492" s="119"/>
      <c r="DK492" s="119"/>
      <c r="DL492" s="119"/>
      <c r="DM492" s="119"/>
      <c r="DN492" s="119"/>
      <c r="DO492" s="119"/>
      <c r="DP492" s="119"/>
      <c r="DQ492" s="119"/>
      <c r="DR492" s="119"/>
      <c r="DS492" s="119"/>
      <c r="DT492" s="119"/>
      <c r="DU492" s="119"/>
      <c r="DV492" s="119"/>
      <c r="DW492" s="119"/>
      <c r="DX492" s="119"/>
      <c r="DY492" s="119"/>
      <c r="DZ492" s="119"/>
      <c r="EA492" s="119"/>
      <c r="EB492" s="119"/>
      <c r="EC492" s="119"/>
      <c r="ED492" s="119"/>
      <c r="EE492" s="119"/>
      <c r="EF492" s="119"/>
      <c r="EG492" s="119"/>
      <c r="EH492" s="119"/>
      <c r="EI492" s="119"/>
      <c r="EJ492" s="119"/>
      <c r="EK492" s="119"/>
      <c r="EL492" s="119"/>
      <c r="EM492" s="119"/>
      <c r="EN492" s="119"/>
      <c r="EO492" s="119"/>
      <c r="EP492" s="119"/>
      <c r="EQ492" s="119"/>
      <c r="ER492" s="119"/>
      <c r="ES492" s="119"/>
      <c r="ET492" s="119"/>
      <c r="EU492" s="119"/>
      <c r="EV492" s="119"/>
      <c r="EW492" s="119"/>
      <c r="EX492" s="119"/>
      <c r="EY492" s="119"/>
      <c r="EZ492" s="119"/>
      <c r="FA492" s="119"/>
      <c r="FB492" s="119"/>
      <c r="FC492" s="119"/>
      <c r="FD492" s="119"/>
      <c r="FE492" s="119"/>
      <c r="FF492" s="119"/>
      <c r="FG492" s="119"/>
      <c r="FH492" s="119"/>
      <c r="FI492" s="119"/>
      <c r="FJ492" s="119"/>
      <c r="FK492" s="119"/>
      <c r="FL492" s="119"/>
      <c r="FM492" s="119"/>
      <c r="FN492" s="119"/>
      <c r="FO492" s="119"/>
      <c r="FP492" s="119"/>
      <c r="FQ492" s="119"/>
      <c r="FR492" s="119"/>
      <c r="FS492" s="119"/>
      <c r="FT492" s="119"/>
      <c r="FU492" s="119"/>
      <c r="FV492" s="119"/>
      <c r="FW492" s="119"/>
      <c r="FX492" s="119"/>
      <c r="FY492" s="119"/>
      <c r="FZ492" s="119"/>
      <c r="GA492" s="119"/>
      <c r="GB492" s="119"/>
      <c r="GC492" s="119"/>
      <c r="GD492" s="119"/>
      <c r="GE492" s="119"/>
      <c r="GF492" s="119"/>
      <c r="GG492" s="119"/>
      <c r="GH492" s="119"/>
      <c r="GI492" s="119"/>
      <c r="GJ492" s="119"/>
      <c r="GK492" s="119"/>
      <c r="GL492" s="119"/>
      <c r="GM492" s="119"/>
      <c r="GN492" s="119"/>
      <c r="GO492" s="119"/>
      <c r="GP492" s="119"/>
      <c r="GQ492" s="119"/>
      <c r="GR492" s="119"/>
      <c r="GS492" s="119"/>
      <c r="GT492" s="119"/>
      <c r="GU492" s="119"/>
      <c r="GV492" s="119"/>
      <c r="GW492" s="119"/>
      <c r="GX492" s="119"/>
      <c r="GY492" s="119"/>
      <c r="GZ492" s="119"/>
      <c r="HA492" s="119"/>
      <c r="HB492" s="119"/>
      <c r="HC492" s="119"/>
      <c r="HD492" s="119"/>
      <c r="HE492" s="119"/>
      <c r="HF492" s="119"/>
      <c r="HG492" s="119"/>
      <c r="HH492" s="119"/>
      <c r="HI492" s="119"/>
      <c r="HJ492" s="119"/>
      <c r="HK492" s="119"/>
      <c r="HL492" s="119"/>
      <c r="HM492" s="119"/>
      <c r="HN492" s="119"/>
      <c r="HO492" s="119"/>
      <c r="HP492" s="119"/>
      <c r="HQ492" s="119"/>
      <c r="HR492" s="119"/>
      <c r="HS492" s="119"/>
      <c r="HT492" s="119"/>
      <c r="HU492" s="119"/>
      <c r="HV492" s="119"/>
      <c r="HW492" s="119"/>
      <c r="HX492" s="119"/>
      <c r="HY492" s="119"/>
      <c r="HZ492" s="119"/>
      <c r="IA492" s="119"/>
      <c r="IB492" s="119"/>
      <c r="IC492" s="119"/>
      <c r="ID492" s="119"/>
      <c r="IE492" s="119"/>
      <c r="IF492" s="119"/>
      <c r="IG492" s="119"/>
      <c r="IH492" s="119"/>
      <c r="II492" s="119"/>
      <c r="IJ492" s="119"/>
      <c r="IK492" s="119"/>
      <c r="IL492" s="119"/>
      <c r="IM492" s="119"/>
      <c r="IN492" s="119"/>
      <c r="IO492" s="119"/>
      <c r="IP492" s="119"/>
      <c r="IQ492" s="119"/>
      <c r="IR492" s="119"/>
      <c r="IS492" s="119"/>
      <c r="IT492" s="119"/>
      <c r="IU492" s="119"/>
      <c r="IV492" s="119"/>
      <c r="IW492" s="119"/>
      <c r="IX492" s="119"/>
      <c r="IY492" s="119"/>
      <c r="IZ492" s="119"/>
      <c r="JA492" s="119"/>
      <c r="JB492" s="119"/>
      <c r="JC492" s="119"/>
      <c r="JD492" s="119"/>
      <c r="JE492" s="119"/>
      <c r="JF492" s="119"/>
      <c r="JG492" s="119"/>
      <c r="JH492" s="119"/>
      <c r="JI492" s="119"/>
      <c r="JJ492" s="119"/>
      <c r="JK492" s="119"/>
      <c r="JL492" s="119"/>
      <c r="JM492" s="119"/>
      <c r="JN492" s="119"/>
      <c r="JO492" s="119"/>
      <c r="JP492" s="119"/>
      <c r="JQ492" s="119"/>
      <c r="JR492" s="119"/>
      <c r="JS492" s="119"/>
      <c r="JT492" s="119"/>
      <c r="JU492" s="119"/>
      <c r="JV492" s="119"/>
      <c r="JW492" s="119"/>
      <c r="JX492" s="119"/>
      <c r="JY492" s="119"/>
      <c r="JZ492" s="119"/>
      <c r="KA492" s="119"/>
      <c r="KB492" s="119"/>
      <c r="KC492" s="119"/>
      <c r="KD492" s="119"/>
      <c r="KE492" s="119"/>
      <c r="KF492" s="119"/>
      <c r="KG492" s="119"/>
      <c r="KH492" s="119"/>
      <c r="KI492" s="119"/>
      <c r="KJ492" s="119"/>
      <c r="KK492" s="119"/>
      <c r="KL492" s="119"/>
      <c r="KM492" s="119"/>
      <c r="KN492" s="119"/>
      <c r="KO492" s="119"/>
      <c r="KP492" s="119"/>
      <c r="KQ492" s="119"/>
      <c r="KR492" s="119"/>
      <c r="KS492" s="119"/>
      <c r="KT492" s="119"/>
      <c r="KU492" s="119"/>
      <c r="KV492" s="119"/>
      <c r="KW492" s="119"/>
      <c r="KX492" s="119"/>
      <c r="KY492" s="119"/>
      <c r="KZ492" s="119"/>
      <c r="LA492" s="119"/>
      <c r="LB492" s="119"/>
      <c r="LC492" s="119"/>
      <c r="LD492" s="119"/>
      <c r="LE492" s="119"/>
      <c r="LF492" s="119"/>
      <c r="LG492" s="119"/>
      <c r="LH492" s="119"/>
      <c r="LI492" s="119"/>
      <c r="LJ492" s="119"/>
      <c r="LK492" s="119"/>
      <c r="LL492" s="119"/>
      <c r="LM492" s="119"/>
      <c r="LN492" s="119"/>
      <c r="LO492" s="119"/>
      <c r="LP492" s="119"/>
      <c r="LQ492" s="119"/>
      <c r="LR492" s="119"/>
      <c r="LS492" s="119"/>
      <c r="LT492" s="119"/>
      <c r="LU492" s="119"/>
      <c r="LV492" s="119"/>
      <c r="LW492" s="119"/>
      <c r="LX492" s="119"/>
      <c r="LY492" s="119"/>
      <c r="LZ492" s="119"/>
      <c r="MA492" s="119"/>
      <c r="MB492" s="119"/>
      <c r="MC492" s="119"/>
      <c r="MD492" s="119"/>
      <c r="ME492" s="119"/>
      <c r="MF492" s="119"/>
      <c r="MG492" s="119"/>
      <c r="MH492" s="119"/>
      <c r="MI492" s="119"/>
      <c r="MJ492" s="119"/>
      <c r="MK492" s="119"/>
      <c r="ML492" s="119"/>
      <c r="MM492" s="119"/>
      <c r="MN492" s="119"/>
      <c r="MO492" s="119"/>
      <c r="MP492" s="119"/>
      <c r="MQ492" s="119"/>
      <c r="MR492" s="119"/>
      <c r="MS492" s="119"/>
      <c r="MT492" s="119"/>
      <c r="MU492" s="119"/>
      <c r="MV492" s="119"/>
      <c r="MW492" s="119"/>
      <c r="MX492" s="119"/>
      <c r="MY492" s="119"/>
      <c r="MZ492" s="119"/>
    </row>
    <row r="493" spans="1:364" s="27" customFormat="1" x14ac:dyDescent="0.25">
      <c r="A493" s="122"/>
      <c r="B493" s="122"/>
      <c r="C493" s="126"/>
      <c r="D493" s="128"/>
      <c r="E493" s="109" t="s">
        <v>493</v>
      </c>
      <c r="F493" s="131"/>
      <c r="G493" s="131"/>
      <c r="H493" s="106" t="s">
        <v>438</v>
      </c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19"/>
      <c r="T493" s="119"/>
      <c r="U493" s="119"/>
      <c r="V493" s="119"/>
      <c r="W493" s="119"/>
      <c r="X493" s="119"/>
      <c r="Y493" s="119"/>
      <c r="Z493" s="119"/>
      <c r="AA493" s="119"/>
      <c r="AB493" s="119"/>
      <c r="AC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9"/>
      <c r="AT493" s="119"/>
      <c r="AU493" s="119"/>
      <c r="AV493" s="119"/>
      <c r="AW493" s="119"/>
      <c r="AX493" s="119"/>
      <c r="AY493" s="119"/>
      <c r="AZ493" s="119"/>
      <c r="BA493" s="119"/>
      <c r="BB493" s="119"/>
      <c r="BC493" s="119"/>
      <c r="BD493" s="119"/>
      <c r="BE493" s="119"/>
      <c r="BF493" s="119"/>
      <c r="BG493" s="119"/>
      <c r="BH493" s="119"/>
      <c r="BI493" s="119"/>
      <c r="BJ493" s="119"/>
      <c r="BK493" s="119"/>
      <c r="BL493" s="26"/>
      <c r="BM493" s="119"/>
      <c r="BN493" s="119"/>
      <c r="BO493" s="119"/>
      <c r="BP493" s="119"/>
      <c r="BQ493" s="119"/>
      <c r="BR493" s="119"/>
      <c r="BS493" s="119"/>
      <c r="BT493" s="119"/>
      <c r="BU493" s="119"/>
      <c r="BV493" s="119"/>
      <c r="BW493" s="119"/>
      <c r="BX493" s="119"/>
      <c r="BY493" s="119"/>
      <c r="BZ493" s="119"/>
      <c r="CA493" s="119"/>
      <c r="CB493" s="119"/>
      <c r="CC493" s="119"/>
      <c r="CD493" s="119"/>
      <c r="CE493" s="119"/>
      <c r="CF493" s="119"/>
      <c r="CG493" s="119"/>
      <c r="CH493" s="119"/>
      <c r="CI493" s="119"/>
      <c r="CJ493" s="119"/>
      <c r="CK493" s="119"/>
      <c r="CL493" s="119"/>
      <c r="CM493" s="119"/>
      <c r="CN493" s="119"/>
      <c r="CO493" s="119"/>
      <c r="CP493" s="119"/>
      <c r="CQ493" s="119"/>
      <c r="CR493" s="119"/>
      <c r="CS493" s="119"/>
      <c r="CT493" s="119"/>
      <c r="CU493" s="119"/>
      <c r="CV493" s="119"/>
      <c r="CW493" s="119"/>
      <c r="CX493" s="119"/>
      <c r="CY493" s="119"/>
      <c r="CZ493" s="119"/>
      <c r="DA493" s="119"/>
      <c r="DB493" s="119"/>
      <c r="DC493" s="119"/>
      <c r="DD493" s="119"/>
      <c r="DE493" s="119"/>
      <c r="DF493" s="119"/>
      <c r="DG493" s="119"/>
      <c r="DH493" s="119"/>
      <c r="DI493" s="119"/>
      <c r="DJ493" s="119"/>
      <c r="DK493" s="119"/>
      <c r="DL493" s="119"/>
      <c r="DM493" s="119"/>
      <c r="DN493" s="119"/>
      <c r="DO493" s="119"/>
      <c r="DP493" s="119"/>
      <c r="DQ493" s="119"/>
      <c r="DR493" s="119"/>
      <c r="DS493" s="119"/>
      <c r="DT493" s="119"/>
      <c r="DU493" s="119"/>
      <c r="DV493" s="119"/>
      <c r="DW493" s="119"/>
      <c r="DX493" s="119"/>
      <c r="DY493" s="119"/>
      <c r="DZ493" s="119"/>
      <c r="EA493" s="119"/>
      <c r="EB493" s="119"/>
      <c r="EC493" s="119"/>
      <c r="ED493" s="119"/>
      <c r="EE493" s="119"/>
      <c r="EF493" s="119"/>
      <c r="EG493" s="119"/>
      <c r="EH493" s="119"/>
      <c r="EI493" s="119"/>
      <c r="EJ493" s="119"/>
      <c r="EK493" s="119"/>
      <c r="EL493" s="119"/>
      <c r="EM493" s="119"/>
      <c r="EN493" s="119"/>
      <c r="EO493" s="119"/>
      <c r="EP493" s="119"/>
      <c r="EQ493" s="119"/>
      <c r="ER493" s="119"/>
      <c r="ES493" s="119"/>
      <c r="ET493" s="119"/>
      <c r="EU493" s="119"/>
      <c r="EV493" s="119"/>
      <c r="EW493" s="119"/>
      <c r="EX493" s="119"/>
      <c r="EY493" s="119"/>
      <c r="EZ493" s="119"/>
      <c r="FA493" s="119"/>
      <c r="FB493" s="119"/>
      <c r="FC493" s="119"/>
      <c r="FD493" s="119"/>
      <c r="FE493" s="119"/>
      <c r="FF493" s="119"/>
      <c r="FG493" s="119"/>
      <c r="FH493" s="119"/>
      <c r="FI493" s="119"/>
      <c r="FJ493" s="119"/>
      <c r="FK493" s="119"/>
      <c r="FL493" s="119"/>
      <c r="FM493" s="119"/>
      <c r="FN493" s="119"/>
      <c r="FO493" s="119"/>
      <c r="FP493" s="119"/>
      <c r="FQ493" s="119"/>
      <c r="FR493" s="119"/>
      <c r="FS493" s="119"/>
      <c r="FT493" s="119"/>
      <c r="FU493" s="119"/>
      <c r="FV493" s="119"/>
      <c r="FW493" s="119"/>
      <c r="FX493" s="119"/>
      <c r="FY493" s="119"/>
      <c r="FZ493" s="119"/>
      <c r="GA493" s="119"/>
      <c r="GB493" s="119"/>
      <c r="GC493" s="119"/>
      <c r="GD493" s="119"/>
      <c r="GE493" s="119"/>
      <c r="GF493" s="119"/>
      <c r="GG493" s="119"/>
      <c r="GH493" s="119"/>
      <c r="GI493" s="119"/>
      <c r="GJ493" s="119"/>
      <c r="GK493" s="119"/>
      <c r="GL493" s="119"/>
      <c r="GM493" s="119"/>
      <c r="GN493" s="119"/>
      <c r="GO493" s="119"/>
      <c r="GP493" s="119"/>
      <c r="GQ493" s="119"/>
      <c r="GR493" s="119"/>
      <c r="GS493" s="119"/>
      <c r="GT493" s="119"/>
      <c r="GU493" s="119"/>
      <c r="GV493" s="119"/>
      <c r="GW493" s="119"/>
      <c r="GX493" s="119"/>
      <c r="GY493" s="119"/>
      <c r="GZ493" s="119"/>
      <c r="HA493" s="119"/>
      <c r="HB493" s="119"/>
      <c r="HC493" s="119"/>
      <c r="HD493" s="119"/>
      <c r="HE493" s="119"/>
      <c r="HF493" s="119"/>
      <c r="HG493" s="119"/>
      <c r="HH493" s="119"/>
      <c r="HI493" s="119"/>
      <c r="HJ493" s="119"/>
      <c r="HK493" s="119"/>
      <c r="HL493" s="119"/>
      <c r="HM493" s="119"/>
      <c r="HN493" s="119"/>
      <c r="HO493" s="119"/>
      <c r="HP493" s="119"/>
      <c r="HQ493" s="119"/>
      <c r="HR493" s="119"/>
      <c r="HS493" s="119"/>
      <c r="HT493" s="119"/>
      <c r="HU493" s="119"/>
      <c r="HV493" s="119"/>
      <c r="HW493" s="119"/>
      <c r="HX493" s="119"/>
      <c r="HY493" s="119"/>
      <c r="HZ493" s="119"/>
      <c r="IA493" s="119"/>
      <c r="IB493" s="119"/>
      <c r="IC493" s="119"/>
      <c r="ID493" s="119"/>
      <c r="IE493" s="119"/>
      <c r="IF493" s="119"/>
      <c r="IG493" s="119"/>
      <c r="IH493" s="119"/>
      <c r="II493" s="119"/>
      <c r="IJ493" s="119"/>
      <c r="IK493" s="119"/>
      <c r="IL493" s="119"/>
      <c r="IM493" s="119"/>
      <c r="IN493" s="119"/>
      <c r="IO493" s="119"/>
      <c r="IP493" s="119"/>
      <c r="IQ493" s="119"/>
      <c r="IR493" s="119"/>
      <c r="IS493" s="119"/>
      <c r="IT493" s="119"/>
      <c r="IU493" s="119"/>
      <c r="IV493" s="119"/>
      <c r="IW493" s="119"/>
      <c r="IX493" s="119"/>
      <c r="IY493" s="119"/>
      <c r="IZ493" s="119"/>
      <c r="JA493" s="119"/>
      <c r="JB493" s="119"/>
      <c r="JC493" s="119"/>
      <c r="JD493" s="119"/>
      <c r="JE493" s="119"/>
      <c r="JF493" s="119"/>
      <c r="JG493" s="119"/>
      <c r="JH493" s="119"/>
      <c r="JI493" s="119"/>
      <c r="JJ493" s="119"/>
      <c r="JK493" s="119"/>
      <c r="JL493" s="119"/>
      <c r="JM493" s="119"/>
      <c r="JN493" s="119"/>
      <c r="JO493" s="119"/>
      <c r="JP493" s="119"/>
      <c r="JQ493" s="119"/>
      <c r="JR493" s="119"/>
      <c r="JS493" s="119"/>
      <c r="JT493" s="119"/>
      <c r="JU493" s="119"/>
      <c r="JV493" s="119"/>
      <c r="JW493" s="119"/>
      <c r="JX493" s="119"/>
      <c r="JY493" s="119"/>
      <c r="JZ493" s="119"/>
      <c r="KA493" s="119"/>
      <c r="KB493" s="119"/>
      <c r="KC493" s="119"/>
      <c r="KD493" s="119"/>
      <c r="KE493" s="119"/>
      <c r="KF493" s="119"/>
      <c r="KG493" s="119"/>
      <c r="KH493" s="119"/>
      <c r="KI493" s="119"/>
      <c r="KJ493" s="119"/>
      <c r="KK493" s="119"/>
      <c r="KL493" s="119"/>
      <c r="KM493" s="119"/>
      <c r="KN493" s="119"/>
      <c r="KO493" s="119"/>
      <c r="KP493" s="119"/>
      <c r="KQ493" s="119"/>
      <c r="KR493" s="119"/>
      <c r="KS493" s="119"/>
      <c r="KT493" s="119"/>
      <c r="KU493" s="119"/>
      <c r="KV493" s="119"/>
      <c r="KW493" s="119"/>
      <c r="KX493" s="119"/>
      <c r="KY493" s="119"/>
      <c r="KZ493" s="119"/>
      <c r="LA493" s="119"/>
      <c r="LB493" s="119"/>
      <c r="LC493" s="119"/>
      <c r="LD493" s="119"/>
      <c r="LE493" s="119"/>
      <c r="LF493" s="119"/>
      <c r="LG493" s="119"/>
      <c r="LH493" s="119"/>
      <c r="LI493" s="119"/>
      <c r="LJ493" s="119"/>
      <c r="LK493" s="119"/>
      <c r="LL493" s="119"/>
      <c r="LM493" s="119"/>
      <c r="LN493" s="119"/>
      <c r="LO493" s="119"/>
      <c r="LP493" s="119"/>
      <c r="LQ493" s="119"/>
      <c r="LR493" s="119"/>
      <c r="LS493" s="119"/>
      <c r="LT493" s="119"/>
      <c r="LU493" s="119"/>
      <c r="LV493" s="119"/>
      <c r="LW493" s="119"/>
      <c r="LX493" s="119"/>
      <c r="LY493" s="119"/>
      <c r="LZ493" s="119"/>
      <c r="MA493" s="119"/>
      <c r="MB493" s="119"/>
      <c r="MC493" s="119"/>
      <c r="MD493" s="119"/>
      <c r="ME493" s="119"/>
      <c r="MF493" s="119"/>
      <c r="MG493" s="119"/>
      <c r="MH493" s="119"/>
      <c r="MI493" s="119"/>
      <c r="MJ493" s="119"/>
      <c r="MK493" s="119"/>
      <c r="ML493" s="119"/>
      <c r="MM493" s="119"/>
      <c r="MN493" s="119"/>
      <c r="MO493" s="119"/>
      <c r="MP493" s="119"/>
      <c r="MQ493" s="119"/>
      <c r="MR493" s="119"/>
      <c r="MS493" s="119"/>
      <c r="MT493" s="119"/>
      <c r="MU493" s="119"/>
      <c r="MV493" s="119"/>
      <c r="MW493" s="119"/>
      <c r="MX493" s="119"/>
      <c r="MY493" s="119"/>
      <c r="MZ493" s="119"/>
    </row>
    <row r="494" spans="1:364" s="27" customFormat="1" x14ac:dyDescent="0.25">
      <c r="A494" s="123"/>
      <c r="B494" s="123"/>
      <c r="C494" s="126"/>
      <c r="D494" s="129"/>
      <c r="E494" s="109"/>
      <c r="F494" s="131"/>
      <c r="G494" s="132"/>
      <c r="H494" s="114" t="s">
        <v>149</v>
      </c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19"/>
      <c r="T494" s="119"/>
      <c r="U494" s="119"/>
      <c r="V494" s="119"/>
      <c r="W494" s="119"/>
      <c r="X494" s="119"/>
      <c r="Y494" s="119"/>
      <c r="Z494" s="119"/>
      <c r="AA494" s="119"/>
      <c r="AB494" s="119"/>
      <c r="AC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9"/>
      <c r="AT494" s="119"/>
      <c r="AU494" s="119"/>
      <c r="AV494" s="119"/>
      <c r="AW494" s="119"/>
      <c r="AX494" s="119"/>
      <c r="AY494" s="119"/>
      <c r="AZ494" s="119"/>
      <c r="BA494" s="119"/>
      <c r="BB494" s="119"/>
      <c r="BC494" s="119"/>
      <c r="BD494" s="119"/>
      <c r="BE494" s="119"/>
      <c r="BF494" s="119"/>
      <c r="BG494" s="119"/>
      <c r="BH494" s="119"/>
      <c r="BI494" s="119"/>
      <c r="BJ494" s="119"/>
      <c r="BK494" s="119"/>
      <c r="BL494" s="26"/>
      <c r="BM494" s="119"/>
      <c r="BN494" s="119"/>
      <c r="BO494" s="119"/>
      <c r="BP494" s="119"/>
      <c r="BQ494" s="119"/>
      <c r="BR494" s="119"/>
      <c r="BS494" s="119"/>
      <c r="BT494" s="119"/>
      <c r="BU494" s="119"/>
      <c r="BV494" s="119"/>
      <c r="BW494" s="119"/>
      <c r="BX494" s="119"/>
      <c r="BY494" s="119"/>
      <c r="BZ494" s="119"/>
      <c r="CA494" s="119"/>
      <c r="CB494" s="119"/>
      <c r="CC494" s="119"/>
      <c r="CD494" s="119"/>
      <c r="CE494" s="119"/>
      <c r="CF494" s="119"/>
      <c r="CG494" s="119"/>
      <c r="CH494" s="119"/>
      <c r="CI494" s="119"/>
      <c r="CJ494" s="119"/>
      <c r="CK494" s="119"/>
      <c r="CL494" s="119"/>
      <c r="CM494" s="119"/>
      <c r="CN494" s="119"/>
      <c r="CO494" s="119"/>
      <c r="CP494" s="119"/>
      <c r="CQ494" s="119"/>
      <c r="CR494" s="119"/>
      <c r="CS494" s="119"/>
      <c r="CT494" s="119"/>
      <c r="CU494" s="119"/>
      <c r="CV494" s="119"/>
      <c r="CW494" s="119"/>
      <c r="CX494" s="119"/>
      <c r="CY494" s="119"/>
      <c r="CZ494" s="119"/>
      <c r="DA494" s="119"/>
      <c r="DB494" s="119"/>
      <c r="DC494" s="119"/>
      <c r="DD494" s="119"/>
      <c r="DE494" s="119"/>
      <c r="DF494" s="119"/>
      <c r="DG494" s="119"/>
      <c r="DH494" s="119"/>
      <c r="DI494" s="119"/>
      <c r="DJ494" s="119"/>
      <c r="DK494" s="119"/>
      <c r="DL494" s="119"/>
      <c r="DM494" s="119"/>
      <c r="DN494" s="119"/>
      <c r="DO494" s="119"/>
      <c r="DP494" s="119"/>
      <c r="DQ494" s="119"/>
      <c r="DR494" s="119"/>
      <c r="DS494" s="119"/>
      <c r="DT494" s="119"/>
      <c r="DU494" s="119"/>
      <c r="DV494" s="119"/>
      <c r="DW494" s="119"/>
      <c r="DX494" s="119"/>
      <c r="DY494" s="119"/>
      <c r="DZ494" s="119"/>
      <c r="EA494" s="119"/>
      <c r="EB494" s="119"/>
      <c r="EC494" s="119"/>
      <c r="ED494" s="119"/>
      <c r="EE494" s="119"/>
      <c r="EF494" s="119"/>
      <c r="EG494" s="119"/>
      <c r="EH494" s="119"/>
      <c r="EI494" s="119"/>
      <c r="EJ494" s="119"/>
      <c r="EK494" s="119"/>
      <c r="EL494" s="119"/>
      <c r="EM494" s="119"/>
      <c r="EN494" s="119"/>
      <c r="EO494" s="119"/>
      <c r="EP494" s="119"/>
      <c r="EQ494" s="119"/>
      <c r="ER494" s="119"/>
      <c r="ES494" s="119"/>
      <c r="ET494" s="119"/>
      <c r="EU494" s="119"/>
      <c r="EV494" s="119"/>
      <c r="EW494" s="119"/>
      <c r="EX494" s="119"/>
      <c r="EY494" s="119"/>
      <c r="EZ494" s="119"/>
      <c r="FA494" s="119"/>
      <c r="FB494" s="119"/>
      <c r="FC494" s="119"/>
      <c r="FD494" s="119"/>
      <c r="FE494" s="119"/>
      <c r="FF494" s="119"/>
      <c r="FG494" s="119"/>
      <c r="FH494" s="119"/>
      <c r="FI494" s="119"/>
      <c r="FJ494" s="119"/>
      <c r="FK494" s="119"/>
      <c r="FL494" s="119"/>
      <c r="FM494" s="119"/>
      <c r="FN494" s="119"/>
      <c r="FO494" s="119"/>
      <c r="FP494" s="119"/>
      <c r="FQ494" s="119"/>
      <c r="FR494" s="119"/>
      <c r="FS494" s="119"/>
      <c r="FT494" s="119"/>
      <c r="FU494" s="119"/>
      <c r="FV494" s="119"/>
      <c r="FW494" s="119"/>
      <c r="FX494" s="119"/>
      <c r="FY494" s="119"/>
      <c r="FZ494" s="119"/>
      <c r="GA494" s="119"/>
      <c r="GB494" s="119"/>
      <c r="GC494" s="119"/>
      <c r="GD494" s="119"/>
      <c r="GE494" s="119"/>
      <c r="GF494" s="119"/>
      <c r="GG494" s="119"/>
      <c r="GH494" s="119"/>
      <c r="GI494" s="119"/>
      <c r="GJ494" s="119"/>
      <c r="GK494" s="119"/>
      <c r="GL494" s="119"/>
      <c r="GM494" s="119"/>
      <c r="GN494" s="119"/>
      <c r="GO494" s="119"/>
      <c r="GP494" s="119"/>
      <c r="GQ494" s="119"/>
      <c r="GR494" s="119"/>
      <c r="GS494" s="119"/>
      <c r="GT494" s="119"/>
      <c r="GU494" s="119"/>
      <c r="GV494" s="119"/>
      <c r="GW494" s="119"/>
      <c r="GX494" s="119"/>
      <c r="GY494" s="119"/>
      <c r="GZ494" s="119"/>
      <c r="HA494" s="119"/>
      <c r="HB494" s="119"/>
      <c r="HC494" s="119"/>
      <c r="HD494" s="119"/>
      <c r="HE494" s="119"/>
      <c r="HF494" s="119"/>
      <c r="HG494" s="119"/>
      <c r="HH494" s="119"/>
      <c r="HI494" s="119"/>
      <c r="HJ494" s="119"/>
      <c r="HK494" s="119"/>
      <c r="HL494" s="119"/>
      <c r="HM494" s="119"/>
      <c r="HN494" s="119"/>
      <c r="HO494" s="119"/>
      <c r="HP494" s="119"/>
      <c r="HQ494" s="119"/>
      <c r="HR494" s="119"/>
      <c r="HS494" s="119"/>
      <c r="HT494" s="119"/>
      <c r="HU494" s="119"/>
      <c r="HV494" s="119"/>
      <c r="HW494" s="119"/>
      <c r="HX494" s="119"/>
      <c r="HY494" s="119"/>
      <c r="HZ494" s="119"/>
      <c r="IA494" s="119"/>
      <c r="IB494" s="119"/>
      <c r="IC494" s="119"/>
      <c r="ID494" s="119"/>
      <c r="IE494" s="119"/>
      <c r="IF494" s="119"/>
      <c r="IG494" s="119"/>
      <c r="IH494" s="119"/>
      <c r="II494" s="119"/>
      <c r="IJ494" s="119"/>
      <c r="IK494" s="119"/>
      <c r="IL494" s="119"/>
      <c r="IM494" s="119"/>
      <c r="IN494" s="119"/>
      <c r="IO494" s="119"/>
      <c r="IP494" s="119"/>
      <c r="IQ494" s="119"/>
      <c r="IR494" s="119"/>
      <c r="IS494" s="119"/>
      <c r="IT494" s="119"/>
      <c r="IU494" s="119"/>
      <c r="IV494" s="119"/>
      <c r="IW494" s="119"/>
      <c r="IX494" s="119"/>
      <c r="IY494" s="119"/>
      <c r="IZ494" s="119"/>
      <c r="JA494" s="119"/>
      <c r="JB494" s="119"/>
      <c r="JC494" s="119"/>
      <c r="JD494" s="119"/>
      <c r="JE494" s="119"/>
      <c r="JF494" s="119"/>
      <c r="JG494" s="119"/>
      <c r="JH494" s="119"/>
      <c r="JI494" s="119"/>
      <c r="JJ494" s="119"/>
      <c r="JK494" s="119"/>
      <c r="JL494" s="119"/>
      <c r="JM494" s="119"/>
      <c r="JN494" s="119"/>
      <c r="JO494" s="119"/>
      <c r="JP494" s="119"/>
      <c r="JQ494" s="119"/>
      <c r="JR494" s="119"/>
      <c r="JS494" s="119"/>
      <c r="JT494" s="119"/>
      <c r="JU494" s="119"/>
      <c r="JV494" s="119"/>
      <c r="JW494" s="119"/>
      <c r="JX494" s="119"/>
      <c r="JY494" s="119"/>
      <c r="JZ494" s="119"/>
      <c r="KA494" s="119"/>
      <c r="KB494" s="119"/>
      <c r="KC494" s="119"/>
      <c r="KD494" s="119"/>
      <c r="KE494" s="119"/>
      <c r="KF494" s="119"/>
      <c r="KG494" s="119"/>
      <c r="KH494" s="119"/>
      <c r="KI494" s="119"/>
      <c r="KJ494" s="119"/>
      <c r="KK494" s="119"/>
      <c r="KL494" s="119"/>
      <c r="KM494" s="119"/>
      <c r="KN494" s="119"/>
      <c r="KO494" s="119"/>
      <c r="KP494" s="119"/>
      <c r="KQ494" s="119"/>
      <c r="KR494" s="119"/>
      <c r="KS494" s="119"/>
      <c r="KT494" s="119"/>
      <c r="KU494" s="119"/>
      <c r="KV494" s="119"/>
      <c r="KW494" s="119"/>
      <c r="KX494" s="119"/>
      <c r="KY494" s="119"/>
      <c r="KZ494" s="119"/>
      <c r="LA494" s="119"/>
      <c r="LB494" s="119"/>
      <c r="LC494" s="119"/>
      <c r="LD494" s="119"/>
      <c r="LE494" s="119"/>
      <c r="LF494" s="119"/>
      <c r="LG494" s="119"/>
      <c r="LH494" s="119"/>
      <c r="LI494" s="119"/>
      <c r="LJ494" s="119"/>
      <c r="LK494" s="119"/>
      <c r="LL494" s="119"/>
      <c r="LM494" s="119"/>
      <c r="LN494" s="119"/>
      <c r="LO494" s="119"/>
      <c r="LP494" s="119"/>
      <c r="LQ494" s="119"/>
      <c r="LR494" s="119"/>
      <c r="LS494" s="119"/>
      <c r="LT494" s="119"/>
      <c r="LU494" s="119"/>
      <c r="LV494" s="119"/>
      <c r="LW494" s="119"/>
      <c r="LX494" s="119"/>
      <c r="LY494" s="119"/>
      <c r="LZ494" s="119"/>
      <c r="MA494" s="119"/>
      <c r="MB494" s="119"/>
      <c r="MC494" s="119"/>
      <c r="MD494" s="119"/>
      <c r="ME494" s="119"/>
      <c r="MF494" s="119"/>
      <c r="MG494" s="119"/>
      <c r="MH494" s="119"/>
      <c r="MI494" s="119"/>
      <c r="MJ494" s="119"/>
      <c r="MK494" s="119"/>
      <c r="ML494" s="119"/>
      <c r="MM494" s="119"/>
      <c r="MN494" s="119"/>
      <c r="MO494" s="119"/>
      <c r="MP494" s="119"/>
      <c r="MQ494" s="119"/>
      <c r="MR494" s="119"/>
      <c r="MS494" s="119"/>
      <c r="MT494" s="119"/>
      <c r="MU494" s="119"/>
      <c r="MV494" s="119"/>
      <c r="MW494" s="119"/>
      <c r="MX494" s="119"/>
      <c r="MY494" s="119"/>
      <c r="MZ494" s="119"/>
    </row>
    <row r="495" spans="1:364" s="27" customFormat="1" x14ac:dyDescent="0.25">
      <c r="A495" s="121"/>
      <c r="B495" s="124" t="e">
        <f>VLOOKUP(A495,Rules!$B$8:$C$154,2,0)</f>
        <v>#N/A</v>
      </c>
      <c r="C495" s="125">
        <f t="shared" ref="C495" si="23">SUM(I496:XX496)</f>
        <v>0</v>
      </c>
      <c r="D495" s="127"/>
      <c r="E495" s="110" t="s">
        <v>492</v>
      </c>
      <c r="F495" s="130" t="e">
        <f>VLOOKUP(A495,Table2[],10,0)</f>
        <v>#N/A</v>
      </c>
      <c r="G495" s="130"/>
      <c r="H495" s="113" t="s">
        <v>440</v>
      </c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9"/>
      <c r="T495" s="119"/>
      <c r="U495" s="119"/>
      <c r="V495" s="119"/>
      <c r="W495" s="119"/>
      <c r="X495" s="119"/>
      <c r="Y495" s="119"/>
      <c r="Z495" s="119"/>
      <c r="AA495" s="119"/>
      <c r="AB495" s="119"/>
      <c r="AC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9"/>
      <c r="AT495" s="119"/>
      <c r="AU495" s="119"/>
      <c r="AV495" s="119"/>
      <c r="AW495" s="119"/>
      <c r="AX495" s="119"/>
      <c r="AY495" s="119"/>
      <c r="AZ495" s="119"/>
      <c r="BA495" s="119"/>
      <c r="BB495" s="119"/>
      <c r="BC495" s="119"/>
      <c r="BD495" s="119"/>
      <c r="BE495" s="119"/>
      <c r="BF495" s="119"/>
      <c r="BG495" s="119"/>
      <c r="BH495" s="119"/>
      <c r="BI495" s="119"/>
      <c r="BJ495" s="119"/>
      <c r="BK495" s="119"/>
      <c r="BL495" s="26"/>
      <c r="BM495" s="119"/>
      <c r="BN495" s="26"/>
      <c r="BO495" s="119"/>
      <c r="BP495" s="119"/>
      <c r="BQ495" s="119"/>
      <c r="BR495" s="119"/>
      <c r="BS495" s="119"/>
      <c r="BT495" s="119"/>
      <c r="BU495" s="119"/>
      <c r="BV495" s="119"/>
      <c r="BW495" s="119"/>
      <c r="BX495" s="119"/>
      <c r="BY495" s="119"/>
      <c r="BZ495" s="119"/>
      <c r="CA495" s="119"/>
      <c r="CB495" s="119"/>
      <c r="CC495" s="119"/>
      <c r="CD495" s="119"/>
      <c r="CE495" s="119"/>
      <c r="CF495" s="119"/>
      <c r="CG495" s="119"/>
      <c r="CH495" s="119"/>
      <c r="CI495" s="119"/>
      <c r="CJ495" s="119"/>
      <c r="CK495" s="119"/>
      <c r="CL495" s="119"/>
      <c r="CM495" s="119"/>
      <c r="CN495" s="119"/>
      <c r="CO495" s="119"/>
      <c r="CP495" s="119"/>
      <c r="CQ495" s="119"/>
      <c r="CR495" s="119"/>
      <c r="CS495" s="119"/>
      <c r="CT495" s="119"/>
      <c r="CU495" s="119"/>
      <c r="CV495" s="119"/>
      <c r="CW495" s="119"/>
      <c r="CX495" s="119"/>
      <c r="CY495" s="119"/>
      <c r="CZ495" s="119"/>
      <c r="DA495" s="119"/>
      <c r="DB495" s="119"/>
      <c r="DC495" s="119"/>
      <c r="DD495" s="119"/>
      <c r="DE495" s="119"/>
      <c r="DF495" s="119"/>
      <c r="DG495" s="119"/>
      <c r="DH495" s="119"/>
      <c r="DI495" s="119"/>
      <c r="DJ495" s="119"/>
      <c r="DK495" s="119"/>
      <c r="DL495" s="119"/>
      <c r="DM495" s="119"/>
      <c r="DN495" s="119"/>
      <c r="DO495" s="119"/>
      <c r="DP495" s="119"/>
      <c r="DQ495" s="119"/>
      <c r="DR495" s="119"/>
      <c r="DS495" s="119"/>
      <c r="DT495" s="119"/>
      <c r="DU495" s="119"/>
      <c r="DV495" s="119"/>
      <c r="DW495" s="119"/>
      <c r="DX495" s="119"/>
      <c r="DY495" s="119"/>
      <c r="DZ495" s="119"/>
      <c r="EA495" s="119"/>
      <c r="EB495" s="119"/>
      <c r="EC495" s="119"/>
      <c r="ED495" s="119"/>
      <c r="EE495" s="119"/>
      <c r="EF495" s="119"/>
      <c r="EG495" s="119"/>
      <c r="EH495" s="119"/>
      <c r="EI495" s="119"/>
      <c r="EJ495" s="119"/>
      <c r="EK495" s="119"/>
      <c r="EL495" s="119"/>
      <c r="EM495" s="119"/>
      <c r="EN495" s="119"/>
      <c r="EO495" s="119"/>
      <c r="EP495" s="119"/>
      <c r="EQ495" s="119"/>
      <c r="ER495" s="119"/>
      <c r="ES495" s="119"/>
      <c r="ET495" s="119"/>
      <c r="EU495" s="119"/>
      <c r="EV495" s="119"/>
      <c r="EW495" s="119"/>
      <c r="EX495" s="119"/>
      <c r="EY495" s="119"/>
      <c r="EZ495" s="119"/>
      <c r="FA495" s="119"/>
      <c r="FB495" s="119"/>
      <c r="FC495" s="119"/>
      <c r="FD495" s="119"/>
      <c r="FE495" s="119"/>
      <c r="FF495" s="119"/>
      <c r="FG495" s="119"/>
      <c r="FH495" s="119"/>
      <c r="FI495" s="119"/>
      <c r="FJ495" s="119"/>
      <c r="FK495" s="119"/>
      <c r="FL495" s="119"/>
      <c r="FM495" s="119"/>
      <c r="FN495" s="119"/>
      <c r="FO495" s="119"/>
      <c r="FP495" s="119"/>
      <c r="FQ495" s="119"/>
      <c r="FR495" s="119"/>
      <c r="FS495" s="119"/>
      <c r="FT495" s="119"/>
      <c r="FU495" s="119"/>
      <c r="FV495" s="119"/>
      <c r="FW495" s="119"/>
      <c r="FX495" s="119"/>
      <c r="FY495" s="119"/>
      <c r="FZ495" s="119"/>
      <c r="GA495" s="119"/>
      <c r="GB495" s="119"/>
      <c r="GC495" s="119"/>
      <c r="GD495" s="119"/>
      <c r="GE495" s="119"/>
      <c r="GF495" s="119"/>
      <c r="GG495" s="119"/>
      <c r="GH495" s="119"/>
      <c r="GI495" s="119"/>
      <c r="GJ495" s="119"/>
      <c r="GK495" s="119"/>
      <c r="GL495" s="119"/>
      <c r="GM495" s="119"/>
      <c r="GN495" s="119"/>
      <c r="GO495" s="119"/>
      <c r="GP495" s="119"/>
      <c r="GQ495" s="119"/>
      <c r="GR495" s="119"/>
      <c r="GS495" s="119"/>
      <c r="GT495" s="119"/>
      <c r="GU495" s="119"/>
      <c r="GV495" s="119"/>
      <c r="GW495" s="119"/>
      <c r="GX495" s="119"/>
      <c r="GY495" s="119"/>
      <c r="GZ495" s="119"/>
      <c r="HA495" s="119"/>
      <c r="HB495" s="119"/>
      <c r="HC495" s="119"/>
      <c r="HD495" s="119"/>
      <c r="HE495" s="119"/>
      <c r="HF495" s="119"/>
      <c r="HG495" s="119"/>
      <c r="HH495" s="119"/>
      <c r="HI495" s="119"/>
      <c r="HJ495" s="119"/>
      <c r="HK495" s="119"/>
      <c r="HL495" s="119"/>
      <c r="HM495" s="119"/>
      <c r="HN495" s="119"/>
      <c r="HO495" s="119"/>
      <c r="HP495" s="119"/>
      <c r="HQ495" s="119"/>
      <c r="HR495" s="119"/>
      <c r="HS495" s="119"/>
      <c r="HT495" s="119"/>
      <c r="HU495" s="119"/>
      <c r="HV495" s="119"/>
      <c r="HW495" s="119"/>
      <c r="HX495" s="119"/>
      <c r="HY495" s="119"/>
      <c r="HZ495" s="119"/>
      <c r="IA495" s="119"/>
      <c r="IB495" s="119"/>
      <c r="IC495" s="119"/>
      <c r="ID495" s="119"/>
      <c r="IE495" s="119"/>
      <c r="IF495" s="119"/>
      <c r="IG495" s="119"/>
      <c r="IH495" s="119"/>
      <c r="II495" s="119"/>
      <c r="IJ495" s="119"/>
      <c r="IK495" s="119"/>
      <c r="IL495" s="119"/>
      <c r="IM495" s="119"/>
      <c r="IN495" s="119"/>
      <c r="IO495" s="119"/>
      <c r="IP495" s="119"/>
      <c r="IQ495" s="119"/>
      <c r="IR495" s="119"/>
      <c r="IS495" s="119"/>
      <c r="IT495" s="119"/>
      <c r="IU495" s="119"/>
      <c r="IV495" s="119"/>
      <c r="IW495" s="119"/>
      <c r="IX495" s="119"/>
      <c r="IY495" s="119"/>
      <c r="IZ495" s="119"/>
      <c r="JA495" s="119"/>
      <c r="JB495" s="119"/>
      <c r="JC495" s="119"/>
      <c r="JD495" s="119"/>
      <c r="JE495" s="119"/>
      <c r="JF495" s="119"/>
      <c r="JG495" s="119"/>
      <c r="JH495" s="119"/>
      <c r="JI495" s="119"/>
      <c r="JJ495" s="119"/>
      <c r="JK495" s="119"/>
      <c r="JL495" s="119"/>
      <c r="JM495" s="119"/>
      <c r="JN495" s="119"/>
      <c r="JO495" s="119"/>
      <c r="JP495" s="119"/>
      <c r="JQ495" s="119"/>
      <c r="JR495" s="119"/>
      <c r="JS495" s="119"/>
      <c r="JT495" s="119"/>
      <c r="JU495" s="119"/>
      <c r="JV495" s="119"/>
      <c r="JW495" s="119"/>
      <c r="JX495" s="119"/>
      <c r="JY495" s="119"/>
      <c r="JZ495" s="119"/>
      <c r="KA495" s="119"/>
      <c r="KB495" s="119"/>
      <c r="KC495" s="119"/>
      <c r="KD495" s="119"/>
      <c r="KE495" s="119"/>
      <c r="KF495" s="119"/>
      <c r="KG495" s="119"/>
      <c r="KH495" s="119"/>
      <c r="KI495" s="119"/>
      <c r="KJ495" s="119"/>
      <c r="KK495" s="119"/>
      <c r="KL495" s="119"/>
      <c r="KM495" s="119"/>
      <c r="KN495" s="119"/>
      <c r="KO495" s="119"/>
      <c r="KP495" s="119"/>
      <c r="KQ495" s="119"/>
      <c r="KR495" s="119"/>
      <c r="KS495" s="119"/>
      <c r="KT495" s="119"/>
      <c r="KU495" s="119"/>
      <c r="KV495" s="119"/>
      <c r="KW495" s="119"/>
      <c r="KX495" s="119"/>
      <c r="KY495" s="119"/>
      <c r="KZ495" s="119"/>
      <c r="LA495" s="119"/>
      <c r="LB495" s="119"/>
      <c r="LC495" s="119"/>
      <c r="LD495" s="119"/>
      <c r="LE495" s="119"/>
      <c r="LF495" s="119"/>
      <c r="LG495" s="119"/>
      <c r="LH495" s="119"/>
      <c r="LI495" s="119"/>
      <c r="LJ495" s="119"/>
      <c r="LK495" s="119"/>
      <c r="LL495" s="119"/>
      <c r="LM495" s="119"/>
      <c r="LN495" s="119"/>
      <c r="LO495" s="119"/>
      <c r="LP495" s="119"/>
      <c r="LQ495" s="119"/>
      <c r="LR495" s="119"/>
      <c r="LS495" s="119"/>
      <c r="LT495" s="119"/>
      <c r="LU495" s="119"/>
      <c r="LV495" s="119"/>
      <c r="LW495" s="119"/>
      <c r="LX495" s="119"/>
      <c r="LY495" s="119"/>
      <c r="LZ495" s="119"/>
      <c r="MA495" s="119"/>
      <c r="MB495" s="119"/>
      <c r="MC495" s="119"/>
      <c r="MD495" s="119"/>
      <c r="ME495" s="119"/>
      <c r="MF495" s="119"/>
      <c r="MG495" s="119"/>
      <c r="MH495" s="119"/>
      <c r="MI495" s="119"/>
      <c r="MJ495" s="119"/>
      <c r="MK495" s="119"/>
      <c r="ML495" s="119"/>
      <c r="MM495" s="119"/>
      <c r="MN495" s="119"/>
      <c r="MO495" s="119"/>
      <c r="MP495" s="119"/>
      <c r="MQ495" s="119"/>
      <c r="MR495" s="119"/>
      <c r="MS495" s="119"/>
      <c r="MT495" s="119"/>
      <c r="MU495" s="119"/>
      <c r="MV495" s="119"/>
      <c r="MW495" s="119"/>
      <c r="MX495" s="119"/>
      <c r="MY495" s="119"/>
      <c r="MZ495" s="119"/>
    </row>
    <row r="496" spans="1:364" s="27" customFormat="1" x14ac:dyDescent="0.25">
      <c r="A496" s="122"/>
      <c r="B496" s="122"/>
      <c r="C496" s="126"/>
      <c r="D496" s="128"/>
      <c r="E496" s="109"/>
      <c r="F496" s="131"/>
      <c r="G496" s="131"/>
      <c r="H496" s="105" t="s">
        <v>439</v>
      </c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9"/>
      <c r="T496" s="119"/>
      <c r="U496" s="119"/>
      <c r="V496" s="119"/>
      <c r="W496" s="119"/>
      <c r="X496" s="119"/>
      <c r="Y496" s="119"/>
      <c r="Z496" s="119"/>
      <c r="AA496" s="119"/>
      <c r="AB496" s="119"/>
      <c r="AC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9"/>
      <c r="AT496" s="119"/>
      <c r="AU496" s="119"/>
      <c r="AV496" s="119"/>
      <c r="AW496" s="119"/>
      <c r="AX496" s="119"/>
      <c r="AY496" s="119"/>
      <c r="AZ496" s="119"/>
      <c r="BA496" s="119"/>
      <c r="BB496" s="119"/>
      <c r="BC496" s="119"/>
      <c r="BD496" s="119"/>
      <c r="BE496" s="119"/>
      <c r="BF496" s="119"/>
      <c r="BG496" s="119"/>
      <c r="BH496" s="119"/>
      <c r="BI496" s="119"/>
      <c r="BJ496" s="119"/>
      <c r="BK496" s="119"/>
      <c r="BL496" s="26"/>
      <c r="BM496" s="119"/>
      <c r="BN496" s="26"/>
      <c r="BO496" s="119"/>
      <c r="BP496" s="119"/>
      <c r="BQ496" s="119"/>
      <c r="BR496" s="119"/>
      <c r="BS496" s="119"/>
      <c r="BT496" s="119"/>
      <c r="BU496" s="119"/>
      <c r="BV496" s="119"/>
      <c r="BW496" s="119"/>
      <c r="BX496" s="119"/>
      <c r="BY496" s="119"/>
      <c r="BZ496" s="119"/>
      <c r="CA496" s="119"/>
      <c r="CB496" s="119"/>
      <c r="CC496" s="119"/>
      <c r="CD496" s="119"/>
      <c r="CE496" s="119"/>
      <c r="CF496" s="119"/>
      <c r="CG496" s="119"/>
      <c r="CH496" s="119"/>
      <c r="CI496" s="119"/>
      <c r="CJ496" s="119"/>
      <c r="CK496" s="119"/>
      <c r="CL496" s="119"/>
      <c r="CM496" s="119"/>
      <c r="CN496" s="119"/>
      <c r="CO496" s="119"/>
      <c r="CP496" s="119"/>
      <c r="CQ496" s="119"/>
      <c r="CR496" s="119"/>
      <c r="CS496" s="119"/>
      <c r="CT496" s="119"/>
      <c r="CU496" s="119"/>
      <c r="CV496" s="119"/>
      <c r="CW496" s="119"/>
      <c r="CX496" s="119"/>
      <c r="CY496" s="119"/>
      <c r="CZ496" s="119"/>
      <c r="DA496" s="119"/>
      <c r="DB496" s="119"/>
      <c r="DC496" s="119"/>
      <c r="DD496" s="119"/>
      <c r="DE496" s="119"/>
      <c r="DF496" s="119"/>
      <c r="DG496" s="119"/>
      <c r="DH496" s="119"/>
      <c r="DI496" s="119"/>
      <c r="DJ496" s="119"/>
      <c r="DK496" s="119"/>
      <c r="DL496" s="119"/>
      <c r="DM496" s="119"/>
      <c r="DN496" s="119"/>
      <c r="DO496" s="119"/>
      <c r="DP496" s="119"/>
      <c r="DQ496" s="119"/>
      <c r="DR496" s="119"/>
      <c r="DS496" s="119"/>
      <c r="DT496" s="119"/>
      <c r="DU496" s="119"/>
      <c r="DV496" s="119"/>
      <c r="DW496" s="119"/>
      <c r="DX496" s="119"/>
      <c r="DY496" s="119"/>
      <c r="DZ496" s="119"/>
      <c r="EA496" s="119"/>
      <c r="EB496" s="119"/>
      <c r="EC496" s="119"/>
      <c r="ED496" s="119"/>
      <c r="EE496" s="119"/>
      <c r="EF496" s="119"/>
      <c r="EG496" s="119"/>
      <c r="EH496" s="119"/>
      <c r="EI496" s="119"/>
      <c r="EJ496" s="119"/>
      <c r="EK496" s="119"/>
      <c r="EL496" s="119"/>
      <c r="EM496" s="119"/>
      <c r="EN496" s="119"/>
      <c r="EO496" s="119"/>
      <c r="EP496" s="119"/>
      <c r="EQ496" s="119"/>
      <c r="ER496" s="119"/>
      <c r="ES496" s="119"/>
      <c r="ET496" s="119"/>
      <c r="EU496" s="119"/>
      <c r="EV496" s="119"/>
      <c r="EW496" s="119"/>
      <c r="EX496" s="119"/>
      <c r="EY496" s="119"/>
      <c r="EZ496" s="119"/>
      <c r="FA496" s="119"/>
      <c r="FB496" s="119"/>
      <c r="FC496" s="119"/>
      <c r="FD496" s="119"/>
      <c r="FE496" s="119"/>
      <c r="FF496" s="119"/>
      <c r="FG496" s="119"/>
      <c r="FH496" s="119"/>
      <c r="FI496" s="119"/>
      <c r="FJ496" s="119"/>
      <c r="FK496" s="119"/>
      <c r="FL496" s="119"/>
      <c r="FM496" s="119"/>
      <c r="FN496" s="119"/>
      <c r="FO496" s="119"/>
      <c r="FP496" s="119"/>
      <c r="FQ496" s="119"/>
      <c r="FR496" s="119"/>
      <c r="FS496" s="119"/>
      <c r="FT496" s="119"/>
      <c r="FU496" s="119"/>
      <c r="FV496" s="119"/>
      <c r="FW496" s="119"/>
      <c r="FX496" s="119"/>
      <c r="FY496" s="119"/>
      <c r="FZ496" s="119"/>
      <c r="GA496" s="119"/>
      <c r="GB496" s="119"/>
      <c r="GC496" s="119"/>
      <c r="GD496" s="119"/>
      <c r="GE496" s="119"/>
      <c r="GF496" s="119"/>
      <c r="GG496" s="119"/>
      <c r="GH496" s="119"/>
      <c r="GI496" s="119"/>
      <c r="GJ496" s="119"/>
      <c r="GK496" s="119"/>
      <c r="GL496" s="119"/>
      <c r="GM496" s="119"/>
      <c r="GN496" s="119"/>
      <c r="GO496" s="119"/>
      <c r="GP496" s="119"/>
      <c r="GQ496" s="119"/>
      <c r="GR496" s="119"/>
      <c r="GS496" s="119"/>
      <c r="GT496" s="119"/>
      <c r="GU496" s="119"/>
      <c r="GV496" s="119"/>
      <c r="GW496" s="119"/>
      <c r="GX496" s="119"/>
      <c r="GY496" s="119"/>
      <c r="GZ496" s="119"/>
      <c r="HA496" s="119"/>
      <c r="HB496" s="119"/>
      <c r="HC496" s="119"/>
      <c r="HD496" s="119"/>
      <c r="HE496" s="119"/>
      <c r="HF496" s="119"/>
      <c r="HG496" s="119"/>
      <c r="HH496" s="119"/>
      <c r="HI496" s="119"/>
      <c r="HJ496" s="119"/>
      <c r="HK496" s="119"/>
      <c r="HL496" s="119"/>
      <c r="HM496" s="119"/>
      <c r="HN496" s="119"/>
      <c r="HO496" s="119"/>
      <c r="HP496" s="119"/>
      <c r="HQ496" s="119"/>
      <c r="HR496" s="119"/>
      <c r="HS496" s="119"/>
      <c r="HT496" s="119"/>
      <c r="HU496" s="119"/>
      <c r="HV496" s="119"/>
      <c r="HW496" s="119"/>
      <c r="HX496" s="119"/>
      <c r="HY496" s="119"/>
      <c r="HZ496" s="119"/>
      <c r="IA496" s="119"/>
      <c r="IB496" s="119"/>
      <c r="IC496" s="119"/>
      <c r="ID496" s="119"/>
      <c r="IE496" s="119"/>
      <c r="IF496" s="119"/>
      <c r="IG496" s="119"/>
      <c r="IH496" s="119"/>
      <c r="II496" s="119"/>
      <c r="IJ496" s="119"/>
      <c r="IK496" s="119"/>
      <c r="IL496" s="119"/>
      <c r="IM496" s="119"/>
      <c r="IN496" s="119"/>
      <c r="IO496" s="119"/>
      <c r="IP496" s="119"/>
      <c r="IQ496" s="119"/>
      <c r="IR496" s="119"/>
      <c r="IS496" s="119"/>
      <c r="IT496" s="119"/>
      <c r="IU496" s="119"/>
      <c r="IV496" s="119"/>
      <c r="IW496" s="119"/>
      <c r="IX496" s="119"/>
      <c r="IY496" s="119"/>
      <c r="IZ496" s="119"/>
      <c r="JA496" s="119"/>
      <c r="JB496" s="119"/>
      <c r="JC496" s="119"/>
      <c r="JD496" s="119"/>
      <c r="JE496" s="119"/>
      <c r="JF496" s="119"/>
      <c r="JG496" s="119"/>
      <c r="JH496" s="119"/>
      <c r="JI496" s="119"/>
      <c r="JJ496" s="119"/>
      <c r="JK496" s="119"/>
      <c r="JL496" s="119"/>
      <c r="JM496" s="119"/>
      <c r="JN496" s="119"/>
      <c r="JO496" s="119"/>
      <c r="JP496" s="119"/>
      <c r="JQ496" s="119"/>
      <c r="JR496" s="119"/>
      <c r="JS496" s="119"/>
      <c r="JT496" s="119"/>
      <c r="JU496" s="119"/>
      <c r="JV496" s="119"/>
      <c r="JW496" s="119"/>
      <c r="JX496" s="119"/>
      <c r="JY496" s="119"/>
      <c r="JZ496" s="119"/>
      <c r="KA496" s="119"/>
      <c r="KB496" s="119"/>
      <c r="KC496" s="119"/>
      <c r="KD496" s="119"/>
      <c r="KE496" s="119"/>
      <c r="KF496" s="119"/>
      <c r="KG496" s="119"/>
      <c r="KH496" s="119"/>
      <c r="KI496" s="119"/>
      <c r="KJ496" s="119"/>
      <c r="KK496" s="119"/>
      <c r="KL496" s="119"/>
      <c r="KM496" s="119"/>
      <c r="KN496" s="119"/>
      <c r="KO496" s="119"/>
      <c r="KP496" s="119"/>
      <c r="KQ496" s="119"/>
      <c r="KR496" s="119"/>
      <c r="KS496" s="119"/>
      <c r="KT496" s="119"/>
      <c r="KU496" s="119"/>
      <c r="KV496" s="119"/>
      <c r="KW496" s="119"/>
      <c r="KX496" s="119"/>
      <c r="KY496" s="119"/>
      <c r="KZ496" s="119"/>
      <c r="LA496" s="119"/>
      <c r="LB496" s="119"/>
      <c r="LC496" s="119"/>
      <c r="LD496" s="119"/>
      <c r="LE496" s="119"/>
      <c r="LF496" s="119"/>
      <c r="LG496" s="119"/>
      <c r="LH496" s="119"/>
      <c r="LI496" s="119"/>
      <c r="LJ496" s="119"/>
      <c r="LK496" s="119"/>
      <c r="LL496" s="119"/>
      <c r="LM496" s="119"/>
      <c r="LN496" s="119"/>
      <c r="LO496" s="119"/>
      <c r="LP496" s="119"/>
      <c r="LQ496" s="119"/>
      <c r="LR496" s="119"/>
      <c r="LS496" s="119"/>
      <c r="LT496" s="119"/>
      <c r="LU496" s="119"/>
      <c r="LV496" s="119"/>
      <c r="LW496" s="119"/>
      <c r="LX496" s="119"/>
      <c r="LY496" s="119"/>
      <c r="LZ496" s="119"/>
      <c r="MA496" s="119"/>
      <c r="MB496" s="119"/>
      <c r="MC496" s="119"/>
      <c r="MD496" s="119"/>
      <c r="ME496" s="119"/>
      <c r="MF496" s="119"/>
      <c r="MG496" s="119"/>
      <c r="MH496" s="119"/>
      <c r="MI496" s="119"/>
      <c r="MJ496" s="119"/>
      <c r="MK496" s="119"/>
      <c r="ML496" s="119"/>
      <c r="MM496" s="119"/>
      <c r="MN496" s="119"/>
      <c r="MO496" s="119"/>
      <c r="MP496" s="119"/>
      <c r="MQ496" s="119"/>
      <c r="MR496" s="119"/>
      <c r="MS496" s="119"/>
      <c r="MT496" s="119"/>
      <c r="MU496" s="119"/>
      <c r="MV496" s="119"/>
      <c r="MW496" s="119"/>
      <c r="MX496" s="119"/>
      <c r="MY496" s="119"/>
      <c r="MZ496" s="119"/>
    </row>
    <row r="497" spans="1:364" s="27" customFormat="1" x14ac:dyDescent="0.25">
      <c r="A497" s="122"/>
      <c r="B497" s="122"/>
      <c r="C497" s="126"/>
      <c r="D497" s="128"/>
      <c r="E497" s="109" t="s">
        <v>493</v>
      </c>
      <c r="F497" s="131"/>
      <c r="G497" s="131"/>
      <c r="H497" s="106" t="s">
        <v>438</v>
      </c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19"/>
      <c r="T497" s="119"/>
      <c r="U497" s="119"/>
      <c r="V497" s="119"/>
      <c r="W497" s="119"/>
      <c r="X497" s="119"/>
      <c r="Y497" s="119"/>
      <c r="Z497" s="119"/>
      <c r="AA497" s="119"/>
      <c r="AB497" s="119"/>
      <c r="AC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9"/>
      <c r="AT497" s="119"/>
      <c r="AU497" s="119"/>
      <c r="AV497" s="119"/>
      <c r="AW497" s="119"/>
      <c r="AX497" s="119"/>
      <c r="AY497" s="119"/>
      <c r="AZ497" s="119"/>
      <c r="BA497" s="119"/>
      <c r="BB497" s="119"/>
      <c r="BC497" s="119"/>
      <c r="BD497" s="119"/>
      <c r="BE497" s="119"/>
      <c r="BF497" s="119"/>
      <c r="BG497" s="119"/>
      <c r="BH497" s="119"/>
      <c r="BI497" s="119"/>
      <c r="BJ497" s="119"/>
      <c r="BK497" s="119"/>
      <c r="BL497" s="26"/>
      <c r="BM497" s="119"/>
      <c r="BN497" s="119"/>
      <c r="BO497" s="119"/>
      <c r="BP497" s="119"/>
      <c r="BQ497" s="119"/>
      <c r="BR497" s="119"/>
      <c r="BS497" s="119"/>
      <c r="BT497" s="119"/>
      <c r="BU497" s="119"/>
      <c r="BV497" s="119"/>
      <c r="BW497" s="119"/>
      <c r="BX497" s="119"/>
      <c r="BY497" s="119"/>
      <c r="BZ497" s="119"/>
      <c r="CA497" s="119"/>
      <c r="CB497" s="119"/>
      <c r="CC497" s="119"/>
      <c r="CD497" s="119"/>
      <c r="CE497" s="119"/>
      <c r="CF497" s="119"/>
      <c r="CG497" s="119"/>
      <c r="CH497" s="119"/>
      <c r="CI497" s="119"/>
      <c r="CJ497" s="119"/>
      <c r="CK497" s="119"/>
      <c r="CL497" s="119"/>
      <c r="CM497" s="119"/>
      <c r="CN497" s="119"/>
      <c r="CO497" s="119"/>
      <c r="CP497" s="119"/>
      <c r="CQ497" s="119"/>
      <c r="CR497" s="119"/>
      <c r="CS497" s="119"/>
      <c r="CT497" s="119"/>
      <c r="CU497" s="119"/>
      <c r="CV497" s="119"/>
      <c r="CW497" s="119"/>
      <c r="CX497" s="119"/>
      <c r="CY497" s="119"/>
      <c r="CZ497" s="119"/>
      <c r="DA497" s="119"/>
      <c r="DB497" s="119"/>
      <c r="DC497" s="119"/>
      <c r="DD497" s="119"/>
      <c r="DE497" s="119"/>
      <c r="DF497" s="119"/>
      <c r="DG497" s="119"/>
      <c r="DH497" s="119"/>
      <c r="DI497" s="119"/>
      <c r="DJ497" s="119"/>
      <c r="DK497" s="119"/>
      <c r="DL497" s="119"/>
      <c r="DM497" s="119"/>
      <c r="DN497" s="119"/>
      <c r="DO497" s="119"/>
      <c r="DP497" s="119"/>
      <c r="DQ497" s="119"/>
      <c r="DR497" s="119"/>
      <c r="DS497" s="119"/>
      <c r="DT497" s="119"/>
      <c r="DU497" s="119"/>
      <c r="DV497" s="119"/>
      <c r="DW497" s="119"/>
      <c r="DX497" s="119"/>
      <c r="DY497" s="119"/>
      <c r="DZ497" s="119"/>
      <c r="EA497" s="119"/>
      <c r="EB497" s="119"/>
      <c r="EC497" s="119"/>
      <c r="ED497" s="119"/>
      <c r="EE497" s="119"/>
      <c r="EF497" s="119"/>
      <c r="EG497" s="119"/>
      <c r="EH497" s="119"/>
      <c r="EI497" s="119"/>
      <c r="EJ497" s="119"/>
      <c r="EK497" s="119"/>
      <c r="EL497" s="119"/>
      <c r="EM497" s="119"/>
      <c r="EN497" s="119"/>
      <c r="EO497" s="119"/>
      <c r="EP497" s="119"/>
      <c r="EQ497" s="119"/>
      <c r="ER497" s="119"/>
      <c r="ES497" s="119"/>
      <c r="ET497" s="119"/>
      <c r="EU497" s="119"/>
      <c r="EV497" s="119"/>
      <c r="EW497" s="119"/>
      <c r="EX497" s="119"/>
      <c r="EY497" s="119"/>
      <c r="EZ497" s="119"/>
      <c r="FA497" s="119"/>
      <c r="FB497" s="119"/>
      <c r="FC497" s="119"/>
      <c r="FD497" s="119"/>
      <c r="FE497" s="119"/>
      <c r="FF497" s="119"/>
      <c r="FG497" s="119"/>
      <c r="FH497" s="119"/>
      <c r="FI497" s="119"/>
      <c r="FJ497" s="119"/>
      <c r="FK497" s="119"/>
      <c r="FL497" s="119"/>
      <c r="FM497" s="119"/>
      <c r="FN497" s="119"/>
      <c r="FO497" s="119"/>
      <c r="FP497" s="119"/>
      <c r="FQ497" s="119"/>
      <c r="FR497" s="119"/>
      <c r="FS497" s="119"/>
      <c r="FT497" s="119"/>
      <c r="FU497" s="119"/>
      <c r="FV497" s="119"/>
      <c r="FW497" s="119"/>
      <c r="FX497" s="119"/>
      <c r="FY497" s="119"/>
      <c r="FZ497" s="119"/>
      <c r="GA497" s="119"/>
      <c r="GB497" s="119"/>
      <c r="GC497" s="119"/>
      <c r="GD497" s="119"/>
      <c r="GE497" s="119"/>
      <c r="GF497" s="119"/>
      <c r="GG497" s="119"/>
      <c r="GH497" s="119"/>
      <c r="GI497" s="119"/>
      <c r="GJ497" s="119"/>
      <c r="GK497" s="119"/>
      <c r="GL497" s="119"/>
      <c r="GM497" s="119"/>
      <c r="GN497" s="119"/>
      <c r="GO497" s="119"/>
      <c r="GP497" s="119"/>
      <c r="GQ497" s="119"/>
      <c r="GR497" s="119"/>
      <c r="GS497" s="119"/>
      <c r="GT497" s="119"/>
      <c r="GU497" s="119"/>
      <c r="GV497" s="119"/>
      <c r="GW497" s="119"/>
      <c r="GX497" s="119"/>
      <c r="GY497" s="119"/>
      <c r="GZ497" s="119"/>
      <c r="HA497" s="119"/>
      <c r="HB497" s="119"/>
      <c r="HC497" s="119"/>
      <c r="HD497" s="119"/>
      <c r="HE497" s="119"/>
      <c r="HF497" s="119"/>
      <c r="HG497" s="119"/>
      <c r="HH497" s="119"/>
      <c r="HI497" s="119"/>
      <c r="HJ497" s="119"/>
      <c r="HK497" s="119"/>
      <c r="HL497" s="119"/>
      <c r="HM497" s="119"/>
      <c r="HN497" s="119"/>
      <c r="HO497" s="119"/>
      <c r="HP497" s="119"/>
      <c r="HQ497" s="119"/>
      <c r="HR497" s="119"/>
      <c r="HS497" s="119"/>
      <c r="HT497" s="119"/>
      <c r="HU497" s="119"/>
      <c r="HV497" s="119"/>
      <c r="HW497" s="119"/>
      <c r="HX497" s="119"/>
      <c r="HY497" s="119"/>
      <c r="HZ497" s="119"/>
      <c r="IA497" s="119"/>
      <c r="IB497" s="119"/>
      <c r="IC497" s="119"/>
      <c r="ID497" s="119"/>
      <c r="IE497" s="119"/>
      <c r="IF497" s="119"/>
      <c r="IG497" s="119"/>
      <c r="IH497" s="119"/>
      <c r="II497" s="119"/>
      <c r="IJ497" s="119"/>
      <c r="IK497" s="119"/>
      <c r="IL497" s="119"/>
      <c r="IM497" s="119"/>
      <c r="IN497" s="119"/>
      <c r="IO497" s="119"/>
      <c r="IP497" s="119"/>
      <c r="IQ497" s="119"/>
      <c r="IR497" s="119"/>
      <c r="IS497" s="119"/>
      <c r="IT497" s="119"/>
      <c r="IU497" s="119"/>
      <c r="IV497" s="119"/>
      <c r="IW497" s="119"/>
      <c r="IX497" s="119"/>
      <c r="IY497" s="119"/>
      <c r="IZ497" s="119"/>
      <c r="JA497" s="119"/>
      <c r="JB497" s="119"/>
      <c r="JC497" s="119"/>
      <c r="JD497" s="119"/>
      <c r="JE497" s="119"/>
      <c r="JF497" s="119"/>
      <c r="JG497" s="119"/>
      <c r="JH497" s="119"/>
      <c r="JI497" s="119"/>
      <c r="JJ497" s="119"/>
      <c r="JK497" s="119"/>
      <c r="JL497" s="119"/>
      <c r="JM497" s="119"/>
      <c r="JN497" s="119"/>
      <c r="JO497" s="119"/>
      <c r="JP497" s="119"/>
      <c r="JQ497" s="119"/>
      <c r="JR497" s="119"/>
      <c r="JS497" s="119"/>
      <c r="JT497" s="119"/>
      <c r="JU497" s="119"/>
      <c r="JV497" s="119"/>
      <c r="JW497" s="119"/>
      <c r="JX497" s="119"/>
      <c r="JY497" s="119"/>
      <c r="JZ497" s="119"/>
      <c r="KA497" s="119"/>
      <c r="KB497" s="119"/>
      <c r="KC497" s="119"/>
      <c r="KD497" s="119"/>
      <c r="KE497" s="119"/>
      <c r="KF497" s="119"/>
      <c r="KG497" s="119"/>
      <c r="KH497" s="119"/>
      <c r="KI497" s="119"/>
      <c r="KJ497" s="119"/>
      <c r="KK497" s="119"/>
      <c r="KL497" s="119"/>
      <c r="KM497" s="119"/>
      <c r="KN497" s="119"/>
      <c r="KO497" s="119"/>
      <c r="KP497" s="119"/>
      <c r="KQ497" s="119"/>
      <c r="KR497" s="119"/>
      <c r="KS497" s="119"/>
      <c r="KT497" s="119"/>
      <c r="KU497" s="119"/>
      <c r="KV497" s="119"/>
      <c r="KW497" s="119"/>
      <c r="KX497" s="119"/>
      <c r="KY497" s="119"/>
      <c r="KZ497" s="119"/>
      <c r="LA497" s="119"/>
      <c r="LB497" s="119"/>
      <c r="LC497" s="119"/>
      <c r="LD497" s="119"/>
      <c r="LE497" s="119"/>
      <c r="LF497" s="119"/>
      <c r="LG497" s="119"/>
      <c r="LH497" s="119"/>
      <c r="LI497" s="119"/>
      <c r="LJ497" s="119"/>
      <c r="LK497" s="119"/>
      <c r="LL497" s="119"/>
      <c r="LM497" s="119"/>
      <c r="LN497" s="119"/>
      <c r="LO497" s="119"/>
      <c r="LP497" s="119"/>
      <c r="LQ497" s="119"/>
      <c r="LR497" s="119"/>
      <c r="LS497" s="119"/>
      <c r="LT497" s="119"/>
      <c r="LU497" s="119"/>
      <c r="LV497" s="119"/>
      <c r="LW497" s="119"/>
      <c r="LX497" s="119"/>
      <c r="LY497" s="119"/>
      <c r="LZ497" s="119"/>
      <c r="MA497" s="119"/>
      <c r="MB497" s="119"/>
      <c r="MC497" s="119"/>
      <c r="MD497" s="119"/>
      <c r="ME497" s="119"/>
      <c r="MF497" s="119"/>
      <c r="MG497" s="119"/>
      <c r="MH497" s="119"/>
      <c r="MI497" s="119"/>
      <c r="MJ497" s="119"/>
      <c r="MK497" s="119"/>
      <c r="ML497" s="119"/>
      <c r="MM497" s="119"/>
      <c r="MN497" s="119"/>
      <c r="MO497" s="119"/>
      <c r="MP497" s="119"/>
      <c r="MQ497" s="119"/>
      <c r="MR497" s="119"/>
      <c r="MS497" s="119"/>
      <c r="MT497" s="119"/>
      <c r="MU497" s="119"/>
      <c r="MV497" s="119"/>
      <c r="MW497" s="119"/>
      <c r="MX497" s="119"/>
      <c r="MY497" s="119"/>
      <c r="MZ497" s="119"/>
    </row>
    <row r="498" spans="1:364" s="27" customFormat="1" x14ac:dyDescent="0.25">
      <c r="A498" s="123"/>
      <c r="B498" s="123"/>
      <c r="C498" s="126"/>
      <c r="D498" s="129"/>
      <c r="E498" s="109"/>
      <c r="F498" s="131"/>
      <c r="G498" s="132"/>
      <c r="H498" s="114" t="s">
        <v>149</v>
      </c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19"/>
      <c r="T498" s="119"/>
      <c r="U498" s="119"/>
      <c r="V498" s="119"/>
      <c r="W498" s="119"/>
      <c r="X498" s="119"/>
      <c r="Y498" s="119"/>
      <c r="Z498" s="119"/>
      <c r="AA498" s="119"/>
      <c r="AB498" s="119"/>
      <c r="AC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9"/>
      <c r="AT498" s="119"/>
      <c r="AU498" s="119"/>
      <c r="AV498" s="119"/>
      <c r="AW498" s="119"/>
      <c r="AX498" s="119"/>
      <c r="AY498" s="119"/>
      <c r="AZ498" s="119"/>
      <c r="BA498" s="119"/>
      <c r="BB498" s="119"/>
      <c r="BC498" s="119"/>
      <c r="BD498" s="119"/>
      <c r="BE498" s="119"/>
      <c r="BF498" s="119"/>
      <c r="BG498" s="119"/>
      <c r="BH498" s="119"/>
      <c r="BI498" s="119"/>
      <c r="BJ498" s="119"/>
      <c r="BK498" s="119"/>
      <c r="BL498" s="26"/>
      <c r="BM498" s="119"/>
      <c r="BN498" s="119"/>
      <c r="BO498" s="119"/>
      <c r="BP498" s="119"/>
      <c r="BQ498" s="119"/>
      <c r="BR498" s="119"/>
      <c r="BS498" s="119"/>
      <c r="BT498" s="119"/>
      <c r="BU498" s="119"/>
      <c r="BV498" s="119"/>
      <c r="BW498" s="119"/>
      <c r="BX498" s="119"/>
      <c r="BY498" s="119"/>
      <c r="BZ498" s="119"/>
      <c r="CA498" s="119"/>
      <c r="CB498" s="119"/>
      <c r="CC498" s="119"/>
      <c r="CD498" s="119"/>
      <c r="CE498" s="119"/>
      <c r="CF498" s="119"/>
      <c r="CG498" s="119"/>
      <c r="CH498" s="119"/>
      <c r="CI498" s="119"/>
      <c r="CJ498" s="119"/>
      <c r="CK498" s="119"/>
      <c r="CL498" s="119"/>
      <c r="CM498" s="119"/>
      <c r="CN498" s="119"/>
      <c r="CO498" s="119"/>
      <c r="CP498" s="119"/>
      <c r="CQ498" s="119"/>
      <c r="CR498" s="119"/>
      <c r="CS498" s="119"/>
      <c r="CT498" s="119"/>
      <c r="CU498" s="119"/>
      <c r="CV498" s="119"/>
      <c r="CW498" s="119"/>
      <c r="CX498" s="119"/>
      <c r="CY498" s="119"/>
      <c r="CZ498" s="119"/>
      <c r="DA498" s="119"/>
      <c r="DB498" s="119"/>
      <c r="DC498" s="119"/>
      <c r="DD498" s="119"/>
      <c r="DE498" s="119"/>
      <c r="DF498" s="119"/>
      <c r="DG498" s="119"/>
      <c r="DH498" s="119"/>
      <c r="DI498" s="119"/>
      <c r="DJ498" s="119"/>
      <c r="DK498" s="119"/>
      <c r="DL498" s="119"/>
      <c r="DM498" s="119"/>
      <c r="DN498" s="119"/>
      <c r="DO498" s="119"/>
      <c r="DP498" s="119"/>
      <c r="DQ498" s="119"/>
      <c r="DR498" s="119"/>
      <c r="DS498" s="119"/>
      <c r="DT498" s="119"/>
      <c r="DU498" s="119"/>
      <c r="DV498" s="119"/>
      <c r="DW498" s="119"/>
      <c r="DX498" s="119"/>
      <c r="DY498" s="119"/>
      <c r="DZ498" s="119"/>
      <c r="EA498" s="119"/>
      <c r="EB498" s="119"/>
      <c r="EC498" s="119"/>
      <c r="ED498" s="119"/>
      <c r="EE498" s="119"/>
      <c r="EF498" s="119"/>
      <c r="EG498" s="119"/>
      <c r="EH498" s="119"/>
      <c r="EI498" s="119"/>
      <c r="EJ498" s="119"/>
      <c r="EK498" s="119"/>
      <c r="EL498" s="119"/>
      <c r="EM498" s="119"/>
      <c r="EN498" s="119"/>
      <c r="EO498" s="119"/>
      <c r="EP498" s="119"/>
      <c r="EQ498" s="119"/>
      <c r="ER498" s="119"/>
      <c r="ES498" s="119"/>
      <c r="ET498" s="119"/>
      <c r="EU498" s="119"/>
      <c r="EV498" s="119"/>
      <c r="EW498" s="119"/>
      <c r="EX498" s="119"/>
      <c r="EY498" s="119"/>
      <c r="EZ498" s="119"/>
      <c r="FA498" s="119"/>
      <c r="FB498" s="119"/>
      <c r="FC498" s="119"/>
      <c r="FD498" s="119"/>
      <c r="FE498" s="119"/>
      <c r="FF498" s="119"/>
      <c r="FG498" s="119"/>
      <c r="FH498" s="119"/>
      <c r="FI498" s="119"/>
      <c r="FJ498" s="119"/>
      <c r="FK498" s="119"/>
      <c r="FL498" s="119"/>
      <c r="FM498" s="119"/>
      <c r="FN498" s="119"/>
      <c r="FO498" s="119"/>
      <c r="FP498" s="119"/>
      <c r="FQ498" s="119"/>
      <c r="FR498" s="119"/>
      <c r="FS498" s="119"/>
      <c r="FT498" s="119"/>
      <c r="FU498" s="119"/>
      <c r="FV498" s="119"/>
      <c r="FW498" s="119"/>
      <c r="FX498" s="119"/>
      <c r="FY498" s="119"/>
      <c r="FZ498" s="119"/>
      <c r="GA498" s="119"/>
      <c r="GB498" s="119"/>
      <c r="GC498" s="119"/>
      <c r="GD498" s="119"/>
      <c r="GE498" s="119"/>
      <c r="GF498" s="119"/>
      <c r="GG498" s="119"/>
      <c r="GH498" s="119"/>
      <c r="GI498" s="119"/>
      <c r="GJ498" s="119"/>
      <c r="GK498" s="119"/>
      <c r="GL498" s="119"/>
      <c r="GM498" s="119"/>
      <c r="GN498" s="119"/>
      <c r="GO498" s="119"/>
      <c r="GP498" s="119"/>
      <c r="GQ498" s="119"/>
      <c r="GR498" s="119"/>
      <c r="GS498" s="119"/>
      <c r="GT498" s="119"/>
      <c r="GU498" s="119"/>
      <c r="GV498" s="119"/>
      <c r="GW498" s="119"/>
      <c r="GX498" s="119"/>
      <c r="GY498" s="119"/>
      <c r="GZ498" s="119"/>
      <c r="HA498" s="119"/>
      <c r="HB498" s="119"/>
      <c r="HC498" s="119"/>
      <c r="HD498" s="119"/>
      <c r="HE498" s="119"/>
      <c r="HF498" s="119"/>
      <c r="HG498" s="119"/>
      <c r="HH498" s="119"/>
      <c r="HI498" s="119"/>
      <c r="HJ498" s="119"/>
      <c r="HK498" s="119"/>
      <c r="HL498" s="119"/>
      <c r="HM498" s="119"/>
      <c r="HN498" s="119"/>
      <c r="HO498" s="119"/>
      <c r="HP498" s="119"/>
      <c r="HQ498" s="119"/>
      <c r="HR498" s="119"/>
      <c r="HS498" s="119"/>
      <c r="HT498" s="119"/>
      <c r="HU498" s="119"/>
      <c r="HV498" s="119"/>
      <c r="HW498" s="119"/>
      <c r="HX498" s="119"/>
      <c r="HY498" s="119"/>
      <c r="HZ498" s="119"/>
      <c r="IA498" s="119"/>
      <c r="IB498" s="119"/>
      <c r="IC498" s="119"/>
      <c r="ID498" s="119"/>
      <c r="IE498" s="119"/>
      <c r="IF498" s="119"/>
      <c r="IG498" s="119"/>
      <c r="IH498" s="119"/>
      <c r="II498" s="119"/>
      <c r="IJ498" s="119"/>
      <c r="IK498" s="119"/>
      <c r="IL498" s="119"/>
      <c r="IM498" s="119"/>
      <c r="IN498" s="119"/>
      <c r="IO498" s="119"/>
      <c r="IP498" s="119"/>
      <c r="IQ498" s="119"/>
      <c r="IR498" s="119"/>
      <c r="IS498" s="119"/>
      <c r="IT498" s="119"/>
      <c r="IU498" s="119"/>
      <c r="IV498" s="119"/>
      <c r="IW498" s="119"/>
      <c r="IX498" s="119"/>
      <c r="IY498" s="119"/>
      <c r="IZ498" s="119"/>
      <c r="JA498" s="119"/>
      <c r="JB498" s="119"/>
      <c r="JC498" s="119"/>
      <c r="JD498" s="119"/>
      <c r="JE498" s="119"/>
      <c r="JF498" s="119"/>
      <c r="JG498" s="119"/>
      <c r="JH498" s="119"/>
      <c r="JI498" s="119"/>
      <c r="JJ498" s="119"/>
      <c r="JK498" s="119"/>
      <c r="JL498" s="119"/>
      <c r="JM498" s="119"/>
      <c r="JN498" s="119"/>
      <c r="JO498" s="119"/>
      <c r="JP498" s="119"/>
      <c r="JQ498" s="119"/>
      <c r="JR498" s="119"/>
      <c r="JS498" s="119"/>
      <c r="JT498" s="119"/>
      <c r="JU498" s="119"/>
      <c r="JV498" s="119"/>
      <c r="JW498" s="119"/>
      <c r="JX498" s="119"/>
      <c r="JY498" s="119"/>
      <c r="JZ498" s="119"/>
      <c r="KA498" s="119"/>
      <c r="KB498" s="119"/>
      <c r="KC498" s="119"/>
      <c r="KD498" s="119"/>
      <c r="KE498" s="119"/>
      <c r="KF498" s="119"/>
      <c r="KG498" s="119"/>
      <c r="KH498" s="119"/>
      <c r="KI498" s="119"/>
      <c r="KJ498" s="119"/>
      <c r="KK498" s="119"/>
      <c r="KL498" s="119"/>
      <c r="KM498" s="119"/>
      <c r="KN498" s="119"/>
      <c r="KO498" s="119"/>
      <c r="KP498" s="119"/>
      <c r="KQ498" s="119"/>
      <c r="KR498" s="119"/>
      <c r="KS498" s="119"/>
      <c r="KT498" s="119"/>
      <c r="KU498" s="119"/>
      <c r="KV498" s="119"/>
      <c r="KW498" s="119"/>
      <c r="KX498" s="119"/>
      <c r="KY498" s="119"/>
      <c r="KZ498" s="119"/>
      <c r="LA498" s="119"/>
      <c r="LB498" s="119"/>
      <c r="LC498" s="119"/>
      <c r="LD498" s="119"/>
      <c r="LE498" s="119"/>
      <c r="LF498" s="119"/>
      <c r="LG498" s="119"/>
      <c r="LH498" s="119"/>
      <c r="LI498" s="119"/>
      <c r="LJ498" s="119"/>
      <c r="LK498" s="119"/>
      <c r="LL498" s="119"/>
      <c r="LM498" s="119"/>
      <c r="LN498" s="119"/>
      <c r="LO498" s="119"/>
      <c r="LP498" s="119"/>
      <c r="LQ498" s="119"/>
      <c r="LR498" s="119"/>
      <c r="LS498" s="119"/>
      <c r="LT498" s="119"/>
      <c r="LU498" s="119"/>
      <c r="LV498" s="119"/>
      <c r="LW498" s="119"/>
      <c r="LX498" s="119"/>
      <c r="LY498" s="119"/>
      <c r="LZ498" s="119"/>
      <c r="MA498" s="119"/>
      <c r="MB498" s="119"/>
      <c r="MC498" s="119"/>
      <c r="MD498" s="119"/>
      <c r="ME498" s="119"/>
      <c r="MF498" s="119"/>
      <c r="MG498" s="119"/>
      <c r="MH498" s="119"/>
      <c r="MI498" s="119"/>
      <c r="MJ498" s="119"/>
      <c r="MK498" s="119"/>
      <c r="ML498" s="119"/>
      <c r="MM498" s="119"/>
      <c r="MN498" s="119"/>
      <c r="MO498" s="119"/>
      <c r="MP498" s="119"/>
      <c r="MQ498" s="119"/>
      <c r="MR498" s="119"/>
      <c r="MS498" s="119"/>
      <c r="MT498" s="119"/>
      <c r="MU498" s="119"/>
      <c r="MV498" s="119"/>
      <c r="MW498" s="119"/>
      <c r="MX498" s="119"/>
      <c r="MY498" s="119"/>
      <c r="MZ498" s="119"/>
    </row>
    <row r="499" spans="1:364" s="27" customFormat="1" x14ac:dyDescent="0.25">
      <c r="A499" s="121"/>
      <c r="B499" s="124" t="e">
        <f>VLOOKUP(A499,Rules!$B$8:$C$154,2,0)</f>
        <v>#N/A</v>
      </c>
      <c r="C499" s="125">
        <f t="shared" ref="C499" si="24">SUM(I500:XX500)</f>
        <v>0</v>
      </c>
      <c r="D499" s="127"/>
      <c r="E499" s="110" t="s">
        <v>492</v>
      </c>
      <c r="F499" s="130" t="e">
        <f>VLOOKUP(A499,Table2[],10,0)</f>
        <v>#N/A</v>
      </c>
      <c r="G499" s="130"/>
      <c r="H499" s="113" t="s">
        <v>440</v>
      </c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9"/>
      <c r="T499" s="119"/>
      <c r="U499" s="119"/>
      <c r="V499" s="119"/>
      <c r="W499" s="119"/>
      <c r="X499" s="119"/>
      <c r="Y499" s="119"/>
      <c r="Z499" s="119"/>
      <c r="AA499" s="119"/>
      <c r="AB499" s="119"/>
      <c r="AC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9"/>
      <c r="AT499" s="119"/>
      <c r="AU499" s="119"/>
      <c r="AV499" s="119"/>
      <c r="AW499" s="119"/>
      <c r="AX499" s="119"/>
      <c r="AY499" s="119"/>
      <c r="AZ499" s="119"/>
      <c r="BA499" s="119"/>
      <c r="BB499" s="119"/>
      <c r="BC499" s="119"/>
      <c r="BD499" s="119"/>
      <c r="BE499" s="119"/>
      <c r="BF499" s="119"/>
      <c r="BG499" s="119"/>
      <c r="BH499" s="119"/>
      <c r="BI499" s="119"/>
      <c r="BJ499" s="119"/>
      <c r="BK499" s="119"/>
      <c r="BL499" s="26"/>
      <c r="BM499" s="119"/>
      <c r="BN499" s="26"/>
      <c r="BO499" s="119"/>
      <c r="BP499" s="119"/>
      <c r="BQ499" s="119"/>
      <c r="BR499" s="119"/>
      <c r="BS499" s="119"/>
      <c r="BT499" s="119"/>
      <c r="BU499" s="119"/>
      <c r="BV499" s="119"/>
      <c r="BW499" s="119"/>
      <c r="BX499" s="119"/>
      <c r="BY499" s="119"/>
      <c r="BZ499" s="119"/>
      <c r="CA499" s="119"/>
      <c r="CB499" s="119"/>
      <c r="CC499" s="119"/>
      <c r="CD499" s="119"/>
      <c r="CE499" s="119"/>
      <c r="CF499" s="119"/>
      <c r="CG499" s="119"/>
      <c r="CH499" s="119"/>
      <c r="CI499" s="119"/>
      <c r="CJ499" s="119"/>
      <c r="CK499" s="119"/>
      <c r="CL499" s="119"/>
      <c r="CM499" s="119"/>
      <c r="CN499" s="119"/>
      <c r="CO499" s="119"/>
      <c r="CP499" s="119"/>
      <c r="CQ499" s="119"/>
      <c r="CR499" s="119"/>
      <c r="CS499" s="119"/>
      <c r="CT499" s="119"/>
      <c r="CU499" s="119"/>
      <c r="CV499" s="119"/>
      <c r="CW499" s="119"/>
      <c r="CX499" s="119"/>
      <c r="CY499" s="119"/>
      <c r="CZ499" s="119"/>
      <c r="DA499" s="119"/>
      <c r="DB499" s="119"/>
      <c r="DC499" s="119"/>
      <c r="DD499" s="119"/>
      <c r="DE499" s="119"/>
      <c r="DF499" s="119"/>
      <c r="DG499" s="119"/>
      <c r="DH499" s="119"/>
      <c r="DI499" s="119"/>
      <c r="DJ499" s="119"/>
      <c r="DK499" s="119"/>
      <c r="DL499" s="119"/>
      <c r="DM499" s="119"/>
      <c r="DN499" s="119"/>
      <c r="DO499" s="119"/>
      <c r="DP499" s="119"/>
      <c r="DQ499" s="119"/>
      <c r="DR499" s="119"/>
      <c r="DS499" s="119"/>
      <c r="DT499" s="119"/>
      <c r="DU499" s="119"/>
      <c r="DV499" s="119"/>
      <c r="DW499" s="119"/>
      <c r="DX499" s="119"/>
      <c r="DY499" s="119"/>
      <c r="DZ499" s="119"/>
      <c r="EA499" s="119"/>
      <c r="EB499" s="119"/>
      <c r="EC499" s="119"/>
      <c r="ED499" s="119"/>
      <c r="EE499" s="119"/>
      <c r="EF499" s="119"/>
      <c r="EG499" s="119"/>
      <c r="EH499" s="119"/>
      <c r="EI499" s="119"/>
      <c r="EJ499" s="119"/>
      <c r="EK499" s="119"/>
      <c r="EL499" s="119"/>
      <c r="EM499" s="119"/>
      <c r="EN499" s="119"/>
      <c r="EO499" s="119"/>
      <c r="EP499" s="119"/>
      <c r="EQ499" s="119"/>
      <c r="ER499" s="119"/>
      <c r="ES499" s="119"/>
      <c r="ET499" s="119"/>
      <c r="EU499" s="119"/>
      <c r="EV499" s="119"/>
      <c r="EW499" s="119"/>
      <c r="EX499" s="119"/>
      <c r="EY499" s="119"/>
      <c r="EZ499" s="119"/>
      <c r="FA499" s="119"/>
      <c r="FB499" s="119"/>
      <c r="FC499" s="119"/>
      <c r="FD499" s="119"/>
      <c r="FE499" s="119"/>
      <c r="FF499" s="119"/>
      <c r="FG499" s="119"/>
      <c r="FH499" s="119"/>
      <c r="FI499" s="119"/>
      <c r="FJ499" s="119"/>
      <c r="FK499" s="119"/>
      <c r="FL499" s="119"/>
      <c r="FM499" s="119"/>
      <c r="FN499" s="119"/>
      <c r="FO499" s="119"/>
      <c r="FP499" s="119"/>
      <c r="FQ499" s="119"/>
      <c r="FR499" s="119"/>
      <c r="FS499" s="119"/>
      <c r="FT499" s="119"/>
      <c r="FU499" s="119"/>
      <c r="FV499" s="119"/>
      <c r="FW499" s="119"/>
      <c r="FX499" s="119"/>
      <c r="FY499" s="119"/>
      <c r="FZ499" s="119"/>
      <c r="GA499" s="119"/>
      <c r="GB499" s="119"/>
      <c r="GC499" s="119"/>
      <c r="GD499" s="119"/>
      <c r="GE499" s="119"/>
      <c r="GF499" s="119"/>
      <c r="GG499" s="119"/>
      <c r="GH499" s="119"/>
      <c r="GI499" s="119"/>
      <c r="GJ499" s="119"/>
      <c r="GK499" s="119"/>
      <c r="GL499" s="119"/>
      <c r="GM499" s="119"/>
      <c r="GN499" s="119"/>
      <c r="GO499" s="119"/>
      <c r="GP499" s="119"/>
      <c r="GQ499" s="119"/>
      <c r="GR499" s="119"/>
      <c r="GS499" s="119"/>
      <c r="GT499" s="119"/>
      <c r="GU499" s="119"/>
      <c r="GV499" s="119"/>
      <c r="GW499" s="119"/>
      <c r="GX499" s="119"/>
      <c r="GY499" s="119"/>
      <c r="GZ499" s="119"/>
      <c r="HA499" s="119"/>
      <c r="HB499" s="119"/>
      <c r="HC499" s="119"/>
      <c r="HD499" s="119"/>
      <c r="HE499" s="119"/>
      <c r="HF499" s="119"/>
      <c r="HG499" s="119"/>
      <c r="HH499" s="119"/>
      <c r="HI499" s="119"/>
      <c r="HJ499" s="119"/>
      <c r="HK499" s="119"/>
      <c r="HL499" s="119"/>
      <c r="HM499" s="119"/>
      <c r="HN499" s="119"/>
      <c r="HO499" s="119"/>
      <c r="HP499" s="119"/>
      <c r="HQ499" s="119"/>
      <c r="HR499" s="119"/>
      <c r="HS499" s="119"/>
      <c r="HT499" s="119"/>
      <c r="HU499" s="119"/>
      <c r="HV499" s="119"/>
      <c r="HW499" s="119"/>
      <c r="HX499" s="119"/>
      <c r="HY499" s="119"/>
      <c r="HZ499" s="119"/>
      <c r="IA499" s="119"/>
      <c r="IB499" s="119"/>
      <c r="IC499" s="119"/>
      <c r="ID499" s="119"/>
      <c r="IE499" s="119"/>
      <c r="IF499" s="119"/>
      <c r="IG499" s="119"/>
      <c r="IH499" s="119"/>
      <c r="II499" s="119"/>
      <c r="IJ499" s="119"/>
      <c r="IK499" s="119"/>
      <c r="IL499" s="119"/>
      <c r="IM499" s="119"/>
      <c r="IN499" s="119"/>
      <c r="IO499" s="119"/>
      <c r="IP499" s="119"/>
      <c r="IQ499" s="119"/>
      <c r="IR499" s="119"/>
      <c r="IS499" s="119"/>
      <c r="IT499" s="119"/>
      <c r="IU499" s="119"/>
      <c r="IV499" s="119"/>
      <c r="IW499" s="119"/>
      <c r="IX499" s="119"/>
      <c r="IY499" s="119"/>
      <c r="IZ499" s="119"/>
      <c r="JA499" s="119"/>
      <c r="JB499" s="119"/>
      <c r="JC499" s="119"/>
      <c r="JD499" s="119"/>
      <c r="JE499" s="119"/>
      <c r="JF499" s="119"/>
      <c r="JG499" s="119"/>
      <c r="JH499" s="119"/>
      <c r="JI499" s="119"/>
      <c r="JJ499" s="119"/>
      <c r="JK499" s="119"/>
      <c r="JL499" s="119"/>
      <c r="JM499" s="119"/>
      <c r="JN499" s="119"/>
      <c r="JO499" s="119"/>
      <c r="JP499" s="119"/>
      <c r="JQ499" s="119"/>
      <c r="JR499" s="119"/>
      <c r="JS499" s="119"/>
      <c r="JT499" s="119"/>
      <c r="JU499" s="119"/>
      <c r="JV499" s="119"/>
      <c r="JW499" s="119"/>
      <c r="JX499" s="119"/>
      <c r="JY499" s="119"/>
      <c r="JZ499" s="119"/>
      <c r="KA499" s="119"/>
      <c r="KB499" s="119"/>
      <c r="KC499" s="119"/>
      <c r="KD499" s="119"/>
      <c r="KE499" s="119"/>
      <c r="KF499" s="119"/>
      <c r="KG499" s="119"/>
      <c r="KH499" s="119"/>
      <c r="KI499" s="119"/>
      <c r="KJ499" s="119"/>
      <c r="KK499" s="119"/>
      <c r="KL499" s="119"/>
      <c r="KM499" s="119"/>
      <c r="KN499" s="119"/>
      <c r="KO499" s="119"/>
      <c r="KP499" s="119"/>
      <c r="KQ499" s="119"/>
      <c r="KR499" s="119"/>
      <c r="KS499" s="119"/>
      <c r="KT499" s="119"/>
      <c r="KU499" s="119"/>
      <c r="KV499" s="119"/>
      <c r="KW499" s="119"/>
      <c r="KX499" s="119"/>
      <c r="KY499" s="119"/>
      <c r="KZ499" s="119"/>
      <c r="LA499" s="119"/>
      <c r="LB499" s="119"/>
      <c r="LC499" s="119"/>
      <c r="LD499" s="119"/>
      <c r="LE499" s="119"/>
      <c r="LF499" s="119"/>
      <c r="LG499" s="119"/>
      <c r="LH499" s="119"/>
      <c r="LI499" s="119"/>
      <c r="LJ499" s="119"/>
      <c r="LK499" s="119"/>
      <c r="LL499" s="119"/>
      <c r="LM499" s="119"/>
      <c r="LN499" s="119"/>
      <c r="LO499" s="119"/>
      <c r="LP499" s="119"/>
      <c r="LQ499" s="119"/>
      <c r="LR499" s="119"/>
      <c r="LS499" s="119"/>
      <c r="LT499" s="119"/>
      <c r="LU499" s="119"/>
      <c r="LV499" s="119"/>
      <c r="LW499" s="119"/>
      <c r="LX499" s="119"/>
      <c r="LY499" s="119"/>
      <c r="LZ499" s="119"/>
      <c r="MA499" s="119"/>
      <c r="MB499" s="119"/>
      <c r="MC499" s="119"/>
      <c r="MD499" s="119"/>
      <c r="ME499" s="119"/>
      <c r="MF499" s="119"/>
      <c r="MG499" s="119"/>
      <c r="MH499" s="119"/>
      <c r="MI499" s="119"/>
      <c r="MJ499" s="119"/>
      <c r="MK499" s="119"/>
      <c r="ML499" s="119"/>
      <c r="MM499" s="119"/>
      <c r="MN499" s="119"/>
      <c r="MO499" s="119"/>
      <c r="MP499" s="119"/>
      <c r="MQ499" s="119"/>
      <c r="MR499" s="119"/>
      <c r="MS499" s="119"/>
      <c r="MT499" s="119"/>
      <c r="MU499" s="119"/>
      <c r="MV499" s="119"/>
      <c r="MW499" s="119"/>
      <c r="MX499" s="119"/>
      <c r="MY499" s="119"/>
      <c r="MZ499" s="119"/>
    </row>
    <row r="500" spans="1:364" s="27" customFormat="1" x14ac:dyDescent="0.25">
      <c r="A500" s="122"/>
      <c r="B500" s="122"/>
      <c r="C500" s="126"/>
      <c r="D500" s="128"/>
      <c r="E500" s="109"/>
      <c r="F500" s="131"/>
      <c r="G500" s="131"/>
      <c r="H500" s="105" t="s">
        <v>439</v>
      </c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9"/>
      <c r="T500" s="119"/>
      <c r="U500" s="119"/>
      <c r="V500" s="119"/>
      <c r="W500" s="119"/>
      <c r="X500" s="119"/>
      <c r="Y500" s="119"/>
      <c r="Z500" s="119"/>
      <c r="AA500" s="119"/>
      <c r="AB500" s="119"/>
      <c r="AC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9"/>
      <c r="AT500" s="119"/>
      <c r="AU500" s="119"/>
      <c r="AV500" s="119"/>
      <c r="AW500" s="119"/>
      <c r="AX500" s="119"/>
      <c r="AY500" s="119"/>
      <c r="AZ500" s="119"/>
      <c r="BA500" s="119"/>
      <c r="BB500" s="119"/>
      <c r="BC500" s="119"/>
      <c r="BD500" s="119"/>
      <c r="BE500" s="119"/>
      <c r="BF500" s="119"/>
      <c r="BG500" s="119"/>
      <c r="BH500" s="119"/>
      <c r="BI500" s="119"/>
      <c r="BJ500" s="119"/>
      <c r="BK500" s="119"/>
      <c r="BL500" s="26"/>
      <c r="BM500" s="119"/>
      <c r="BN500" s="26"/>
      <c r="BO500" s="119"/>
      <c r="BP500" s="119"/>
      <c r="BQ500" s="119"/>
      <c r="BR500" s="119"/>
      <c r="BS500" s="119"/>
      <c r="BT500" s="119"/>
      <c r="BU500" s="119"/>
      <c r="BV500" s="119"/>
      <c r="BW500" s="119"/>
      <c r="BX500" s="119"/>
      <c r="BY500" s="119"/>
      <c r="BZ500" s="119"/>
      <c r="CA500" s="119"/>
      <c r="CB500" s="119"/>
      <c r="CC500" s="119"/>
      <c r="CD500" s="119"/>
      <c r="CE500" s="119"/>
      <c r="CF500" s="119"/>
      <c r="CG500" s="119"/>
      <c r="CH500" s="119"/>
      <c r="CI500" s="119"/>
      <c r="CJ500" s="119"/>
      <c r="CK500" s="119"/>
      <c r="CL500" s="119"/>
      <c r="CM500" s="119"/>
      <c r="CN500" s="119"/>
      <c r="CO500" s="119"/>
      <c r="CP500" s="119"/>
      <c r="CQ500" s="119"/>
      <c r="CR500" s="119"/>
      <c r="CS500" s="119"/>
      <c r="CT500" s="119"/>
      <c r="CU500" s="119"/>
      <c r="CV500" s="119"/>
      <c r="CW500" s="119"/>
      <c r="CX500" s="119"/>
      <c r="CY500" s="119"/>
      <c r="CZ500" s="119"/>
      <c r="DA500" s="119"/>
      <c r="DB500" s="119"/>
      <c r="DC500" s="119"/>
      <c r="DD500" s="119"/>
      <c r="DE500" s="119"/>
      <c r="DF500" s="119"/>
      <c r="DG500" s="119"/>
      <c r="DH500" s="119"/>
      <c r="DI500" s="119"/>
      <c r="DJ500" s="119"/>
      <c r="DK500" s="119"/>
      <c r="DL500" s="119"/>
      <c r="DM500" s="119"/>
      <c r="DN500" s="119"/>
      <c r="DO500" s="119"/>
      <c r="DP500" s="119"/>
      <c r="DQ500" s="119"/>
      <c r="DR500" s="119"/>
      <c r="DS500" s="119"/>
      <c r="DT500" s="119"/>
      <c r="DU500" s="119"/>
      <c r="DV500" s="119"/>
      <c r="DW500" s="119"/>
      <c r="DX500" s="119"/>
      <c r="DY500" s="119"/>
      <c r="DZ500" s="119"/>
      <c r="EA500" s="119"/>
      <c r="EB500" s="119"/>
      <c r="EC500" s="119"/>
      <c r="ED500" s="119"/>
      <c r="EE500" s="119"/>
      <c r="EF500" s="119"/>
      <c r="EG500" s="119"/>
      <c r="EH500" s="119"/>
      <c r="EI500" s="119"/>
      <c r="EJ500" s="119"/>
      <c r="EK500" s="119"/>
      <c r="EL500" s="119"/>
      <c r="EM500" s="119"/>
      <c r="EN500" s="119"/>
      <c r="EO500" s="119"/>
      <c r="EP500" s="119"/>
      <c r="EQ500" s="119"/>
      <c r="ER500" s="119"/>
      <c r="ES500" s="119"/>
      <c r="ET500" s="119"/>
      <c r="EU500" s="119"/>
      <c r="EV500" s="119"/>
      <c r="EW500" s="119"/>
      <c r="EX500" s="119"/>
      <c r="EY500" s="119"/>
      <c r="EZ500" s="119"/>
      <c r="FA500" s="119"/>
      <c r="FB500" s="119"/>
      <c r="FC500" s="119"/>
      <c r="FD500" s="119"/>
      <c r="FE500" s="119"/>
      <c r="FF500" s="119"/>
      <c r="FG500" s="119"/>
      <c r="FH500" s="119"/>
      <c r="FI500" s="119"/>
      <c r="FJ500" s="119"/>
      <c r="FK500" s="119"/>
      <c r="FL500" s="119"/>
      <c r="FM500" s="119"/>
      <c r="FN500" s="119"/>
      <c r="FO500" s="119"/>
      <c r="FP500" s="119"/>
      <c r="FQ500" s="119"/>
      <c r="FR500" s="119"/>
      <c r="FS500" s="119"/>
      <c r="FT500" s="119"/>
      <c r="FU500" s="119"/>
      <c r="FV500" s="119"/>
      <c r="FW500" s="119"/>
      <c r="FX500" s="119"/>
      <c r="FY500" s="119"/>
      <c r="FZ500" s="119"/>
      <c r="GA500" s="119"/>
      <c r="GB500" s="119"/>
      <c r="GC500" s="119"/>
      <c r="GD500" s="119"/>
      <c r="GE500" s="119"/>
      <c r="GF500" s="119"/>
      <c r="GG500" s="119"/>
      <c r="GH500" s="119"/>
      <c r="GI500" s="119"/>
      <c r="GJ500" s="119"/>
      <c r="GK500" s="119"/>
      <c r="GL500" s="119"/>
      <c r="GM500" s="119"/>
      <c r="GN500" s="119"/>
      <c r="GO500" s="119"/>
      <c r="GP500" s="119"/>
      <c r="GQ500" s="119"/>
      <c r="GR500" s="119"/>
      <c r="GS500" s="119"/>
      <c r="GT500" s="119"/>
      <c r="GU500" s="119"/>
      <c r="GV500" s="119"/>
      <c r="GW500" s="119"/>
      <c r="GX500" s="119"/>
      <c r="GY500" s="119"/>
      <c r="GZ500" s="119"/>
      <c r="HA500" s="119"/>
      <c r="HB500" s="119"/>
      <c r="HC500" s="119"/>
      <c r="HD500" s="119"/>
      <c r="HE500" s="119"/>
      <c r="HF500" s="119"/>
      <c r="HG500" s="119"/>
      <c r="HH500" s="119"/>
      <c r="HI500" s="119"/>
      <c r="HJ500" s="119"/>
      <c r="HK500" s="119"/>
      <c r="HL500" s="119"/>
      <c r="HM500" s="119"/>
      <c r="HN500" s="119"/>
      <c r="HO500" s="119"/>
      <c r="HP500" s="119"/>
      <c r="HQ500" s="119"/>
      <c r="HR500" s="119"/>
      <c r="HS500" s="119"/>
      <c r="HT500" s="119"/>
      <c r="HU500" s="119"/>
      <c r="HV500" s="119"/>
      <c r="HW500" s="119"/>
      <c r="HX500" s="119"/>
      <c r="HY500" s="119"/>
      <c r="HZ500" s="119"/>
      <c r="IA500" s="119"/>
      <c r="IB500" s="119"/>
      <c r="IC500" s="119"/>
      <c r="ID500" s="119"/>
      <c r="IE500" s="119"/>
      <c r="IF500" s="119"/>
      <c r="IG500" s="119"/>
      <c r="IH500" s="119"/>
      <c r="II500" s="119"/>
      <c r="IJ500" s="119"/>
      <c r="IK500" s="119"/>
      <c r="IL500" s="119"/>
      <c r="IM500" s="119"/>
      <c r="IN500" s="119"/>
      <c r="IO500" s="119"/>
      <c r="IP500" s="119"/>
      <c r="IQ500" s="119"/>
      <c r="IR500" s="119"/>
      <c r="IS500" s="119"/>
      <c r="IT500" s="119"/>
      <c r="IU500" s="119"/>
      <c r="IV500" s="119"/>
      <c r="IW500" s="119"/>
      <c r="IX500" s="119"/>
      <c r="IY500" s="119"/>
      <c r="IZ500" s="119"/>
      <c r="JA500" s="119"/>
      <c r="JB500" s="119"/>
      <c r="JC500" s="119"/>
      <c r="JD500" s="119"/>
      <c r="JE500" s="119"/>
      <c r="JF500" s="119"/>
      <c r="JG500" s="119"/>
      <c r="JH500" s="119"/>
      <c r="JI500" s="119"/>
      <c r="JJ500" s="119"/>
      <c r="JK500" s="119"/>
      <c r="JL500" s="119"/>
      <c r="JM500" s="119"/>
      <c r="JN500" s="119"/>
      <c r="JO500" s="119"/>
      <c r="JP500" s="119"/>
      <c r="JQ500" s="119"/>
      <c r="JR500" s="119"/>
      <c r="JS500" s="119"/>
      <c r="JT500" s="119"/>
      <c r="JU500" s="119"/>
      <c r="JV500" s="119"/>
      <c r="JW500" s="119"/>
      <c r="JX500" s="119"/>
      <c r="JY500" s="119"/>
      <c r="JZ500" s="119"/>
      <c r="KA500" s="119"/>
      <c r="KB500" s="119"/>
      <c r="KC500" s="119"/>
      <c r="KD500" s="119"/>
      <c r="KE500" s="119"/>
      <c r="KF500" s="119"/>
      <c r="KG500" s="119"/>
      <c r="KH500" s="119"/>
      <c r="KI500" s="119"/>
      <c r="KJ500" s="119"/>
      <c r="KK500" s="119"/>
      <c r="KL500" s="119"/>
      <c r="KM500" s="119"/>
      <c r="KN500" s="119"/>
      <c r="KO500" s="119"/>
      <c r="KP500" s="119"/>
      <c r="KQ500" s="119"/>
      <c r="KR500" s="119"/>
      <c r="KS500" s="119"/>
      <c r="KT500" s="119"/>
      <c r="KU500" s="119"/>
      <c r="KV500" s="119"/>
      <c r="KW500" s="119"/>
      <c r="KX500" s="119"/>
      <c r="KY500" s="119"/>
      <c r="KZ500" s="119"/>
      <c r="LA500" s="119"/>
      <c r="LB500" s="119"/>
      <c r="LC500" s="119"/>
      <c r="LD500" s="119"/>
      <c r="LE500" s="119"/>
      <c r="LF500" s="119"/>
      <c r="LG500" s="119"/>
      <c r="LH500" s="119"/>
      <c r="LI500" s="119"/>
      <c r="LJ500" s="119"/>
      <c r="LK500" s="119"/>
      <c r="LL500" s="119"/>
      <c r="LM500" s="119"/>
      <c r="LN500" s="119"/>
      <c r="LO500" s="119"/>
      <c r="LP500" s="119"/>
      <c r="LQ500" s="119"/>
      <c r="LR500" s="119"/>
      <c r="LS500" s="119"/>
      <c r="LT500" s="119"/>
      <c r="LU500" s="119"/>
      <c r="LV500" s="119"/>
      <c r="LW500" s="119"/>
      <c r="LX500" s="119"/>
      <c r="LY500" s="119"/>
      <c r="LZ500" s="119"/>
      <c r="MA500" s="119"/>
      <c r="MB500" s="119"/>
      <c r="MC500" s="119"/>
      <c r="MD500" s="119"/>
      <c r="ME500" s="119"/>
      <c r="MF500" s="119"/>
      <c r="MG500" s="119"/>
      <c r="MH500" s="119"/>
      <c r="MI500" s="119"/>
      <c r="MJ500" s="119"/>
      <c r="MK500" s="119"/>
      <c r="ML500" s="119"/>
      <c r="MM500" s="119"/>
      <c r="MN500" s="119"/>
      <c r="MO500" s="119"/>
      <c r="MP500" s="119"/>
      <c r="MQ500" s="119"/>
      <c r="MR500" s="119"/>
      <c r="MS500" s="119"/>
      <c r="MT500" s="119"/>
      <c r="MU500" s="119"/>
      <c r="MV500" s="119"/>
      <c r="MW500" s="119"/>
      <c r="MX500" s="119"/>
      <c r="MY500" s="119"/>
      <c r="MZ500" s="119"/>
    </row>
    <row r="501" spans="1:364" s="27" customFormat="1" x14ac:dyDescent="0.25">
      <c r="A501" s="122"/>
      <c r="B501" s="122"/>
      <c r="C501" s="126"/>
      <c r="D501" s="128"/>
      <c r="E501" s="109" t="s">
        <v>493</v>
      </c>
      <c r="F501" s="131"/>
      <c r="G501" s="131"/>
      <c r="H501" s="106" t="s">
        <v>438</v>
      </c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19"/>
      <c r="T501" s="119"/>
      <c r="U501" s="119"/>
      <c r="V501" s="119"/>
      <c r="W501" s="119"/>
      <c r="X501" s="119"/>
      <c r="Y501" s="119"/>
      <c r="Z501" s="119"/>
      <c r="AA501" s="119"/>
      <c r="AB501" s="119"/>
      <c r="AC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9"/>
      <c r="AT501" s="119"/>
      <c r="AU501" s="119"/>
      <c r="AV501" s="119"/>
      <c r="AW501" s="119"/>
      <c r="AX501" s="119"/>
      <c r="AY501" s="119"/>
      <c r="AZ501" s="119"/>
      <c r="BA501" s="119"/>
      <c r="BB501" s="119"/>
      <c r="BC501" s="119"/>
      <c r="BD501" s="119"/>
      <c r="BE501" s="119"/>
      <c r="BF501" s="119"/>
      <c r="BG501" s="119"/>
      <c r="BH501" s="119"/>
      <c r="BI501" s="119"/>
      <c r="BJ501" s="119"/>
      <c r="BK501" s="119"/>
      <c r="BL501" s="26"/>
      <c r="BM501" s="119"/>
      <c r="BN501" s="119"/>
      <c r="BO501" s="119"/>
      <c r="BP501" s="119"/>
      <c r="BQ501" s="119"/>
      <c r="BR501" s="119"/>
      <c r="BS501" s="119"/>
      <c r="BT501" s="119"/>
      <c r="BU501" s="119"/>
      <c r="BV501" s="119"/>
      <c r="BW501" s="119"/>
      <c r="BX501" s="119"/>
      <c r="BY501" s="119"/>
      <c r="BZ501" s="119"/>
      <c r="CA501" s="119"/>
      <c r="CB501" s="119"/>
      <c r="CC501" s="119"/>
      <c r="CD501" s="119"/>
      <c r="CE501" s="119"/>
      <c r="CF501" s="119"/>
      <c r="CG501" s="119"/>
      <c r="CH501" s="119"/>
      <c r="CI501" s="119"/>
      <c r="CJ501" s="119"/>
      <c r="CK501" s="119"/>
      <c r="CL501" s="119"/>
      <c r="CM501" s="119"/>
      <c r="CN501" s="119"/>
      <c r="CO501" s="119"/>
      <c r="CP501" s="119"/>
      <c r="CQ501" s="119"/>
      <c r="CR501" s="119"/>
      <c r="CS501" s="119"/>
      <c r="CT501" s="119"/>
      <c r="CU501" s="119"/>
      <c r="CV501" s="119"/>
      <c r="CW501" s="119"/>
      <c r="CX501" s="119"/>
      <c r="CY501" s="119"/>
      <c r="CZ501" s="119"/>
      <c r="DA501" s="119"/>
      <c r="DB501" s="119"/>
      <c r="DC501" s="119"/>
      <c r="DD501" s="119"/>
      <c r="DE501" s="119"/>
      <c r="DF501" s="119"/>
      <c r="DG501" s="119"/>
      <c r="DH501" s="119"/>
      <c r="DI501" s="119"/>
      <c r="DJ501" s="119"/>
      <c r="DK501" s="119"/>
      <c r="DL501" s="119"/>
      <c r="DM501" s="119"/>
      <c r="DN501" s="119"/>
      <c r="DO501" s="119"/>
      <c r="DP501" s="119"/>
      <c r="DQ501" s="119"/>
      <c r="DR501" s="119"/>
      <c r="DS501" s="119"/>
      <c r="DT501" s="119"/>
      <c r="DU501" s="119"/>
      <c r="DV501" s="119"/>
      <c r="DW501" s="119"/>
      <c r="DX501" s="119"/>
      <c r="DY501" s="119"/>
      <c r="DZ501" s="119"/>
      <c r="EA501" s="119"/>
      <c r="EB501" s="119"/>
      <c r="EC501" s="119"/>
      <c r="ED501" s="119"/>
      <c r="EE501" s="119"/>
      <c r="EF501" s="119"/>
      <c r="EG501" s="119"/>
      <c r="EH501" s="119"/>
      <c r="EI501" s="119"/>
      <c r="EJ501" s="119"/>
      <c r="EK501" s="119"/>
      <c r="EL501" s="119"/>
      <c r="EM501" s="119"/>
      <c r="EN501" s="119"/>
      <c r="EO501" s="119"/>
      <c r="EP501" s="119"/>
      <c r="EQ501" s="119"/>
      <c r="ER501" s="119"/>
      <c r="ES501" s="119"/>
      <c r="ET501" s="119"/>
      <c r="EU501" s="119"/>
      <c r="EV501" s="119"/>
      <c r="EW501" s="119"/>
      <c r="EX501" s="119"/>
      <c r="EY501" s="119"/>
      <c r="EZ501" s="119"/>
      <c r="FA501" s="119"/>
      <c r="FB501" s="119"/>
      <c r="FC501" s="119"/>
      <c r="FD501" s="119"/>
      <c r="FE501" s="119"/>
      <c r="FF501" s="119"/>
      <c r="FG501" s="119"/>
      <c r="FH501" s="119"/>
      <c r="FI501" s="119"/>
      <c r="FJ501" s="119"/>
      <c r="FK501" s="119"/>
      <c r="FL501" s="119"/>
      <c r="FM501" s="119"/>
      <c r="FN501" s="119"/>
      <c r="FO501" s="119"/>
      <c r="FP501" s="119"/>
      <c r="FQ501" s="119"/>
      <c r="FR501" s="119"/>
      <c r="FS501" s="119"/>
      <c r="FT501" s="119"/>
      <c r="FU501" s="119"/>
      <c r="FV501" s="119"/>
      <c r="FW501" s="119"/>
      <c r="FX501" s="119"/>
      <c r="FY501" s="119"/>
      <c r="FZ501" s="119"/>
      <c r="GA501" s="119"/>
      <c r="GB501" s="119"/>
      <c r="GC501" s="119"/>
      <c r="GD501" s="119"/>
      <c r="GE501" s="119"/>
      <c r="GF501" s="119"/>
      <c r="GG501" s="119"/>
      <c r="GH501" s="119"/>
      <c r="GI501" s="119"/>
      <c r="GJ501" s="119"/>
      <c r="GK501" s="119"/>
      <c r="GL501" s="119"/>
      <c r="GM501" s="119"/>
      <c r="GN501" s="119"/>
      <c r="GO501" s="119"/>
      <c r="GP501" s="119"/>
      <c r="GQ501" s="119"/>
      <c r="GR501" s="119"/>
      <c r="GS501" s="119"/>
      <c r="GT501" s="119"/>
      <c r="GU501" s="119"/>
      <c r="GV501" s="119"/>
      <c r="GW501" s="119"/>
      <c r="GX501" s="119"/>
      <c r="GY501" s="119"/>
      <c r="GZ501" s="119"/>
      <c r="HA501" s="119"/>
      <c r="HB501" s="119"/>
      <c r="HC501" s="119"/>
      <c r="HD501" s="119"/>
      <c r="HE501" s="119"/>
      <c r="HF501" s="119"/>
      <c r="HG501" s="119"/>
      <c r="HH501" s="119"/>
      <c r="HI501" s="119"/>
      <c r="HJ501" s="119"/>
      <c r="HK501" s="119"/>
      <c r="HL501" s="119"/>
      <c r="HM501" s="119"/>
      <c r="HN501" s="119"/>
      <c r="HO501" s="119"/>
      <c r="HP501" s="119"/>
      <c r="HQ501" s="119"/>
      <c r="HR501" s="119"/>
      <c r="HS501" s="119"/>
      <c r="HT501" s="119"/>
      <c r="HU501" s="119"/>
      <c r="HV501" s="119"/>
      <c r="HW501" s="119"/>
      <c r="HX501" s="119"/>
      <c r="HY501" s="119"/>
      <c r="HZ501" s="119"/>
      <c r="IA501" s="119"/>
      <c r="IB501" s="119"/>
      <c r="IC501" s="119"/>
      <c r="ID501" s="119"/>
      <c r="IE501" s="119"/>
      <c r="IF501" s="119"/>
      <c r="IG501" s="119"/>
      <c r="IH501" s="119"/>
      <c r="II501" s="119"/>
      <c r="IJ501" s="119"/>
      <c r="IK501" s="119"/>
      <c r="IL501" s="119"/>
      <c r="IM501" s="119"/>
      <c r="IN501" s="119"/>
      <c r="IO501" s="119"/>
      <c r="IP501" s="119"/>
      <c r="IQ501" s="119"/>
      <c r="IR501" s="119"/>
      <c r="IS501" s="119"/>
      <c r="IT501" s="119"/>
      <c r="IU501" s="119"/>
      <c r="IV501" s="119"/>
      <c r="IW501" s="119"/>
      <c r="IX501" s="119"/>
      <c r="IY501" s="119"/>
      <c r="IZ501" s="119"/>
      <c r="JA501" s="119"/>
      <c r="JB501" s="119"/>
      <c r="JC501" s="119"/>
      <c r="JD501" s="119"/>
      <c r="JE501" s="119"/>
      <c r="JF501" s="119"/>
      <c r="JG501" s="119"/>
      <c r="JH501" s="119"/>
      <c r="JI501" s="119"/>
      <c r="JJ501" s="119"/>
      <c r="JK501" s="119"/>
      <c r="JL501" s="119"/>
      <c r="JM501" s="119"/>
      <c r="JN501" s="119"/>
      <c r="JO501" s="119"/>
      <c r="JP501" s="119"/>
      <c r="JQ501" s="119"/>
      <c r="JR501" s="119"/>
      <c r="JS501" s="119"/>
      <c r="JT501" s="119"/>
      <c r="JU501" s="119"/>
      <c r="JV501" s="119"/>
      <c r="JW501" s="119"/>
      <c r="JX501" s="119"/>
      <c r="JY501" s="119"/>
      <c r="JZ501" s="119"/>
      <c r="KA501" s="119"/>
      <c r="KB501" s="119"/>
      <c r="KC501" s="119"/>
      <c r="KD501" s="119"/>
      <c r="KE501" s="119"/>
      <c r="KF501" s="119"/>
      <c r="KG501" s="119"/>
      <c r="KH501" s="119"/>
      <c r="KI501" s="119"/>
      <c r="KJ501" s="119"/>
      <c r="KK501" s="119"/>
      <c r="KL501" s="119"/>
      <c r="KM501" s="119"/>
      <c r="KN501" s="119"/>
      <c r="KO501" s="119"/>
      <c r="KP501" s="119"/>
      <c r="KQ501" s="119"/>
      <c r="KR501" s="119"/>
      <c r="KS501" s="119"/>
      <c r="KT501" s="119"/>
      <c r="KU501" s="119"/>
      <c r="KV501" s="119"/>
      <c r="KW501" s="119"/>
      <c r="KX501" s="119"/>
      <c r="KY501" s="119"/>
      <c r="KZ501" s="119"/>
      <c r="LA501" s="119"/>
      <c r="LB501" s="119"/>
      <c r="LC501" s="119"/>
      <c r="LD501" s="119"/>
      <c r="LE501" s="119"/>
      <c r="LF501" s="119"/>
      <c r="LG501" s="119"/>
      <c r="LH501" s="119"/>
      <c r="LI501" s="119"/>
      <c r="LJ501" s="119"/>
      <c r="LK501" s="119"/>
      <c r="LL501" s="119"/>
      <c r="LM501" s="119"/>
      <c r="LN501" s="119"/>
      <c r="LO501" s="119"/>
      <c r="LP501" s="119"/>
      <c r="LQ501" s="119"/>
      <c r="LR501" s="119"/>
      <c r="LS501" s="119"/>
      <c r="LT501" s="119"/>
      <c r="LU501" s="119"/>
      <c r="LV501" s="119"/>
      <c r="LW501" s="119"/>
      <c r="LX501" s="119"/>
      <c r="LY501" s="119"/>
      <c r="LZ501" s="119"/>
      <c r="MA501" s="119"/>
      <c r="MB501" s="119"/>
      <c r="MC501" s="119"/>
      <c r="MD501" s="119"/>
      <c r="ME501" s="119"/>
      <c r="MF501" s="119"/>
      <c r="MG501" s="119"/>
      <c r="MH501" s="119"/>
      <c r="MI501" s="119"/>
      <c r="MJ501" s="119"/>
      <c r="MK501" s="119"/>
      <c r="ML501" s="119"/>
      <c r="MM501" s="119"/>
      <c r="MN501" s="119"/>
      <c r="MO501" s="119"/>
      <c r="MP501" s="119"/>
      <c r="MQ501" s="119"/>
      <c r="MR501" s="119"/>
      <c r="MS501" s="119"/>
      <c r="MT501" s="119"/>
      <c r="MU501" s="119"/>
      <c r="MV501" s="119"/>
      <c r="MW501" s="119"/>
      <c r="MX501" s="119"/>
      <c r="MY501" s="119"/>
      <c r="MZ501" s="119"/>
    </row>
    <row r="502" spans="1:364" s="27" customFormat="1" x14ac:dyDescent="0.25">
      <c r="A502" s="123"/>
      <c r="B502" s="123"/>
      <c r="C502" s="126"/>
      <c r="D502" s="129"/>
      <c r="E502" s="109"/>
      <c r="F502" s="131"/>
      <c r="G502" s="132"/>
      <c r="H502" s="114" t="s">
        <v>149</v>
      </c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19"/>
      <c r="T502" s="119"/>
      <c r="U502" s="119"/>
      <c r="V502" s="119"/>
      <c r="W502" s="119"/>
      <c r="X502" s="119"/>
      <c r="Y502" s="119"/>
      <c r="Z502" s="119"/>
      <c r="AA502" s="119"/>
      <c r="AB502" s="119"/>
      <c r="AC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9"/>
      <c r="AT502" s="119"/>
      <c r="AU502" s="119"/>
      <c r="AV502" s="119"/>
      <c r="AW502" s="119"/>
      <c r="AX502" s="119"/>
      <c r="AY502" s="119"/>
      <c r="AZ502" s="119"/>
      <c r="BA502" s="119"/>
      <c r="BB502" s="119"/>
      <c r="BC502" s="119"/>
      <c r="BD502" s="119"/>
      <c r="BE502" s="119"/>
      <c r="BF502" s="119"/>
      <c r="BG502" s="119"/>
      <c r="BH502" s="119"/>
      <c r="BI502" s="119"/>
      <c r="BJ502" s="119"/>
      <c r="BK502" s="119"/>
      <c r="BL502" s="26"/>
      <c r="BM502" s="119"/>
      <c r="BN502" s="119"/>
      <c r="BO502" s="119"/>
      <c r="BP502" s="119"/>
      <c r="BQ502" s="119"/>
      <c r="BR502" s="119"/>
      <c r="BS502" s="119"/>
      <c r="BT502" s="119"/>
      <c r="BU502" s="119"/>
      <c r="BV502" s="119"/>
      <c r="BW502" s="119"/>
      <c r="BX502" s="119"/>
      <c r="BY502" s="119"/>
      <c r="BZ502" s="119"/>
      <c r="CA502" s="119"/>
      <c r="CB502" s="119"/>
      <c r="CC502" s="119"/>
      <c r="CD502" s="119"/>
      <c r="CE502" s="119"/>
      <c r="CF502" s="119"/>
      <c r="CG502" s="119"/>
      <c r="CH502" s="119"/>
      <c r="CI502" s="119"/>
      <c r="CJ502" s="119"/>
      <c r="CK502" s="119"/>
      <c r="CL502" s="119"/>
      <c r="CM502" s="119"/>
      <c r="CN502" s="119"/>
      <c r="CO502" s="119"/>
      <c r="CP502" s="119"/>
      <c r="CQ502" s="119"/>
      <c r="CR502" s="119"/>
      <c r="CS502" s="119"/>
      <c r="CT502" s="119"/>
      <c r="CU502" s="119"/>
      <c r="CV502" s="119"/>
      <c r="CW502" s="119"/>
      <c r="CX502" s="119"/>
      <c r="CY502" s="119"/>
      <c r="CZ502" s="119"/>
      <c r="DA502" s="119"/>
      <c r="DB502" s="119"/>
      <c r="DC502" s="119"/>
      <c r="DD502" s="119"/>
      <c r="DE502" s="119"/>
      <c r="DF502" s="119"/>
      <c r="DG502" s="119"/>
      <c r="DH502" s="119"/>
      <c r="DI502" s="119"/>
      <c r="DJ502" s="119"/>
      <c r="DK502" s="119"/>
      <c r="DL502" s="119"/>
      <c r="DM502" s="119"/>
      <c r="DN502" s="119"/>
      <c r="DO502" s="119"/>
      <c r="DP502" s="119"/>
      <c r="DQ502" s="119"/>
      <c r="DR502" s="119"/>
      <c r="DS502" s="119"/>
      <c r="DT502" s="119"/>
      <c r="DU502" s="119"/>
      <c r="DV502" s="119"/>
      <c r="DW502" s="119"/>
      <c r="DX502" s="119"/>
      <c r="DY502" s="119"/>
      <c r="DZ502" s="119"/>
      <c r="EA502" s="119"/>
      <c r="EB502" s="119"/>
      <c r="EC502" s="119"/>
      <c r="ED502" s="119"/>
      <c r="EE502" s="119"/>
      <c r="EF502" s="119"/>
      <c r="EG502" s="119"/>
      <c r="EH502" s="119"/>
      <c r="EI502" s="119"/>
      <c r="EJ502" s="119"/>
      <c r="EK502" s="119"/>
      <c r="EL502" s="119"/>
      <c r="EM502" s="119"/>
      <c r="EN502" s="119"/>
      <c r="EO502" s="119"/>
      <c r="EP502" s="119"/>
      <c r="EQ502" s="119"/>
      <c r="ER502" s="119"/>
      <c r="ES502" s="119"/>
      <c r="ET502" s="119"/>
      <c r="EU502" s="119"/>
      <c r="EV502" s="119"/>
      <c r="EW502" s="119"/>
      <c r="EX502" s="119"/>
      <c r="EY502" s="119"/>
      <c r="EZ502" s="119"/>
      <c r="FA502" s="119"/>
      <c r="FB502" s="119"/>
      <c r="FC502" s="119"/>
      <c r="FD502" s="119"/>
      <c r="FE502" s="119"/>
      <c r="FF502" s="119"/>
      <c r="FG502" s="119"/>
      <c r="FH502" s="119"/>
      <c r="FI502" s="119"/>
      <c r="FJ502" s="119"/>
      <c r="FK502" s="119"/>
      <c r="FL502" s="119"/>
      <c r="FM502" s="119"/>
      <c r="FN502" s="119"/>
      <c r="FO502" s="119"/>
      <c r="FP502" s="119"/>
      <c r="FQ502" s="119"/>
      <c r="FR502" s="119"/>
      <c r="FS502" s="119"/>
      <c r="FT502" s="119"/>
      <c r="FU502" s="119"/>
      <c r="FV502" s="119"/>
      <c r="FW502" s="119"/>
      <c r="FX502" s="119"/>
      <c r="FY502" s="119"/>
      <c r="FZ502" s="119"/>
      <c r="GA502" s="119"/>
      <c r="GB502" s="119"/>
      <c r="GC502" s="119"/>
      <c r="GD502" s="119"/>
      <c r="GE502" s="119"/>
      <c r="GF502" s="119"/>
      <c r="GG502" s="119"/>
      <c r="GH502" s="119"/>
      <c r="GI502" s="119"/>
      <c r="GJ502" s="119"/>
      <c r="GK502" s="119"/>
      <c r="GL502" s="119"/>
      <c r="GM502" s="119"/>
      <c r="GN502" s="119"/>
      <c r="GO502" s="119"/>
      <c r="GP502" s="119"/>
      <c r="GQ502" s="119"/>
      <c r="GR502" s="119"/>
      <c r="GS502" s="119"/>
      <c r="GT502" s="119"/>
      <c r="GU502" s="119"/>
      <c r="GV502" s="119"/>
      <c r="GW502" s="119"/>
      <c r="GX502" s="119"/>
      <c r="GY502" s="119"/>
      <c r="GZ502" s="119"/>
      <c r="HA502" s="119"/>
      <c r="HB502" s="119"/>
      <c r="HC502" s="119"/>
      <c r="HD502" s="119"/>
      <c r="HE502" s="119"/>
      <c r="HF502" s="119"/>
      <c r="HG502" s="119"/>
      <c r="HH502" s="119"/>
      <c r="HI502" s="119"/>
      <c r="HJ502" s="119"/>
      <c r="HK502" s="119"/>
      <c r="HL502" s="119"/>
      <c r="HM502" s="119"/>
      <c r="HN502" s="119"/>
      <c r="HO502" s="119"/>
      <c r="HP502" s="119"/>
      <c r="HQ502" s="119"/>
      <c r="HR502" s="119"/>
      <c r="HS502" s="119"/>
      <c r="HT502" s="119"/>
      <c r="HU502" s="119"/>
      <c r="HV502" s="119"/>
      <c r="HW502" s="119"/>
      <c r="HX502" s="119"/>
      <c r="HY502" s="119"/>
      <c r="HZ502" s="119"/>
      <c r="IA502" s="119"/>
      <c r="IB502" s="119"/>
      <c r="IC502" s="119"/>
      <c r="ID502" s="119"/>
      <c r="IE502" s="119"/>
      <c r="IF502" s="119"/>
      <c r="IG502" s="119"/>
      <c r="IH502" s="119"/>
      <c r="II502" s="119"/>
      <c r="IJ502" s="119"/>
      <c r="IK502" s="119"/>
      <c r="IL502" s="119"/>
      <c r="IM502" s="119"/>
      <c r="IN502" s="119"/>
      <c r="IO502" s="119"/>
      <c r="IP502" s="119"/>
      <c r="IQ502" s="119"/>
      <c r="IR502" s="119"/>
      <c r="IS502" s="119"/>
      <c r="IT502" s="119"/>
      <c r="IU502" s="119"/>
      <c r="IV502" s="119"/>
      <c r="IW502" s="119"/>
      <c r="IX502" s="119"/>
      <c r="IY502" s="119"/>
      <c r="IZ502" s="119"/>
      <c r="JA502" s="119"/>
      <c r="JB502" s="119"/>
      <c r="JC502" s="119"/>
      <c r="JD502" s="119"/>
      <c r="JE502" s="119"/>
      <c r="JF502" s="119"/>
      <c r="JG502" s="119"/>
      <c r="JH502" s="119"/>
      <c r="JI502" s="119"/>
      <c r="JJ502" s="119"/>
      <c r="JK502" s="119"/>
      <c r="JL502" s="119"/>
      <c r="JM502" s="119"/>
      <c r="JN502" s="119"/>
      <c r="JO502" s="119"/>
      <c r="JP502" s="119"/>
      <c r="JQ502" s="119"/>
      <c r="JR502" s="119"/>
      <c r="JS502" s="119"/>
      <c r="JT502" s="119"/>
      <c r="JU502" s="119"/>
      <c r="JV502" s="119"/>
      <c r="JW502" s="119"/>
      <c r="JX502" s="119"/>
      <c r="JY502" s="119"/>
      <c r="JZ502" s="119"/>
      <c r="KA502" s="119"/>
      <c r="KB502" s="119"/>
      <c r="KC502" s="119"/>
      <c r="KD502" s="119"/>
      <c r="KE502" s="119"/>
      <c r="KF502" s="119"/>
      <c r="KG502" s="119"/>
      <c r="KH502" s="119"/>
      <c r="KI502" s="119"/>
      <c r="KJ502" s="119"/>
      <c r="KK502" s="119"/>
      <c r="KL502" s="119"/>
      <c r="KM502" s="119"/>
      <c r="KN502" s="119"/>
      <c r="KO502" s="119"/>
      <c r="KP502" s="119"/>
      <c r="KQ502" s="119"/>
      <c r="KR502" s="119"/>
      <c r="KS502" s="119"/>
      <c r="KT502" s="119"/>
      <c r="KU502" s="119"/>
      <c r="KV502" s="119"/>
      <c r="KW502" s="119"/>
      <c r="KX502" s="119"/>
      <c r="KY502" s="119"/>
      <c r="KZ502" s="119"/>
      <c r="LA502" s="119"/>
      <c r="LB502" s="119"/>
      <c r="LC502" s="119"/>
      <c r="LD502" s="119"/>
      <c r="LE502" s="119"/>
      <c r="LF502" s="119"/>
      <c r="LG502" s="119"/>
      <c r="LH502" s="119"/>
      <c r="LI502" s="119"/>
      <c r="LJ502" s="119"/>
      <c r="LK502" s="119"/>
      <c r="LL502" s="119"/>
      <c r="LM502" s="119"/>
      <c r="LN502" s="119"/>
      <c r="LO502" s="119"/>
      <c r="LP502" s="119"/>
      <c r="LQ502" s="119"/>
      <c r="LR502" s="119"/>
      <c r="LS502" s="119"/>
      <c r="LT502" s="119"/>
      <c r="LU502" s="119"/>
      <c r="LV502" s="119"/>
      <c r="LW502" s="119"/>
      <c r="LX502" s="119"/>
      <c r="LY502" s="119"/>
      <c r="LZ502" s="119"/>
      <c r="MA502" s="119"/>
      <c r="MB502" s="119"/>
      <c r="MC502" s="119"/>
      <c r="MD502" s="119"/>
      <c r="ME502" s="119"/>
      <c r="MF502" s="119"/>
      <c r="MG502" s="119"/>
      <c r="MH502" s="119"/>
      <c r="MI502" s="119"/>
      <c r="MJ502" s="119"/>
      <c r="MK502" s="119"/>
      <c r="ML502" s="119"/>
      <c r="MM502" s="119"/>
      <c r="MN502" s="119"/>
      <c r="MO502" s="119"/>
      <c r="MP502" s="119"/>
      <c r="MQ502" s="119"/>
      <c r="MR502" s="119"/>
      <c r="MS502" s="119"/>
      <c r="MT502" s="119"/>
      <c r="MU502" s="119"/>
      <c r="MV502" s="119"/>
      <c r="MW502" s="119"/>
      <c r="MX502" s="119"/>
      <c r="MY502" s="119"/>
      <c r="MZ502" s="119"/>
    </row>
    <row r="503" spans="1:364" s="27" customFormat="1" x14ac:dyDescent="0.25">
      <c r="A503" s="121"/>
      <c r="B503" s="124" t="e">
        <f>VLOOKUP(A503,Rules!$B$8:$C$154,2,0)</f>
        <v>#N/A</v>
      </c>
      <c r="C503" s="125">
        <f t="shared" ref="C503" si="25">SUM(I504:XX504)</f>
        <v>0</v>
      </c>
      <c r="D503" s="127"/>
      <c r="E503" s="110" t="s">
        <v>492</v>
      </c>
      <c r="F503" s="130" t="e">
        <f>VLOOKUP(A503,Table2[],10,0)</f>
        <v>#N/A</v>
      </c>
      <c r="G503" s="130"/>
      <c r="H503" s="113" t="s">
        <v>440</v>
      </c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9"/>
      <c r="T503" s="119"/>
      <c r="U503" s="119"/>
      <c r="V503" s="119"/>
      <c r="W503" s="119"/>
      <c r="X503" s="119"/>
      <c r="Y503" s="119"/>
      <c r="Z503" s="119"/>
      <c r="AA503" s="119"/>
      <c r="AB503" s="119"/>
      <c r="AC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9"/>
      <c r="AT503" s="119"/>
      <c r="AU503" s="119"/>
      <c r="AV503" s="119"/>
      <c r="AW503" s="119"/>
      <c r="AX503" s="119"/>
      <c r="AY503" s="119"/>
      <c r="AZ503" s="119"/>
      <c r="BA503" s="119"/>
      <c r="BB503" s="119"/>
      <c r="BC503" s="119"/>
      <c r="BD503" s="119"/>
      <c r="BE503" s="119"/>
      <c r="BF503" s="119"/>
      <c r="BG503" s="119"/>
      <c r="BH503" s="119"/>
      <c r="BI503" s="119"/>
      <c r="BJ503" s="119"/>
      <c r="BK503" s="119"/>
      <c r="BL503" s="26"/>
      <c r="BM503" s="119"/>
      <c r="BN503" s="26"/>
      <c r="BO503" s="119"/>
      <c r="BP503" s="119"/>
      <c r="BQ503" s="119"/>
      <c r="BR503" s="119"/>
      <c r="BS503" s="119"/>
      <c r="BT503" s="119"/>
      <c r="BU503" s="119"/>
      <c r="BV503" s="119"/>
      <c r="BW503" s="119"/>
      <c r="BX503" s="119"/>
      <c r="BY503" s="119"/>
      <c r="BZ503" s="119"/>
      <c r="CA503" s="119"/>
      <c r="CB503" s="119"/>
      <c r="CC503" s="119"/>
      <c r="CD503" s="119"/>
      <c r="CE503" s="119"/>
      <c r="CF503" s="119"/>
      <c r="CG503" s="119"/>
      <c r="CH503" s="119"/>
      <c r="CI503" s="119"/>
      <c r="CJ503" s="119"/>
      <c r="CK503" s="119"/>
      <c r="CL503" s="119"/>
      <c r="CM503" s="119"/>
      <c r="CN503" s="119"/>
      <c r="CO503" s="119"/>
      <c r="CP503" s="119"/>
      <c r="CQ503" s="119"/>
      <c r="CR503" s="119"/>
      <c r="CS503" s="119"/>
      <c r="CT503" s="119"/>
      <c r="CU503" s="119"/>
      <c r="CV503" s="119"/>
      <c r="CW503" s="119"/>
      <c r="CX503" s="119"/>
      <c r="CY503" s="119"/>
      <c r="CZ503" s="119"/>
      <c r="DA503" s="119"/>
      <c r="DB503" s="119"/>
      <c r="DC503" s="119"/>
      <c r="DD503" s="119"/>
      <c r="DE503" s="119"/>
      <c r="DF503" s="119"/>
      <c r="DG503" s="119"/>
      <c r="DH503" s="119"/>
      <c r="DI503" s="119"/>
      <c r="DJ503" s="119"/>
      <c r="DK503" s="119"/>
      <c r="DL503" s="119"/>
      <c r="DM503" s="119"/>
      <c r="DN503" s="119"/>
      <c r="DO503" s="119"/>
      <c r="DP503" s="119"/>
      <c r="DQ503" s="119"/>
      <c r="DR503" s="119"/>
      <c r="DS503" s="119"/>
      <c r="DT503" s="119"/>
      <c r="DU503" s="119"/>
      <c r="DV503" s="119"/>
      <c r="DW503" s="119"/>
      <c r="DX503" s="119"/>
      <c r="DY503" s="119"/>
      <c r="DZ503" s="119"/>
      <c r="EA503" s="119"/>
      <c r="EB503" s="119"/>
      <c r="EC503" s="119"/>
      <c r="ED503" s="119"/>
      <c r="EE503" s="119"/>
      <c r="EF503" s="119"/>
      <c r="EG503" s="119"/>
      <c r="EH503" s="119"/>
      <c r="EI503" s="119"/>
      <c r="EJ503" s="119"/>
      <c r="EK503" s="119"/>
      <c r="EL503" s="119"/>
      <c r="EM503" s="119"/>
      <c r="EN503" s="119"/>
      <c r="EO503" s="119"/>
      <c r="EP503" s="119"/>
      <c r="EQ503" s="119"/>
      <c r="ER503" s="119"/>
      <c r="ES503" s="119"/>
      <c r="ET503" s="119"/>
      <c r="EU503" s="119"/>
      <c r="EV503" s="119"/>
      <c r="EW503" s="119"/>
      <c r="EX503" s="119"/>
      <c r="EY503" s="119"/>
      <c r="EZ503" s="119"/>
      <c r="FA503" s="119"/>
      <c r="FB503" s="119"/>
      <c r="FC503" s="119"/>
      <c r="FD503" s="119"/>
      <c r="FE503" s="119"/>
      <c r="FF503" s="119"/>
      <c r="FG503" s="119"/>
      <c r="FH503" s="119"/>
      <c r="FI503" s="119"/>
      <c r="FJ503" s="119"/>
      <c r="FK503" s="119"/>
      <c r="FL503" s="119"/>
      <c r="FM503" s="119"/>
      <c r="FN503" s="119"/>
      <c r="FO503" s="119"/>
      <c r="FP503" s="119"/>
      <c r="FQ503" s="119"/>
      <c r="FR503" s="119"/>
      <c r="FS503" s="119"/>
      <c r="FT503" s="119"/>
      <c r="FU503" s="119"/>
      <c r="FV503" s="119"/>
      <c r="FW503" s="119"/>
      <c r="FX503" s="119"/>
      <c r="FY503" s="119"/>
      <c r="FZ503" s="119"/>
      <c r="GA503" s="119"/>
      <c r="GB503" s="119"/>
      <c r="GC503" s="119"/>
      <c r="GD503" s="119"/>
      <c r="GE503" s="119"/>
      <c r="GF503" s="119"/>
      <c r="GG503" s="119"/>
      <c r="GH503" s="119"/>
      <c r="GI503" s="119"/>
      <c r="GJ503" s="119"/>
      <c r="GK503" s="119"/>
      <c r="GL503" s="119"/>
      <c r="GM503" s="119"/>
      <c r="GN503" s="119"/>
      <c r="GO503" s="119"/>
      <c r="GP503" s="119"/>
      <c r="GQ503" s="119"/>
      <c r="GR503" s="119"/>
      <c r="GS503" s="119"/>
      <c r="GT503" s="119"/>
      <c r="GU503" s="119"/>
      <c r="GV503" s="119"/>
      <c r="GW503" s="119"/>
      <c r="GX503" s="119"/>
      <c r="GY503" s="119"/>
      <c r="GZ503" s="119"/>
      <c r="HA503" s="119"/>
      <c r="HB503" s="119"/>
      <c r="HC503" s="119"/>
      <c r="HD503" s="119"/>
      <c r="HE503" s="119"/>
      <c r="HF503" s="119"/>
      <c r="HG503" s="119"/>
      <c r="HH503" s="119"/>
      <c r="HI503" s="119"/>
      <c r="HJ503" s="119"/>
      <c r="HK503" s="119"/>
      <c r="HL503" s="119"/>
      <c r="HM503" s="119"/>
      <c r="HN503" s="119"/>
      <c r="HO503" s="119"/>
      <c r="HP503" s="119"/>
      <c r="HQ503" s="119"/>
      <c r="HR503" s="119"/>
      <c r="HS503" s="119"/>
      <c r="HT503" s="119"/>
      <c r="HU503" s="119"/>
      <c r="HV503" s="119"/>
      <c r="HW503" s="119"/>
      <c r="HX503" s="119"/>
      <c r="HY503" s="119"/>
      <c r="HZ503" s="119"/>
      <c r="IA503" s="119"/>
      <c r="IB503" s="119"/>
      <c r="IC503" s="119"/>
      <c r="ID503" s="119"/>
      <c r="IE503" s="119"/>
      <c r="IF503" s="119"/>
      <c r="IG503" s="119"/>
      <c r="IH503" s="119"/>
      <c r="II503" s="119"/>
      <c r="IJ503" s="119"/>
      <c r="IK503" s="119"/>
      <c r="IL503" s="119"/>
      <c r="IM503" s="119"/>
      <c r="IN503" s="119"/>
      <c r="IO503" s="119"/>
      <c r="IP503" s="119"/>
      <c r="IQ503" s="119"/>
      <c r="IR503" s="119"/>
      <c r="IS503" s="119"/>
      <c r="IT503" s="119"/>
      <c r="IU503" s="119"/>
      <c r="IV503" s="119"/>
      <c r="IW503" s="119"/>
      <c r="IX503" s="119"/>
      <c r="IY503" s="119"/>
      <c r="IZ503" s="119"/>
      <c r="JA503" s="119"/>
      <c r="JB503" s="119"/>
      <c r="JC503" s="119"/>
      <c r="JD503" s="119"/>
      <c r="JE503" s="119"/>
      <c r="JF503" s="119"/>
      <c r="JG503" s="119"/>
      <c r="JH503" s="119"/>
      <c r="JI503" s="119"/>
      <c r="JJ503" s="119"/>
      <c r="JK503" s="119"/>
      <c r="JL503" s="119"/>
      <c r="JM503" s="119"/>
      <c r="JN503" s="119"/>
      <c r="JO503" s="119"/>
      <c r="JP503" s="119"/>
      <c r="JQ503" s="119"/>
      <c r="JR503" s="119"/>
      <c r="JS503" s="119"/>
      <c r="JT503" s="119"/>
      <c r="JU503" s="119"/>
      <c r="JV503" s="119"/>
      <c r="JW503" s="119"/>
      <c r="JX503" s="119"/>
      <c r="JY503" s="119"/>
      <c r="JZ503" s="119"/>
      <c r="KA503" s="119"/>
      <c r="KB503" s="119"/>
      <c r="KC503" s="119"/>
      <c r="KD503" s="119"/>
      <c r="KE503" s="119"/>
      <c r="KF503" s="119"/>
      <c r="KG503" s="119"/>
      <c r="KH503" s="119"/>
      <c r="KI503" s="119"/>
      <c r="KJ503" s="119"/>
      <c r="KK503" s="119"/>
      <c r="KL503" s="119"/>
      <c r="KM503" s="119"/>
      <c r="KN503" s="119"/>
      <c r="KO503" s="119"/>
      <c r="KP503" s="119"/>
      <c r="KQ503" s="119"/>
      <c r="KR503" s="119"/>
      <c r="KS503" s="119"/>
      <c r="KT503" s="119"/>
      <c r="KU503" s="119"/>
      <c r="KV503" s="119"/>
      <c r="KW503" s="119"/>
      <c r="KX503" s="119"/>
      <c r="KY503" s="119"/>
      <c r="KZ503" s="119"/>
      <c r="LA503" s="119"/>
      <c r="LB503" s="119"/>
      <c r="LC503" s="119"/>
      <c r="LD503" s="119"/>
      <c r="LE503" s="119"/>
      <c r="LF503" s="119"/>
      <c r="LG503" s="119"/>
      <c r="LH503" s="119"/>
      <c r="LI503" s="119"/>
      <c r="LJ503" s="119"/>
      <c r="LK503" s="119"/>
      <c r="LL503" s="119"/>
      <c r="LM503" s="119"/>
      <c r="LN503" s="119"/>
      <c r="LO503" s="119"/>
      <c r="LP503" s="119"/>
      <c r="LQ503" s="119"/>
      <c r="LR503" s="119"/>
      <c r="LS503" s="119"/>
      <c r="LT503" s="119"/>
      <c r="LU503" s="119"/>
      <c r="LV503" s="119"/>
      <c r="LW503" s="119"/>
      <c r="LX503" s="119"/>
      <c r="LY503" s="119"/>
      <c r="LZ503" s="119"/>
      <c r="MA503" s="119"/>
      <c r="MB503" s="119"/>
      <c r="MC503" s="119"/>
      <c r="MD503" s="119"/>
      <c r="ME503" s="119"/>
      <c r="MF503" s="119"/>
      <c r="MG503" s="119"/>
      <c r="MH503" s="119"/>
      <c r="MI503" s="119"/>
      <c r="MJ503" s="119"/>
      <c r="MK503" s="119"/>
      <c r="ML503" s="119"/>
      <c r="MM503" s="119"/>
      <c r="MN503" s="119"/>
      <c r="MO503" s="119"/>
      <c r="MP503" s="119"/>
      <c r="MQ503" s="119"/>
      <c r="MR503" s="119"/>
      <c r="MS503" s="119"/>
      <c r="MT503" s="119"/>
      <c r="MU503" s="119"/>
      <c r="MV503" s="119"/>
      <c r="MW503" s="119"/>
      <c r="MX503" s="119"/>
      <c r="MY503" s="119"/>
      <c r="MZ503" s="119"/>
    </row>
    <row r="504" spans="1:364" s="27" customFormat="1" x14ac:dyDescent="0.25">
      <c r="A504" s="122"/>
      <c r="B504" s="122"/>
      <c r="C504" s="126"/>
      <c r="D504" s="128"/>
      <c r="E504" s="109"/>
      <c r="F504" s="131"/>
      <c r="G504" s="131"/>
      <c r="H504" s="105" t="s">
        <v>439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9"/>
      <c r="T504" s="119"/>
      <c r="U504" s="119"/>
      <c r="V504" s="119"/>
      <c r="W504" s="119"/>
      <c r="X504" s="119"/>
      <c r="Y504" s="119"/>
      <c r="Z504" s="119"/>
      <c r="AA504" s="119"/>
      <c r="AB504" s="119"/>
      <c r="AC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9"/>
      <c r="AT504" s="119"/>
      <c r="AU504" s="119"/>
      <c r="AV504" s="119"/>
      <c r="AW504" s="119"/>
      <c r="AX504" s="119"/>
      <c r="AY504" s="119"/>
      <c r="AZ504" s="119"/>
      <c r="BA504" s="119"/>
      <c r="BB504" s="119"/>
      <c r="BC504" s="119"/>
      <c r="BD504" s="119"/>
      <c r="BE504" s="119"/>
      <c r="BF504" s="119"/>
      <c r="BG504" s="119"/>
      <c r="BH504" s="119"/>
      <c r="BI504" s="119"/>
      <c r="BJ504" s="119"/>
      <c r="BK504" s="119"/>
      <c r="BL504" s="26"/>
      <c r="BM504" s="119"/>
      <c r="BN504" s="26"/>
      <c r="BO504" s="119"/>
      <c r="BP504" s="119"/>
      <c r="BQ504" s="119"/>
      <c r="BR504" s="119"/>
      <c r="BS504" s="119"/>
      <c r="BT504" s="119"/>
      <c r="BU504" s="119"/>
      <c r="BV504" s="119"/>
      <c r="BW504" s="119"/>
      <c r="BX504" s="119"/>
      <c r="BY504" s="119"/>
      <c r="BZ504" s="119"/>
      <c r="CA504" s="119"/>
      <c r="CB504" s="119"/>
      <c r="CC504" s="119"/>
      <c r="CD504" s="119"/>
      <c r="CE504" s="119"/>
      <c r="CF504" s="119"/>
      <c r="CG504" s="119"/>
      <c r="CH504" s="119"/>
      <c r="CI504" s="119"/>
      <c r="CJ504" s="119"/>
      <c r="CK504" s="119"/>
      <c r="CL504" s="119"/>
      <c r="CM504" s="119"/>
      <c r="CN504" s="119"/>
      <c r="CO504" s="119"/>
      <c r="CP504" s="119"/>
      <c r="CQ504" s="119"/>
      <c r="CR504" s="119"/>
      <c r="CS504" s="119"/>
      <c r="CT504" s="119"/>
      <c r="CU504" s="119"/>
      <c r="CV504" s="119"/>
      <c r="CW504" s="119"/>
      <c r="CX504" s="119"/>
      <c r="CY504" s="119"/>
      <c r="CZ504" s="119"/>
      <c r="DA504" s="119"/>
      <c r="DB504" s="119"/>
      <c r="DC504" s="119"/>
      <c r="DD504" s="119"/>
      <c r="DE504" s="119"/>
      <c r="DF504" s="119"/>
      <c r="DG504" s="119"/>
      <c r="DH504" s="119"/>
      <c r="DI504" s="119"/>
      <c r="DJ504" s="119"/>
      <c r="DK504" s="119"/>
      <c r="DL504" s="119"/>
      <c r="DM504" s="119"/>
      <c r="DN504" s="119"/>
      <c r="DO504" s="119"/>
      <c r="DP504" s="119"/>
      <c r="DQ504" s="119"/>
      <c r="DR504" s="119"/>
      <c r="DS504" s="119"/>
      <c r="DT504" s="119"/>
      <c r="DU504" s="119"/>
      <c r="DV504" s="119"/>
      <c r="DW504" s="119"/>
      <c r="DX504" s="119"/>
      <c r="DY504" s="119"/>
      <c r="DZ504" s="119"/>
      <c r="EA504" s="119"/>
      <c r="EB504" s="119"/>
      <c r="EC504" s="119"/>
      <c r="ED504" s="119"/>
      <c r="EE504" s="119"/>
      <c r="EF504" s="119"/>
      <c r="EG504" s="119"/>
      <c r="EH504" s="119"/>
      <c r="EI504" s="119"/>
      <c r="EJ504" s="119"/>
      <c r="EK504" s="119"/>
      <c r="EL504" s="119"/>
      <c r="EM504" s="119"/>
      <c r="EN504" s="119"/>
      <c r="EO504" s="119"/>
      <c r="EP504" s="119"/>
      <c r="EQ504" s="119"/>
      <c r="ER504" s="119"/>
      <c r="ES504" s="119"/>
      <c r="ET504" s="119"/>
      <c r="EU504" s="119"/>
      <c r="EV504" s="119"/>
      <c r="EW504" s="119"/>
      <c r="EX504" s="119"/>
      <c r="EY504" s="119"/>
      <c r="EZ504" s="119"/>
      <c r="FA504" s="119"/>
      <c r="FB504" s="119"/>
      <c r="FC504" s="119"/>
      <c r="FD504" s="119"/>
      <c r="FE504" s="119"/>
      <c r="FF504" s="119"/>
      <c r="FG504" s="119"/>
      <c r="FH504" s="119"/>
      <c r="FI504" s="119"/>
      <c r="FJ504" s="119"/>
      <c r="FK504" s="119"/>
      <c r="FL504" s="119"/>
      <c r="FM504" s="119"/>
      <c r="FN504" s="119"/>
      <c r="FO504" s="119"/>
      <c r="FP504" s="119"/>
      <c r="FQ504" s="119"/>
      <c r="FR504" s="119"/>
      <c r="FS504" s="119"/>
      <c r="FT504" s="119"/>
      <c r="FU504" s="119"/>
      <c r="FV504" s="119"/>
      <c r="FW504" s="119"/>
      <c r="FX504" s="119"/>
      <c r="FY504" s="119"/>
      <c r="FZ504" s="119"/>
      <c r="GA504" s="119"/>
      <c r="GB504" s="119"/>
      <c r="GC504" s="119"/>
      <c r="GD504" s="119"/>
      <c r="GE504" s="119"/>
      <c r="GF504" s="119"/>
      <c r="GG504" s="119"/>
      <c r="GH504" s="119"/>
      <c r="GI504" s="119"/>
      <c r="GJ504" s="119"/>
      <c r="GK504" s="119"/>
      <c r="GL504" s="119"/>
      <c r="GM504" s="119"/>
      <c r="GN504" s="119"/>
      <c r="GO504" s="119"/>
      <c r="GP504" s="119"/>
      <c r="GQ504" s="119"/>
      <c r="GR504" s="119"/>
      <c r="GS504" s="119"/>
      <c r="GT504" s="119"/>
      <c r="GU504" s="119"/>
      <c r="GV504" s="119"/>
      <c r="GW504" s="119"/>
      <c r="GX504" s="119"/>
      <c r="GY504" s="119"/>
      <c r="GZ504" s="119"/>
      <c r="HA504" s="119"/>
      <c r="HB504" s="119"/>
      <c r="HC504" s="119"/>
      <c r="HD504" s="119"/>
      <c r="HE504" s="119"/>
      <c r="HF504" s="119"/>
      <c r="HG504" s="119"/>
      <c r="HH504" s="119"/>
      <c r="HI504" s="119"/>
      <c r="HJ504" s="119"/>
      <c r="HK504" s="119"/>
      <c r="HL504" s="119"/>
      <c r="HM504" s="119"/>
      <c r="HN504" s="119"/>
      <c r="HO504" s="119"/>
      <c r="HP504" s="119"/>
      <c r="HQ504" s="119"/>
      <c r="HR504" s="119"/>
      <c r="HS504" s="119"/>
      <c r="HT504" s="119"/>
      <c r="HU504" s="119"/>
      <c r="HV504" s="119"/>
      <c r="HW504" s="119"/>
      <c r="HX504" s="119"/>
      <c r="HY504" s="119"/>
      <c r="HZ504" s="119"/>
      <c r="IA504" s="119"/>
      <c r="IB504" s="119"/>
      <c r="IC504" s="119"/>
      <c r="ID504" s="119"/>
      <c r="IE504" s="119"/>
      <c r="IF504" s="119"/>
      <c r="IG504" s="119"/>
      <c r="IH504" s="119"/>
      <c r="II504" s="119"/>
      <c r="IJ504" s="119"/>
      <c r="IK504" s="119"/>
      <c r="IL504" s="119"/>
      <c r="IM504" s="119"/>
      <c r="IN504" s="119"/>
      <c r="IO504" s="119"/>
      <c r="IP504" s="119"/>
      <c r="IQ504" s="119"/>
      <c r="IR504" s="119"/>
      <c r="IS504" s="119"/>
      <c r="IT504" s="119"/>
      <c r="IU504" s="119"/>
      <c r="IV504" s="119"/>
      <c r="IW504" s="119"/>
      <c r="IX504" s="119"/>
      <c r="IY504" s="119"/>
      <c r="IZ504" s="119"/>
      <c r="JA504" s="119"/>
      <c r="JB504" s="119"/>
      <c r="JC504" s="119"/>
      <c r="JD504" s="119"/>
      <c r="JE504" s="119"/>
      <c r="JF504" s="119"/>
      <c r="JG504" s="119"/>
      <c r="JH504" s="119"/>
      <c r="JI504" s="119"/>
      <c r="JJ504" s="119"/>
      <c r="JK504" s="119"/>
      <c r="JL504" s="119"/>
      <c r="JM504" s="119"/>
      <c r="JN504" s="119"/>
      <c r="JO504" s="119"/>
      <c r="JP504" s="119"/>
      <c r="JQ504" s="119"/>
      <c r="JR504" s="119"/>
      <c r="JS504" s="119"/>
      <c r="JT504" s="119"/>
      <c r="JU504" s="119"/>
      <c r="JV504" s="119"/>
      <c r="JW504" s="119"/>
      <c r="JX504" s="119"/>
      <c r="JY504" s="119"/>
      <c r="JZ504" s="119"/>
      <c r="KA504" s="119"/>
      <c r="KB504" s="119"/>
      <c r="KC504" s="119"/>
      <c r="KD504" s="119"/>
      <c r="KE504" s="119"/>
      <c r="KF504" s="119"/>
      <c r="KG504" s="119"/>
      <c r="KH504" s="119"/>
      <c r="KI504" s="119"/>
      <c r="KJ504" s="119"/>
      <c r="KK504" s="119"/>
      <c r="KL504" s="119"/>
      <c r="KM504" s="119"/>
      <c r="KN504" s="119"/>
      <c r="KO504" s="119"/>
      <c r="KP504" s="119"/>
      <c r="KQ504" s="119"/>
      <c r="KR504" s="119"/>
      <c r="KS504" s="119"/>
      <c r="KT504" s="119"/>
      <c r="KU504" s="119"/>
      <c r="KV504" s="119"/>
      <c r="KW504" s="119"/>
      <c r="KX504" s="119"/>
      <c r="KY504" s="119"/>
      <c r="KZ504" s="119"/>
      <c r="LA504" s="119"/>
      <c r="LB504" s="119"/>
      <c r="LC504" s="119"/>
      <c r="LD504" s="119"/>
      <c r="LE504" s="119"/>
      <c r="LF504" s="119"/>
      <c r="LG504" s="119"/>
      <c r="LH504" s="119"/>
      <c r="LI504" s="119"/>
      <c r="LJ504" s="119"/>
      <c r="LK504" s="119"/>
      <c r="LL504" s="119"/>
      <c r="LM504" s="119"/>
      <c r="LN504" s="119"/>
      <c r="LO504" s="119"/>
      <c r="LP504" s="119"/>
      <c r="LQ504" s="119"/>
      <c r="LR504" s="119"/>
      <c r="LS504" s="119"/>
      <c r="LT504" s="119"/>
      <c r="LU504" s="119"/>
      <c r="LV504" s="119"/>
      <c r="LW504" s="119"/>
      <c r="LX504" s="119"/>
      <c r="LY504" s="119"/>
      <c r="LZ504" s="119"/>
      <c r="MA504" s="119"/>
      <c r="MB504" s="119"/>
      <c r="MC504" s="119"/>
      <c r="MD504" s="119"/>
      <c r="ME504" s="119"/>
      <c r="MF504" s="119"/>
      <c r="MG504" s="119"/>
      <c r="MH504" s="119"/>
      <c r="MI504" s="119"/>
      <c r="MJ504" s="119"/>
      <c r="MK504" s="119"/>
      <c r="ML504" s="119"/>
      <c r="MM504" s="119"/>
      <c r="MN504" s="119"/>
      <c r="MO504" s="119"/>
      <c r="MP504" s="119"/>
      <c r="MQ504" s="119"/>
      <c r="MR504" s="119"/>
      <c r="MS504" s="119"/>
      <c r="MT504" s="119"/>
      <c r="MU504" s="119"/>
      <c r="MV504" s="119"/>
      <c r="MW504" s="119"/>
      <c r="MX504" s="119"/>
      <c r="MY504" s="119"/>
      <c r="MZ504" s="119"/>
    </row>
    <row r="505" spans="1:364" s="27" customFormat="1" x14ac:dyDescent="0.25">
      <c r="A505" s="122"/>
      <c r="B505" s="122"/>
      <c r="C505" s="126"/>
      <c r="D505" s="128"/>
      <c r="E505" s="109" t="s">
        <v>493</v>
      </c>
      <c r="F505" s="131"/>
      <c r="G505" s="131"/>
      <c r="H505" s="106" t="s">
        <v>438</v>
      </c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19"/>
      <c r="T505" s="119"/>
      <c r="U505" s="119"/>
      <c r="V505" s="119"/>
      <c r="W505" s="119"/>
      <c r="X505" s="119"/>
      <c r="Y505" s="119"/>
      <c r="Z505" s="119"/>
      <c r="AA505" s="119"/>
      <c r="AB505" s="119"/>
      <c r="AC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9"/>
      <c r="AT505" s="119"/>
      <c r="AU505" s="119"/>
      <c r="AV505" s="119"/>
      <c r="AW505" s="119"/>
      <c r="AX505" s="119"/>
      <c r="AY505" s="119"/>
      <c r="AZ505" s="119"/>
      <c r="BA505" s="119"/>
      <c r="BB505" s="119"/>
      <c r="BC505" s="119"/>
      <c r="BD505" s="119"/>
      <c r="BE505" s="119"/>
      <c r="BF505" s="119"/>
      <c r="BG505" s="119"/>
      <c r="BH505" s="119"/>
      <c r="BI505" s="119"/>
      <c r="BJ505" s="119"/>
      <c r="BK505" s="119"/>
      <c r="BL505" s="26"/>
      <c r="BM505" s="119"/>
      <c r="BN505" s="119"/>
      <c r="BO505" s="119"/>
      <c r="BP505" s="119"/>
      <c r="BQ505" s="119"/>
      <c r="BR505" s="119"/>
      <c r="BS505" s="119"/>
      <c r="BT505" s="119"/>
      <c r="BU505" s="119"/>
      <c r="BV505" s="119"/>
      <c r="BW505" s="119"/>
      <c r="BX505" s="119"/>
      <c r="BY505" s="119"/>
      <c r="BZ505" s="119"/>
      <c r="CA505" s="119"/>
      <c r="CB505" s="119"/>
      <c r="CC505" s="119"/>
      <c r="CD505" s="119"/>
      <c r="CE505" s="119"/>
      <c r="CF505" s="119"/>
      <c r="CG505" s="119"/>
      <c r="CH505" s="119"/>
      <c r="CI505" s="119"/>
      <c r="CJ505" s="119"/>
      <c r="CK505" s="119"/>
      <c r="CL505" s="119"/>
      <c r="CM505" s="119"/>
      <c r="CN505" s="119"/>
      <c r="CO505" s="119"/>
      <c r="CP505" s="119"/>
      <c r="CQ505" s="119"/>
      <c r="CR505" s="119"/>
      <c r="CS505" s="119"/>
      <c r="CT505" s="119"/>
      <c r="CU505" s="119"/>
      <c r="CV505" s="119"/>
      <c r="CW505" s="119"/>
      <c r="CX505" s="119"/>
      <c r="CY505" s="119"/>
      <c r="CZ505" s="119"/>
      <c r="DA505" s="119"/>
      <c r="DB505" s="119"/>
      <c r="DC505" s="119"/>
      <c r="DD505" s="119"/>
      <c r="DE505" s="119"/>
      <c r="DF505" s="119"/>
      <c r="DG505" s="119"/>
      <c r="DH505" s="119"/>
      <c r="DI505" s="119"/>
      <c r="DJ505" s="119"/>
      <c r="DK505" s="119"/>
      <c r="DL505" s="119"/>
      <c r="DM505" s="119"/>
      <c r="DN505" s="119"/>
      <c r="DO505" s="119"/>
      <c r="DP505" s="119"/>
      <c r="DQ505" s="119"/>
      <c r="DR505" s="119"/>
      <c r="DS505" s="119"/>
      <c r="DT505" s="119"/>
      <c r="DU505" s="119"/>
      <c r="DV505" s="119"/>
      <c r="DW505" s="119"/>
      <c r="DX505" s="119"/>
      <c r="DY505" s="119"/>
      <c r="DZ505" s="119"/>
      <c r="EA505" s="119"/>
      <c r="EB505" s="119"/>
      <c r="EC505" s="119"/>
      <c r="ED505" s="119"/>
      <c r="EE505" s="119"/>
      <c r="EF505" s="119"/>
      <c r="EG505" s="119"/>
      <c r="EH505" s="119"/>
      <c r="EI505" s="119"/>
      <c r="EJ505" s="119"/>
      <c r="EK505" s="119"/>
      <c r="EL505" s="119"/>
      <c r="EM505" s="119"/>
      <c r="EN505" s="119"/>
      <c r="EO505" s="119"/>
      <c r="EP505" s="119"/>
      <c r="EQ505" s="119"/>
      <c r="ER505" s="119"/>
      <c r="ES505" s="119"/>
      <c r="ET505" s="119"/>
      <c r="EU505" s="119"/>
      <c r="EV505" s="119"/>
      <c r="EW505" s="119"/>
      <c r="EX505" s="119"/>
      <c r="EY505" s="119"/>
      <c r="EZ505" s="119"/>
      <c r="FA505" s="119"/>
      <c r="FB505" s="119"/>
      <c r="FC505" s="119"/>
      <c r="FD505" s="119"/>
      <c r="FE505" s="119"/>
      <c r="FF505" s="119"/>
      <c r="FG505" s="119"/>
      <c r="FH505" s="119"/>
      <c r="FI505" s="119"/>
      <c r="FJ505" s="119"/>
      <c r="FK505" s="119"/>
      <c r="FL505" s="119"/>
      <c r="FM505" s="119"/>
      <c r="FN505" s="119"/>
      <c r="FO505" s="119"/>
      <c r="FP505" s="119"/>
      <c r="FQ505" s="119"/>
      <c r="FR505" s="119"/>
      <c r="FS505" s="119"/>
      <c r="FT505" s="119"/>
      <c r="FU505" s="119"/>
      <c r="FV505" s="119"/>
      <c r="FW505" s="119"/>
      <c r="FX505" s="119"/>
      <c r="FY505" s="119"/>
      <c r="FZ505" s="119"/>
      <c r="GA505" s="119"/>
      <c r="GB505" s="119"/>
      <c r="GC505" s="119"/>
      <c r="GD505" s="119"/>
      <c r="GE505" s="119"/>
      <c r="GF505" s="119"/>
      <c r="GG505" s="119"/>
      <c r="GH505" s="119"/>
      <c r="GI505" s="119"/>
      <c r="GJ505" s="119"/>
      <c r="GK505" s="119"/>
      <c r="GL505" s="119"/>
      <c r="GM505" s="119"/>
      <c r="GN505" s="119"/>
      <c r="GO505" s="119"/>
      <c r="GP505" s="119"/>
      <c r="GQ505" s="119"/>
      <c r="GR505" s="119"/>
      <c r="GS505" s="119"/>
      <c r="GT505" s="119"/>
      <c r="GU505" s="119"/>
      <c r="GV505" s="119"/>
      <c r="GW505" s="119"/>
      <c r="GX505" s="119"/>
      <c r="GY505" s="119"/>
      <c r="GZ505" s="119"/>
      <c r="HA505" s="119"/>
      <c r="HB505" s="119"/>
      <c r="HC505" s="119"/>
      <c r="HD505" s="119"/>
      <c r="HE505" s="119"/>
      <c r="HF505" s="119"/>
      <c r="HG505" s="119"/>
      <c r="HH505" s="119"/>
      <c r="HI505" s="119"/>
      <c r="HJ505" s="119"/>
      <c r="HK505" s="119"/>
      <c r="HL505" s="119"/>
      <c r="HM505" s="119"/>
      <c r="HN505" s="119"/>
      <c r="HO505" s="119"/>
      <c r="HP505" s="119"/>
      <c r="HQ505" s="119"/>
      <c r="HR505" s="119"/>
      <c r="HS505" s="119"/>
      <c r="HT505" s="119"/>
      <c r="HU505" s="119"/>
      <c r="HV505" s="119"/>
      <c r="HW505" s="119"/>
      <c r="HX505" s="119"/>
      <c r="HY505" s="119"/>
      <c r="HZ505" s="119"/>
      <c r="IA505" s="119"/>
      <c r="IB505" s="119"/>
      <c r="IC505" s="119"/>
      <c r="ID505" s="119"/>
      <c r="IE505" s="119"/>
      <c r="IF505" s="119"/>
      <c r="IG505" s="119"/>
      <c r="IH505" s="119"/>
      <c r="II505" s="119"/>
      <c r="IJ505" s="119"/>
      <c r="IK505" s="119"/>
      <c r="IL505" s="119"/>
      <c r="IM505" s="119"/>
      <c r="IN505" s="119"/>
      <c r="IO505" s="119"/>
      <c r="IP505" s="119"/>
      <c r="IQ505" s="119"/>
      <c r="IR505" s="119"/>
      <c r="IS505" s="119"/>
      <c r="IT505" s="119"/>
      <c r="IU505" s="119"/>
      <c r="IV505" s="119"/>
      <c r="IW505" s="119"/>
      <c r="IX505" s="119"/>
      <c r="IY505" s="119"/>
      <c r="IZ505" s="119"/>
      <c r="JA505" s="119"/>
      <c r="JB505" s="119"/>
      <c r="JC505" s="119"/>
      <c r="JD505" s="119"/>
      <c r="JE505" s="119"/>
      <c r="JF505" s="119"/>
      <c r="JG505" s="119"/>
      <c r="JH505" s="119"/>
      <c r="JI505" s="119"/>
      <c r="JJ505" s="119"/>
      <c r="JK505" s="119"/>
      <c r="JL505" s="119"/>
      <c r="JM505" s="119"/>
      <c r="JN505" s="119"/>
      <c r="JO505" s="119"/>
      <c r="JP505" s="119"/>
      <c r="JQ505" s="119"/>
      <c r="JR505" s="119"/>
      <c r="JS505" s="119"/>
      <c r="JT505" s="119"/>
      <c r="JU505" s="119"/>
      <c r="JV505" s="119"/>
      <c r="JW505" s="119"/>
      <c r="JX505" s="119"/>
      <c r="JY505" s="119"/>
      <c r="JZ505" s="119"/>
      <c r="KA505" s="119"/>
      <c r="KB505" s="119"/>
      <c r="KC505" s="119"/>
      <c r="KD505" s="119"/>
      <c r="KE505" s="119"/>
      <c r="KF505" s="119"/>
      <c r="KG505" s="119"/>
      <c r="KH505" s="119"/>
      <c r="KI505" s="119"/>
      <c r="KJ505" s="119"/>
      <c r="KK505" s="119"/>
      <c r="KL505" s="119"/>
      <c r="KM505" s="119"/>
      <c r="KN505" s="119"/>
      <c r="KO505" s="119"/>
      <c r="KP505" s="119"/>
      <c r="KQ505" s="119"/>
      <c r="KR505" s="119"/>
      <c r="KS505" s="119"/>
      <c r="KT505" s="119"/>
      <c r="KU505" s="119"/>
      <c r="KV505" s="119"/>
      <c r="KW505" s="119"/>
      <c r="KX505" s="119"/>
      <c r="KY505" s="119"/>
      <c r="KZ505" s="119"/>
      <c r="LA505" s="119"/>
      <c r="LB505" s="119"/>
      <c r="LC505" s="119"/>
      <c r="LD505" s="119"/>
      <c r="LE505" s="119"/>
      <c r="LF505" s="119"/>
      <c r="LG505" s="119"/>
      <c r="LH505" s="119"/>
      <c r="LI505" s="119"/>
      <c r="LJ505" s="119"/>
      <c r="LK505" s="119"/>
      <c r="LL505" s="119"/>
      <c r="LM505" s="119"/>
      <c r="LN505" s="119"/>
      <c r="LO505" s="119"/>
      <c r="LP505" s="119"/>
      <c r="LQ505" s="119"/>
      <c r="LR505" s="119"/>
      <c r="LS505" s="119"/>
      <c r="LT505" s="119"/>
      <c r="LU505" s="119"/>
      <c r="LV505" s="119"/>
      <c r="LW505" s="119"/>
      <c r="LX505" s="119"/>
      <c r="LY505" s="119"/>
      <c r="LZ505" s="119"/>
      <c r="MA505" s="119"/>
      <c r="MB505" s="119"/>
      <c r="MC505" s="119"/>
      <c r="MD505" s="119"/>
      <c r="ME505" s="119"/>
      <c r="MF505" s="119"/>
      <c r="MG505" s="119"/>
      <c r="MH505" s="119"/>
      <c r="MI505" s="119"/>
      <c r="MJ505" s="119"/>
      <c r="MK505" s="119"/>
      <c r="ML505" s="119"/>
      <c r="MM505" s="119"/>
      <c r="MN505" s="119"/>
      <c r="MO505" s="119"/>
      <c r="MP505" s="119"/>
      <c r="MQ505" s="119"/>
      <c r="MR505" s="119"/>
      <c r="MS505" s="119"/>
      <c r="MT505" s="119"/>
      <c r="MU505" s="119"/>
      <c r="MV505" s="119"/>
      <c r="MW505" s="119"/>
      <c r="MX505" s="119"/>
      <c r="MY505" s="119"/>
      <c r="MZ505" s="119"/>
    </row>
    <row r="506" spans="1:364" s="27" customFormat="1" x14ac:dyDescent="0.25">
      <c r="A506" s="123"/>
      <c r="B506" s="123"/>
      <c r="C506" s="126"/>
      <c r="D506" s="129"/>
      <c r="E506" s="109"/>
      <c r="F506" s="131"/>
      <c r="G506" s="132"/>
      <c r="H506" s="114" t="s">
        <v>149</v>
      </c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19"/>
      <c r="T506" s="119"/>
      <c r="U506" s="119"/>
      <c r="V506" s="119"/>
      <c r="W506" s="119"/>
      <c r="X506" s="119"/>
      <c r="Y506" s="119"/>
      <c r="Z506" s="119"/>
      <c r="AA506" s="119"/>
      <c r="AB506" s="119"/>
      <c r="AC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9"/>
      <c r="AT506" s="119"/>
      <c r="AU506" s="119"/>
      <c r="AV506" s="119"/>
      <c r="AW506" s="119"/>
      <c r="AX506" s="119"/>
      <c r="AY506" s="119"/>
      <c r="AZ506" s="119"/>
      <c r="BA506" s="119"/>
      <c r="BB506" s="119"/>
      <c r="BC506" s="119"/>
      <c r="BD506" s="119"/>
      <c r="BE506" s="119"/>
      <c r="BF506" s="119"/>
      <c r="BG506" s="119"/>
      <c r="BH506" s="119"/>
      <c r="BI506" s="119"/>
      <c r="BJ506" s="119"/>
      <c r="BK506" s="119"/>
      <c r="BL506" s="26"/>
      <c r="BM506" s="119"/>
      <c r="BN506" s="119"/>
      <c r="BO506" s="119"/>
      <c r="BP506" s="119"/>
      <c r="BQ506" s="119"/>
      <c r="BR506" s="119"/>
      <c r="BS506" s="119"/>
      <c r="BT506" s="119"/>
      <c r="BU506" s="119"/>
      <c r="BV506" s="119"/>
      <c r="BW506" s="119"/>
      <c r="BX506" s="119"/>
      <c r="BY506" s="119"/>
      <c r="BZ506" s="119"/>
      <c r="CA506" s="119"/>
      <c r="CB506" s="119"/>
      <c r="CC506" s="119"/>
      <c r="CD506" s="119"/>
      <c r="CE506" s="119"/>
      <c r="CF506" s="119"/>
      <c r="CG506" s="119"/>
      <c r="CH506" s="119"/>
      <c r="CI506" s="119"/>
      <c r="CJ506" s="119"/>
      <c r="CK506" s="119"/>
      <c r="CL506" s="119"/>
      <c r="CM506" s="119"/>
      <c r="CN506" s="119"/>
      <c r="CO506" s="119"/>
      <c r="CP506" s="119"/>
      <c r="CQ506" s="119"/>
      <c r="CR506" s="119"/>
      <c r="CS506" s="119"/>
      <c r="CT506" s="119"/>
      <c r="CU506" s="119"/>
      <c r="CV506" s="119"/>
      <c r="CW506" s="119"/>
      <c r="CX506" s="119"/>
      <c r="CY506" s="119"/>
      <c r="CZ506" s="119"/>
      <c r="DA506" s="119"/>
      <c r="DB506" s="119"/>
      <c r="DC506" s="119"/>
      <c r="DD506" s="119"/>
      <c r="DE506" s="119"/>
      <c r="DF506" s="119"/>
      <c r="DG506" s="119"/>
      <c r="DH506" s="119"/>
      <c r="DI506" s="119"/>
      <c r="DJ506" s="119"/>
      <c r="DK506" s="119"/>
      <c r="DL506" s="119"/>
      <c r="DM506" s="119"/>
      <c r="DN506" s="119"/>
      <c r="DO506" s="119"/>
      <c r="DP506" s="119"/>
      <c r="DQ506" s="119"/>
      <c r="DR506" s="119"/>
      <c r="DS506" s="119"/>
      <c r="DT506" s="119"/>
      <c r="DU506" s="119"/>
      <c r="DV506" s="119"/>
      <c r="DW506" s="119"/>
      <c r="DX506" s="119"/>
      <c r="DY506" s="119"/>
      <c r="DZ506" s="119"/>
      <c r="EA506" s="119"/>
      <c r="EB506" s="119"/>
      <c r="EC506" s="119"/>
      <c r="ED506" s="119"/>
      <c r="EE506" s="119"/>
      <c r="EF506" s="119"/>
      <c r="EG506" s="119"/>
      <c r="EH506" s="119"/>
      <c r="EI506" s="119"/>
      <c r="EJ506" s="119"/>
      <c r="EK506" s="119"/>
      <c r="EL506" s="119"/>
      <c r="EM506" s="119"/>
      <c r="EN506" s="119"/>
      <c r="EO506" s="119"/>
      <c r="EP506" s="119"/>
      <c r="EQ506" s="119"/>
      <c r="ER506" s="119"/>
      <c r="ES506" s="119"/>
      <c r="ET506" s="119"/>
      <c r="EU506" s="119"/>
      <c r="EV506" s="119"/>
      <c r="EW506" s="119"/>
      <c r="EX506" s="119"/>
      <c r="EY506" s="119"/>
      <c r="EZ506" s="119"/>
      <c r="FA506" s="119"/>
      <c r="FB506" s="119"/>
      <c r="FC506" s="119"/>
      <c r="FD506" s="119"/>
      <c r="FE506" s="119"/>
      <c r="FF506" s="119"/>
      <c r="FG506" s="119"/>
      <c r="FH506" s="119"/>
      <c r="FI506" s="119"/>
      <c r="FJ506" s="119"/>
      <c r="FK506" s="119"/>
      <c r="FL506" s="119"/>
      <c r="FM506" s="119"/>
      <c r="FN506" s="119"/>
      <c r="FO506" s="119"/>
      <c r="FP506" s="119"/>
      <c r="FQ506" s="119"/>
      <c r="FR506" s="119"/>
      <c r="FS506" s="119"/>
      <c r="FT506" s="119"/>
      <c r="FU506" s="119"/>
      <c r="FV506" s="119"/>
      <c r="FW506" s="119"/>
      <c r="FX506" s="119"/>
      <c r="FY506" s="119"/>
      <c r="FZ506" s="119"/>
      <c r="GA506" s="119"/>
      <c r="GB506" s="119"/>
      <c r="GC506" s="119"/>
      <c r="GD506" s="119"/>
      <c r="GE506" s="119"/>
      <c r="GF506" s="119"/>
      <c r="GG506" s="119"/>
      <c r="GH506" s="119"/>
      <c r="GI506" s="119"/>
      <c r="GJ506" s="119"/>
      <c r="GK506" s="119"/>
      <c r="GL506" s="119"/>
      <c r="GM506" s="119"/>
      <c r="GN506" s="119"/>
      <c r="GO506" s="119"/>
      <c r="GP506" s="119"/>
      <c r="GQ506" s="119"/>
      <c r="GR506" s="119"/>
      <c r="GS506" s="119"/>
      <c r="GT506" s="119"/>
      <c r="GU506" s="119"/>
      <c r="GV506" s="119"/>
      <c r="GW506" s="119"/>
      <c r="GX506" s="119"/>
      <c r="GY506" s="119"/>
      <c r="GZ506" s="119"/>
      <c r="HA506" s="119"/>
      <c r="HB506" s="119"/>
      <c r="HC506" s="119"/>
      <c r="HD506" s="119"/>
      <c r="HE506" s="119"/>
      <c r="HF506" s="119"/>
      <c r="HG506" s="119"/>
      <c r="HH506" s="119"/>
      <c r="HI506" s="119"/>
      <c r="HJ506" s="119"/>
      <c r="HK506" s="119"/>
      <c r="HL506" s="119"/>
      <c r="HM506" s="119"/>
      <c r="HN506" s="119"/>
      <c r="HO506" s="119"/>
      <c r="HP506" s="119"/>
      <c r="HQ506" s="119"/>
      <c r="HR506" s="119"/>
      <c r="HS506" s="119"/>
      <c r="HT506" s="119"/>
      <c r="HU506" s="119"/>
      <c r="HV506" s="119"/>
      <c r="HW506" s="119"/>
      <c r="HX506" s="119"/>
      <c r="HY506" s="119"/>
      <c r="HZ506" s="119"/>
      <c r="IA506" s="119"/>
      <c r="IB506" s="119"/>
      <c r="IC506" s="119"/>
      <c r="ID506" s="119"/>
      <c r="IE506" s="119"/>
      <c r="IF506" s="119"/>
      <c r="IG506" s="119"/>
      <c r="IH506" s="119"/>
      <c r="II506" s="119"/>
      <c r="IJ506" s="119"/>
      <c r="IK506" s="119"/>
      <c r="IL506" s="119"/>
      <c r="IM506" s="119"/>
      <c r="IN506" s="119"/>
      <c r="IO506" s="119"/>
      <c r="IP506" s="119"/>
      <c r="IQ506" s="119"/>
      <c r="IR506" s="119"/>
      <c r="IS506" s="119"/>
      <c r="IT506" s="119"/>
      <c r="IU506" s="119"/>
      <c r="IV506" s="119"/>
      <c r="IW506" s="119"/>
      <c r="IX506" s="119"/>
      <c r="IY506" s="119"/>
      <c r="IZ506" s="119"/>
      <c r="JA506" s="119"/>
      <c r="JB506" s="119"/>
      <c r="JC506" s="119"/>
      <c r="JD506" s="119"/>
      <c r="JE506" s="119"/>
      <c r="JF506" s="119"/>
      <c r="JG506" s="119"/>
      <c r="JH506" s="119"/>
      <c r="JI506" s="119"/>
      <c r="JJ506" s="119"/>
      <c r="JK506" s="119"/>
      <c r="JL506" s="119"/>
      <c r="JM506" s="119"/>
      <c r="JN506" s="119"/>
      <c r="JO506" s="119"/>
      <c r="JP506" s="119"/>
      <c r="JQ506" s="119"/>
      <c r="JR506" s="119"/>
      <c r="JS506" s="119"/>
      <c r="JT506" s="119"/>
      <c r="JU506" s="119"/>
      <c r="JV506" s="119"/>
      <c r="JW506" s="119"/>
      <c r="JX506" s="119"/>
      <c r="JY506" s="119"/>
      <c r="JZ506" s="119"/>
      <c r="KA506" s="119"/>
      <c r="KB506" s="119"/>
      <c r="KC506" s="119"/>
      <c r="KD506" s="119"/>
      <c r="KE506" s="119"/>
      <c r="KF506" s="119"/>
      <c r="KG506" s="119"/>
      <c r="KH506" s="119"/>
      <c r="KI506" s="119"/>
      <c r="KJ506" s="119"/>
      <c r="KK506" s="119"/>
      <c r="KL506" s="119"/>
      <c r="KM506" s="119"/>
      <c r="KN506" s="119"/>
      <c r="KO506" s="119"/>
      <c r="KP506" s="119"/>
      <c r="KQ506" s="119"/>
      <c r="KR506" s="119"/>
      <c r="KS506" s="119"/>
      <c r="KT506" s="119"/>
      <c r="KU506" s="119"/>
      <c r="KV506" s="119"/>
      <c r="KW506" s="119"/>
      <c r="KX506" s="119"/>
      <c r="KY506" s="119"/>
      <c r="KZ506" s="119"/>
      <c r="LA506" s="119"/>
      <c r="LB506" s="119"/>
      <c r="LC506" s="119"/>
      <c r="LD506" s="119"/>
      <c r="LE506" s="119"/>
      <c r="LF506" s="119"/>
      <c r="LG506" s="119"/>
      <c r="LH506" s="119"/>
      <c r="LI506" s="119"/>
      <c r="LJ506" s="119"/>
      <c r="LK506" s="119"/>
      <c r="LL506" s="119"/>
      <c r="LM506" s="119"/>
      <c r="LN506" s="119"/>
      <c r="LO506" s="119"/>
      <c r="LP506" s="119"/>
      <c r="LQ506" s="119"/>
      <c r="LR506" s="119"/>
      <c r="LS506" s="119"/>
      <c r="LT506" s="119"/>
      <c r="LU506" s="119"/>
      <c r="LV506" s="119"/>
      <c r="LW506" s="119"/>
      <c r="LX506" s="119"/>
      <c r="LY506" s="119"/>
      <c r="LZ506" s="119"/>
      <c r="MA506" s="119"/>
      <c r="MB506" s="119"/>
      <c r="MC506" s="119"/>
      <c r="MD506" s="119"/>
      <c r="ME506" s="119"/>
      <c r="MF506" s="119"/>
      <c r="MG506" s="119"/>
      <c r="MH506" s="119"/>
      <c r="MI506" s="119"/>
      <c r="MJ506" s="119"/>
      <c r="MK506" s="119"/>
      <c r="ML506" s="119"/>
      <c r="MM506" s="119"/>
      <c r="MN506" s="119"/>
      <c r="MO506" s="119"/>
      <c r="MP506" s="119"/>
      <c r="MQ506" s="119"/>
      <c r="MR506" s="119"/>
      <c r="MS506" s="119"/>
      <c r="MT506" s="119"/>
      <c r="MU506" s="119"/>
      <c r="MV506" s="119"/>
      <c r="MW506" s="119"/>
      <c r="MX506" s="119"/>
      <c r="MY506" s="119"/>
      <c r="MZ506" s="119"/>
    </row>
    <row r="507" spans="1:364" s="27" customFormat="1" x14ac:dyDescent="0.25">
      <c r="A507" s="121"/>
      <c r="B507" s="124" t="e">
        <f>VLOOKUP(A507,Rules!$B$8:$C$154,2,0)</f>
        <v>#N/A</v>
      </c>
      <c r="C507" s="125">
        <f t="shared" ref="C507" si="26">SUM(I508:XX508)</f>
        <v>0</v>
      </c>
      <c r="D507" s="127"/>
      <c r="E507" s="110" t="s">
        <v>492</v>
      </c>
      <c r="F507" s="130" t="e">
        <f>VLOOKUP(A507,Table2[],10,0)</f>
        <v>#N/A</v>
      </c>
      <c r="G507" s="130"/>
      <c r="H507" s="113" t="s">
        <v>440</v>
      </c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9"/>
      <c r="T507" s="119"/>
      <c r="U507" s="119"/>
      <c r="V507" s="119"/>
      <c r="W507" s="119"/>
      <c r="X507" s="119"/>
      <c r="Y507" s="119"/>
      <c r="Z507" s="119"/>
      <c r="AA507" s="119"/>
      <c r="AB507" s="119"/>
      <c r="AC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9"/>
      <c r="AT507" s="119"/>
      <c r="AU507" s="119"/>
      <c r="AV507" s="119"/>
      <c r="AW507" s="119"/>
      <c r="AX507" s="119"/>
      <c r="AY507" s="119"/>
      <c r="AZ507" s="119"/>
      <c r="BA507" s="119"/>
      <c r="BB507" s="119"/>
      <c r="BC507" s="119"/>
      <c r="BD507" s="119"/>
      <c r="BE507" s="119"/>
      <c r="BF507" s="119"/>
      <c r="BG507" s="119"/>
      <c r="BH507" s="119"/>
      <c r="BI507" s="119"/>
      <c r="BJ507" s="119"/>
      <c r="BK507" s="119"/>
      <c r="BL507" s="26"/>
      <c r="BM507" s="119"/>
      <c r="BN507" s="26"/>
      <c r="BO507" s="119"/>
      <c r="BP507" s="119"/>
      <c r="BQ507" s="119"/>
      <c r="BR507" s="119"/>
      <c r="BS507" s="119"/>
      <c r="BT507" s="119"/>
      <c r="BU507" s="119"/>
      <c r="BV507" s="119"/>
      <c r="BW507" s="119"/>
      <c r="BX507" s="119"/>
      <c r="BY507" s="119"/>
      <c r="BZ507" s="119"/>
      <c r="CA507" s="119"/>
      <c r="CB507" s="119"/>
      <c r="CC507" s="119"/>
      <c r="CD507" s="119"/>
      <c r="CE507" s="119"/>
      <c r="CF507" s="119"/>
      <c r="CG507" s="119"/>
      <c r="CH507" s="119"/>
      <c r="CI507" s="119"/>
      <c r="CJ507" s="119"/>
      <c r="CK507" s="119"/>
      <c r="CL507" s="119"/>
      <c r="CM507" s="119"/>
      <c r="CN507" s="119"/>
      <c r="CO507" s="119"/>
      <c r="CP507" s="119"/>
      <c r="CQ507" s="119"/>
      <c r="CR507" s="119"/>
      <c r="CS507" s="119"/>
      <c r="CT507" s="119"/>
      <c r="CU507" s="119"/>
      <c r="CV507" s="119"/>
      <c r="CW507" s="119"/>
      <c r="CX507" s="119"/>
      <c r="CY507" s="119"/>
      <c r="CZ507" s="119"/>
      <c r="DA507" s="119"/>
      <c r="DB507" s="119"/>
      <c r="DC507" s="119"/>
      <c r="DD507" s="119"/>
      <c r="DE507" s="119"/>
      <c r="DF507" s="119"/>
      <c r="DG507" s="119"/>
      <c r="DH507" s="119"/>
      <c r="DI507" s="119"/>
      <c r="DJ507" s="119"/>
      <c r="DK507" s="119"/>
      <c r="DL507" s="119"/>
      <c r="DM507" s="119"/>
      <c r="DN507" s="119"/>
      <c r="DO507" s="119"/>
      <c r="DP507" s="119"/>
      <c r="DQ507" s="119"/>
      <c r="DR507" s="119"/>
      <c r="DS507" s="119"/>
      <c r="DT507" s="119"/>
      <c r="DU507" s="119"/>
      <c r="DV507" s="119"/>
      <c r="DW507" s="119"/>
      <c r="DX507" s="119"/>
      <c r="DY507" s="119"/>
      <c r="DZ507" s="119"/>
      <c r="EA507" s="119"/>
      <c r="EB507" s="119"/>
      <c r="EC507" s="119"/>
      <c r="ED507" s="119"/>
      <c r="EE507" s="119"/>
      <c r="EF507" s="119"/>
      <c r="EG507" s="119"/>
      <c r="EH507" s="119"/>
      <c r="EI507" s="119"/>
      <c r="EJ507" s="119"/>
      <c r="EK507" s="119"/>
      <c r="EL507" s="119"/>
      <c r="EM507" s="119"/>
      <c r="EN507" s="119"/>
      <c r="EO507" s="119"/>
      <c r="EP507" s="119"/>
      <c r="EQ507" s="119"/>
      <c r="ER507" s="119"/>
      <c r="ES507" s="119"/>
      <c r="ET507" s="119"/>
      <c r="EU507" s="119"/>
      <c r="EV507" s="119"/>
      <c r="EW507" s="119"/>
      <c r="EX507" s="119"/>
      <c r="EY507" s="119"/>
      <c r="EZ507" s="119"/>
      <c r="FA507" s="119"/>
      <c r="FB507" s="119"/>
      <c r="FC507" s="119"/>
      <c r="FD507" s="119"/>
      <c r="FE507" s="119"/>
      <c r="FF507" s="119"/>
      <c r="FG507" s="119"/>
      <c r="FH507" s="119"/>
      <c r="FI507" s="119"/>
      <c r="FJ507" s="119"/>
      <c r="FK507" s="119"/>
      <c r="FL507" s="119"/>
      <c r="FM507" s="119"/>
      <c r="FN507" s="119"/>
      <c r="FO507" s="119"/>
      <c r="FP507" s="119"/>
      <c r="FQ507" s="119"/>
      <c r="FR507" s="119"/>
      <c r="FS507" s="119"/>
      <c r="FT507" s="119"/>
      <c r="FU507" s="119"/>
      <c r="FV507" s="119"/>
      <c r="FW507" s="119"/>
      <c r="FX507" s="119"/>
      <c r="FY507" s="119"/>
      <c r="FZ507" s="119"/>
      <c r="GA507" s="119"/>
      <c r="GB507" s="119"/>
      <c r="GC507" s="119"/>
      <c r="GD507" s="119"/>
      <c r="GE507" s="119"/>
      <c r="GF507" s="119"/>
      <c r="GG507" s="119"/>
      <c r="GH507" s="119"/>
      <c r="GI507" s="119"/>
      <c r="GJ507" s="119"/>
      <c r="GK507" s="119"/>
      <c r="GL507" s="119"/>
      <c r="GM507" s="119"/>
      <c r="GN507" s="119"/>
      <c r="GO507" s="119"/>
      <c r="GP507" s="119"/>
      <c r="GQ507" s="119"/>
      <c r="GR507" s="119"/>
      <c r="GS507" s="119"/>
      <c r="GT507" s="119"/>
      <c r="GU507" s="119"/>
      <c r="GV507" s="119"/>
      <c r="GW507" s="119"/>
      <c r="GX507" s="119"/>
      <c r="GY507" s="119"/>
      <c r="GZ507" s="119"/>
      <c r="HA507" s="119"/>
      <c r="HB507" s="119"/>
      <c r="HC507" s="119"/>
      <c r="HD507" s="119"/>
      <c r="HE507" s="119"/>
      <c r="HF507" s="119"/>
      <c r="HG507" s="119"/>
      <c r="HH507" s="119"/>
      <c r="HI507" s="119"/>
      <c r="HJ507" s="119"/>
      <c r="HK507" s="119"/>
      <c r="HL507" s="119"/>
      <c r="HM507" s="119"/>
      <c r="HN507" s="119"/>
      <c r="HO507" s="119"/>
      <c r="HP507" s="119"/>
      <c r="HQ507" s="119"/>
      <c r="HR507" s="119"/>
      <c r="HS507" s="119"/>
      <c r="HT507" s="119"/>
      <c r="HU507" s="119"/>
      <c r="HV507" s="119"/>
      <c r="HW507" s="119"/>
      <c r="HX507" s="119"/>
      <c r="HY507" s="119"/>
      <c r="HZ507" s="119"/>
      <c r="IA507" s="119"/>
      <c r="IB507" s="119"/>
      <c r="IC507" s="119"/>
      <c r="ID507" s="119"/>
      <c r="IE507" s="119"/>
      <c r="IF507" s="119"/>
      <c r="IG507" s="119"/>
      <c r="IH507" s="119"/>
      <c r="II507" s="119"/>
      <c r="IJ507" s="119"/>
      <c r="IK507" s="119"/>
      <c r="IL507" s="119"/>
      <c r="IM507" s="119"/>
      <c r="IN507" s="119"/>
      <c r="IO507" s="119"/>
      <c r="IP507" s="119"/>
      <c r="IQ507" s="119"/>
      <c r="IR507" s="119"/>
      <c r="IS507" s="119"/>
      <c r="IT507" s="119"/>
      <c r="IU507" s="119"/>
      <c r="IV507" s="119"/>
      <c r="IW507" s="119"/>
      <c r="IX507" s="119"/>
      <c r="IY507" s="119"/>
      <c r="IZ507" s="119"/>
      <c r="JA507" s="119"/>
      <c r="JB507" s="119"/>
      <c r="JC507" s="119"/>
      <c r="JD507" s="119"/>
      <c r="JE507" s="119"/>
      <c r="JF507" s="119"/>
      <c r="JG507" s="119"/>
      <c r="JH507" s="119"/>
      <c r="JI507" s="119"/>
      <c r="JJ507" s="119"/>
      <c r="JK507" s="119"/>
      <c r="JL507" s="119"/>
      <c r="JM507" s="119"/>
      <c r="JN507" s="119"/>
      <c r="JO507" s="119"/>
      <c r="JP507" s="119"/>
      <c r="JQ507" s="119"/>
      <c r="JR507" s="119"/>
      <c r="JS507" s="119"/>
      <c r="JT507" s="119"/>
      <c r="JU507" s="119"/>
      <c r="JV507" s="119"/>
      <c r="JW507" s="119"/>
      <c r="JX507" s="119"/>
      <c r="JY507" s="119"/>
      <c r="JZ507" s="119"/>
      <c r="KA507" s="119"/>
      <c r="KB507" s="119"/>
      <c r="KC507" s="119"/>
      <c r="KD507" s="119"/>
      <c r="KE507" s="119"/>
      <c r="KF507" s="119"/>
      <c r="KG507" s="119"/>
      <c r="KH507" s="119"/>
      <c r="KI507" s="119"/>
      <c r="KJ507" s="119"/>
      <c r="KK507" s="119"/>
      <c r="KL507" s="119"/>
      <c r="KM507" s="119"/>
      <c r="KN507" s="119"/>
      <c r="KO507" s="119"/>
      <c r="KP507" s="119"/>
      <c r="KQ507" s="119"/>
      <c r="KR507" s="119"/>
      <c r="KS507" s="119"/>
      <c r="KT507" s="119"/>
      <c r="KU507" s="119"/>
      <c r="KV507" s="119"/>
      <c r="KW507" s="119"/>
      <c r="KX507" s="119"/>
      <c r="KY507" s="119"/>
      <c r="KZ507" s="119"/>
      <c r="LA507" s="119"/>
      <c r="LB507" s="119"/>
      <c r="LC507" s="119"/>
      <c r="LD507" s="119"/>
      <c r="LE507" s="119"/>
      <c r="LF507" s="119"/>
      <c r="LG507" s="119"/>
      <c r="LH507" s="119"/>
      <c r="LI507" s="119"/>
      <c r="LJ507" s="119"/>
      <c r="LK507" s="119"/>
      <c r="LL507" s="119"/>
      <c r="LM507" s="119"/>
      <c r="LN507" s="119"/>
      <c r="LO507" s="119"/>
      <c r="LP507" s="119"/>
      <c r="LQ507" s="119"/>
      <c r="LR507" s="119"/>
      <c r="LS507" s="119"/>
      <c r="LT507" s="119"/>
      <c r="LU507" s="119"/>
      <c r="LV507" s="119"/>
      <c r="LW507" s="119"/>
      <c r="LX507" s="119"/>
      <c r="LY507" s="119"/>
      <c r="LZ507" s="119"/>
      <c r="MA507" s="119"/>
      <c r="MB507" s="119"/>
      <c r="MC507" s="119"/>
      <c r="MD507" s="119"/>
      <c r="ME507" s="119"/>
      <c r="MF507" s="119"/>
      <c r="MG507" s="119"/>
      <c r="MH507" s="119"/>
      <c r="MI507" s="119"/>
      <c r="MJ507" s="119"/>
      <c r="MK507" s="119"/>
      <c r="ML507" s="119"/>
      <c r="MM507" s="119"/>
      <c r="MN507" s="119"/>
      <c r="MO507" s="119"/>
      <c r="MP507" s="119"/>
      <c r="MQ507" s="119"/>
      <c r="MR507" s="119"/>
      <c r="MS507" s="119"/>
      <c r="MT507" s="119"/>
      <c r="MU507" s="119"/>
      <c r="MV507" s="119"/>
      <c r="MW507" s="119"/>
      <c r="MX507" s="119"/>
      <c r="MY507" s="119"/>
      <c r="MZ507" s="119"/>
    </row>
    <row r="508" spans="1:364" s="27" customFormat="1" x14ac:dyDescent="0.25">
      <c r="A508" s="122"/>
      <c r="B508" s="122"/>
      <c r="C508" s="126"/>
      <c r="D508" s="128"/>
      <c r="E508" s="109"/>
      <c r="F508" s="131"/>
      <c r="G508" s="131"/>
      <c r="H508" s="105" t="s">
        <v>439</v>
      </c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9"/>
      <c r="T508" s="119"/>
      <c r="U508" s="119"/>
      <c r="V508" s="119"/>
      <c r="W508" s="119"/>
      <c r="X508" s="119"/>
      <c r="Y508" s="119"/>
      <c r="Z508" s="119"/>
      <c r="AA508" s="119"/>
      <c r="AB508" s="119"/>
      <c r="AC508" s="119"/>
      <c r="AD508" s="119"/>
      <c r="AE508" s="119"/>
      <c r="AF508" s="119"/>
      <c r="AG508" s="119"/>
      <c r="AH508" s="119"/>
      <c r="AI508" s="119"/>
      <c r="AJ508" s="119"/>
      <c r="AK508" s="119"/>
      <c r="AL508" s="119"/>
      <c r="AM508" s="119"/>
      <c r="AN508" s="119"/>
      <c r="AO508" s="119"/>
      <c r="AP508" s="119"/>
      <c r="AQ508" s="119"/>
      <c r="AR508" s="119"/>
      <c r="AS508" s="119"/>
      <c r="AT508" s="119"/>
      <c r="AU508" s="119"/>
      <c r="AV508" s="119"/>
      <c r="AW508" s="119"/>
      <c r="AX508" s="119"/>
      <c r="AY508" s="119"/>
      <c r="AZ508" s="119"/>
      <c r="BA508" s="119"/>
      <c r="BB508" s="119"/>
      <c r="BC508" s="119"/>
      <c r="BD508" s="119"/>
      <c r="BE508" s="119"/>
      <c r="BF508" s="119"/>
      <c r="BG508" s="119"/>
      <c r="BH508" s="119"/>
      <c r="BI508" s="119"/>
      <c r="BJ508" s="119"/>
      <c r="BK508" s="119"/>
      <c r="BL508" s="26"/>
      <c r="BM508" s="119"/>
      <c r="BN508" s="26"/>
      <c r="BO508" s="119"/>
      <c r="BP508" s="119"/>
      <c r="BQ508" s="119"/>
      <c r="BR508" s="119"/>
      <c r="BS508" s="119"/>
      <c r="BT508" s="119"/>
      <c r="BU508" s="119"/>
      <c r="BV508" s="119"/>
      <c r="BW508" s="119"/>
      <c r="BX508" s="119"/>
      <c r="BY508" s="119"/>
      <c r="BZ508" s="119"/>
      <c r="CA508" s="119"/>
      <c r="CB508" s="119"/>
      <c r="CC508" s="119"/>
      <c r="CD508" s="119"/>
      <c r="CE508" s="119"/>
      <c r="CF508" s="119"/>
      <c r="CG508" s="119"/>
      <c r="CH508" s="119"/>
      <c r="CI508" s="119"/>
      <c r="CJ508" s="119"/>
      <c r="CK508" s="119"/>
      <c r="CL508" s="119"/>
      <c r="CM508" s="119"/>
      <c r="CN508" s="119"/>
      <c r="CO508" s="119"/>
      <c r="CP508" s="119"/>
      <c r="CQ508" s="119"/>
      <c r="CR508" s="119"/>
      <c r="CS508" s="119"/>
      <c r="CT508" s="119"/>
      <c r="CU508" s="119"/>
      <c r="CV508" s="119"/>
      <c r="CW508" s="119"/>
      <c r="CX508" s="119"/>
      <c r="CY508" s="119"/>
      <c r="CZ508" s="119"/>
      <c r="DA508" s="119"/>
      <c r="DB508" s="119"/>
      <c r="DC508" s="119"/>
      <c r="DD508" s="119"/>
      <c r="DE508" s="119"/>
      <c r="DF508" s="119"/>
      <c r="DG508" s="119"/>
      <c r="DH508" s="119"/>
      <c r="DI508" s="119"/>
      <c r="DJ508" s="119"/>
      <c r="DK508" s="119"/>
      <c r="DL508" s="119"/>
      <c r="DM508" s="119"/>
      <c r="DN508" s="119"/>
      <c r="DO508" s="119"/>
      <c r="DP508" s="119"/>
      <c r="DQ508" s="119"/>
      <c r="DR508" s="119"/>
      <c r="DS508" s="119"/>
      <c r="DT508" s="119"/>
      <c r="DU508" s="119"/>
      <c r="DV508" s="119"/>
      <c r="DW508" s="119"/>
      <c r="DX508" s="119"/>
      <c r="DY508" s="119"/>
      <c r="DZ508" s="119"/>
      <c r="EA508" s="119"/>
      <c r="EB508" s="119"/>
      <c r="EC508" s="119"/>
      <c r="ED508" s="119"/>
      <c r="EE508" s="119"/>
      <c r="EF508" s="119"/>
      <c r="EG508" s="119"/>
      <c r="EH508" s="119"/>
      <c r="EI508" s="119"/>
      <c r="EJ508" s="119"/>
      <c r="EK508" s="119"/>
      <c r="EL508" s="119"/>
      <c r="EM508" s="119"/>
      <c r="EN508" s="119"/>
      <c r="EO508" s="119"/>
      <c r="EP508" s="119"/>
      <c r="EQ508" s="119"/>
      <c r="ER508" s="119"/>
      <c r="ES508" s="119"/>
      <c r="ET508" s="119"/>
      <c r="EU508" s="119"/>
      <c r="EV508" s="119"/>
      <c r="EW508" s="119"/>
      <c r="EX508" s="119"/>
      <c r="EY508" s="119"/>
      <c r="EZ508" s="119"/>
      <c r="FA508" s="119"/>
      <c r="FB508" s="119"/>
      <c r="FC508" s="119"/>
      <c r="FD508" s="119"/>
      <c r="FE508" s="119"/>
      <c r="FF508" s="119"/>
      <c r="FG508" s="119"/>
      <c r="FH508" s="119"/>
      <c r="FI508" s="119"/>
      <c r="FJ508" s="119"/>
      <c r="FK508" s="119"/>
      <c r="FL508" s="119"/>
      <c r="FM508" s="119"/>
      <c r="FN508" s="119"/>
      <c r="FO508" s="119"/>
      <c r="FP508" s="119"/>
      <c r="FQ508" s="119"/>
      <c r="FR508" s="119"/>
      <c r="FS508" s="119"/>
      <c r="FT508" s="119"/>
      <c r="FU508" s="119"/>
      <c r="FV508" s="119"/>
      <c r="FW508" s="119"/>
      <c r="FX508" s="119"/>
      <c r="FY508" s="119"/>
      <c r="FZ508" s="119"/>
      <c r="GA508" s="119"/>
      <c r="GB508" s="119"/>
      <c r="GC508" s="119"/>
      <c r="GD508" s="119"/>
      <c r="GE508" s="119"/>
      <c r="GF508" s="119"/>
      <c r="GG508" s="119"/>
      <c r="GH508" s="119"/>
      <c r="GI508" s="119"/>
      <c r="GJ508" s="119"/>
      <c r="GK508" s="119"/>
      <c r="GL508" s="119"/>
      <c r="GM508" s="119"/>
      <c r="GN508" s="119"/>
      <c r="GO508" s="119"/>
      <c r="GP508" s="119"/>
      <c r="GQ508" s="119"/>
      <c r="GR508" s="119"/>
      <c r="GS508" s="119"/>
      <c r="GT508" s="119"/>
      <c r="GU508" s="119"/>
      <c r="GV508" s="119"/>
      <c r="GW508" s="119"/>
      <c r="GX508" s="119"/>
      <c r="GY508" s="119"/>
      <c r="GZ508" s="119"/>
      <c r="HA508" s="119"/>
      <c r="HB508" s="119"/>
      <c r="HC508" s="119"/>
      <c r="HD508" s="119"/>
      <c r="HE508" s="119"/>
      <c r="HF508" s="119"/>
      <c r="HG508" s="119"/>
      <c r="HH508" s="119"/>
      <c r="HI508" s="119"/>
      <c r="HJ508" s="119"/>
      <c r="HK508" s="119"/>
      <c r="HL508" s="119"/>
      <c r="HM508" s="119"/>
      <c r="HN508" s="119"/>
      <c r="HO508" s="119"/>
      <c r="HP508" s="119"/>
      <c r="HQ508" s="119"/>
      <c r="HR508" s="119"/>
      <c r="HS508" s="119"/>
      <c r="HT508" s="119"/>
      <c r="HU508" s="119"/>
      <c r="HV508" s="119"/>
      <c r="HW508" s="119"/>
      <c r="HX508" s="119"/>
      <c r="HY508" s="119"/>
      <c r="HZ508" s="119"/>
      <c r="IA508" s="119"/>
      <c r="IB508" s="119"/>
      <c r="IC508" s="119"/>
      <c r="ID508" s="119"/>
      <c r="IE508" s="119"/>
      <c r="IF508" s="119"/>
      <c r="IG508" s="119"/>
      <c r="IH508" s="119"/>
      <c r="II508" s="119"/>
      <c r="IJ508" s="119"/>
      <c r="IK508" s="119"/>
      <c r="IL508" s="119"/>
      <c r="IM508" s="119"/>
      <c r="IN508" s="119"/>
      <c r="IO508" s="119"/>
      <c r="IP508" s="119"/>
      <c r="IQ508" s="119"/>
      <c r="IR508" s="119"/>
      <c r="IS508" s="119"/>
      <c r="IT508" s="119"/>
      <c r="IU508" s="119"/>
      <c r="IV508" s="119"/>
      <c r="IW508" s="119"/>
      <c r="IX508" s="119"/>
      <c r="IY508" s="119"/>
      <c r="IZ508" s="119"/>
      <c r="JA508" s="119"/>
      <c r="JB508" s="119"/>
      <c r="JC508" s="119"/>
      <c r="JD508" s="119"/>
      <c r="JE508" s="119"/>
      <c r="JF508" s="119"/>
      <c r="JG508" s="119"/>
      <c r="JH508" s="119"/>
      <c r="JI508" s="119"/>
      <c r="JJ508" s="119"/>
      <c r="JK508" s="119"/>
      <c r="JL508" s="119"/>
      <c r="JM508" s="119"/>
      <c r="JN508" s="119"/>
      <c r="JO508" s="119"/>
      <c r="JP508" s="119"/>
      <c r="JQ508" s="119"/>
      <c r="JR508" s="119"/>
      <c r="JS508" s="119"/>
      <c r="JT508" s="119"/>
      <c r="JU508" s="119"/>
      <c r="JV508" s="119"/>
      <c r="JW508" s="119"/>
      <c r="JX508" s="119"/>
      <c r="JY508" s="119"/>
      <c r="JZ508" s="119"/>
      <c r="KA508" s="119"/>
      <c r="KB508" s="119"/>
      <c r="KC508" s="119"/>
      <c r="KD508" s="119"/>
      <c r="KE508" s="119"/>
      <c r="KF508" s="119"/>
      <c r="KG508" s="119"/>
      <c r="KH508" s="119"/>
      <c r="KI508" s="119"/>
      <c r="KJ508" s="119"/>
      <c r="KK508" s="119"/>
      <c r="KL508" s="119"/>
      <c r="KM508" s="119"/>
      <c r="KN508" s="119"/>
      <c r="KO508" s="119"/>
      <c r="KP508" s="119"/>
      <c r="KQ508" s="119"/>
      <c r="KR508" s="119"/>
      <c r="KS508" s="119"/>
      <c r="KT508" s="119"/>
      <c r="KU508" s="119"/>
      <c r="KV508" s="119"/>
      <c r="KW508" s="119"/>
      <c r="KX508" s="119"/>
      <c r="KY508" s="119"/>
      <c r="KZ508" s="119"/>
      <c r="LA508" s="119"/>
      <c r="LB508" s="119"/>
      <c r="LC508" s="119"/>
      <c r="LD508" s="119"/>
      <c r="LE508" s="119"/>
      <c r="LF508" s="119"/>
      <c r="LG508" s="119"/>
      <c r="LH508" s="119"/>
      <c r="LI508" s="119"/>
      <c r="LJ508" s="119"/>
      <c r="LK508" s="119"/>
      <c r="LL508" s="119"/>
      <c r="LM508" s="119"/>
      <c r="LN508" s="119"/>
      <c r="LO508" s="119"/>
      <c r="LP508" s="119"/>
      <c r="LQ508" s="119"/>
      <c r="LR508" s="119"/>
      <c r="LS508" s="119"/>
      <c r="LT508" s="119"/>
      <c r="LU508" s="119"/>
      <c r="LV508" s="119"/>
      <c r="LW508" s="119"/>
      <c r="LX508" s="119"/>
      <c r="LY508" s="119"/>
      <c r="LZ508" s="119"/>
      <c r="MA508" s="119"/>
      <c r="MB508" s="119"/>
      <c r="MC508" s="119"/>
      <c r="MD508" s="119"/>
      <c r="ME508" s="119"/>
      <c r="MF508" s="119"/>
      <c r="MG508" s="119"/>
      <c r="MH508" s="119"/>
      <c r="MI508" s="119"/>
      <c r="MJ508" s="119"/>
      <c r="MK508" s="119"/>
      <c r="ML508" s="119"/>
      <c r="MM508" s="119"/>
      <c r="MN508" s="119"/>
      <c r="MO508" s="119"/>
      <c r="MP508" s="119"/>
      <c r="MQ508" s="119"/>
      <c r="MR508" s="119"/>
      <c r="MS508" s="119"/>
      <c r="MT508" s="119"/>
      <c r="MU508" s="119"/>
      <c r="MV508" s="119"/>
      <c r="MW508" s="119"/>
      <c r="MX508" s="119"/>
      <c r="MY508" s="119"/>
      <c r="MZ508" s="119"/>
    </row>
    <row r="509" spans="1:364" s="27" customFormat="1" x14ac:dyDescent="0.25">
      <c r="A509" s="122"/>
      <c r="B509" s="122"/>
      <c r="C509" s="126"/>
      <c r="D509" s="128"/>
      <c r="E509" s="109" t="s">
        <v>493</v>
      </c>
      <c r="F509" s="131"/>
      <c r="G509" s="131"/>
      <c r="H509" s="106" t="s">
        <v>438</v>
      </c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26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/>
      <c r="DC509" s="119"/>
      <c r="DD509" s="119"/>
      <c r="DE509" s="119"/>
      <c r="DF509" s="119"/>
      <c r="DG509" s="119"/>
      <c r="DH509" s="119"/>
      <c r="DI509" s="119"/>
      <c r="DJ509" s="119"/>
      <c r="DK509" s="119"/>
      <c r="DL509" s="119"/>
      <c r="DM509" s="119"/>
      <c r="DN509" s="119"/>
      <c r="DO509" s="119"/>
      <c r="DP509" s="119"/>
      <c r="DQ509" s="119"/>
      <c r="DR509" s="119"/>
      <c r="DS509" s="119"/>
      <c r="DT509" s="119"/>
      <c r="DU509" s="119"/>
      <c r="DV509" s="119"/>
      <c r="DW509" s="119"/>
      <c r="DX509" s="119"/>
      <c r="DY509" s="119"/>
      <c r="DZ509" s="119"/>
      <c r="EA509" s="119"/>
      <c r="EB509" s="119"/>
      <c r="EC509" s="119"/>
      <c r="ED509" s="119"/>
      <c r="EE509" s="119"/>
      <c r="EF509" s="119"/>
      <c r="EG509" s="119"/>
      <c r="EH509" s="119"/>
      <c r="EI509" s="119"/>
      <c r="EJ509" s="119"/>
      <c r="EK509" s="119"/>
      <c r="EL509" s="119"/>
      <c r="EM509" s="119"/>
      <c r="EN509" s="119"/>
      <c r="EO509" s="119"/>
      <c r="EP509" s="119"/>
      <c r="EQ509" s="119"/>
      <c r="ER509" s="119"/>
      <c r="ES509" s="119"/>
      <c r="ET509" s="119"/>
      <c r="EU509" s="119"/>
      <c r="EV509" s="119"/>
      <c r="EW509" s="119"/>
      <c r="EX509" s="119"/>
      <c r="EY509" s="119"/>
      <c r="EZ509" s="119"/>
      <c r="FA509" s="119"/>
      <c r="FB509" s="119"/>
      <c r="FC509" s="119"/>
      <c r="FD509" s="119"/>
      <c r="FE509" s="119"/>
      <c r="FF509" s="119"/>
      <c r="FG509" s="119"/>
      <c r="FH509" s="119"/>
      <c r="FI509" s="119"/>
      <c r="FJ509" s="119"/>
      <c r="FK509" s="119"/>
      <c r="FL509" s="119"/>
      <c r="FM509" s="119"/>
      <c r="FN509" s="119"/>
      <c r="FO509" s="119"/>
      <c r="FP509" s="119"/>
      <c r="FQ509" s="119"/>
      <c r="FR509" s="119"/>
      <c r="FS509" s="119"/>
      <c r="FT509" s="119"/>
      <c r="FU509" s="119"/>
      <c r="FV509" s="119"/>
      <c r="FW509" s="119"/>
      <c r="FX509" s="119"/>
      <c r="FY509" s="119"/>
      <c r="FZ509" s="119"/>
      <c r="GA509" s="119"/>
      <c r="GB509" s="119"/>
      <c r="GC509" s="119"/>
      <c r="GD509" s="119"/>
      <c r="GE509" s="119"/>
      <c r="GF509" s="119"/>
      <c r="GG509" s="119"/>
      <c r="GH509" s="119"/>
      <c r="GI509" s="119"/>
      <c r="GJ509" s="119"/>
      <c r="GK509" s="119"/>
      <c r="GL509" s="119"/>
      <c r="GM509" s="119"/>
      <c r="GN509" s="119"/>
      <c r="GO509" s="119"/>
      <c r="GP509" s="119"/>
      <c r="GQ509" s="119"/>
      <c r="GR509" s="119"/>
      <c r="GS509" s="119"/>
      <c r="GT509" s="119"/>
      <c r="GU509" s="119"/>
      <c r="GV509" s="119"/>
      <c r="GW509" s="119"/>
      <c r="GX509" s="119"/>
      <c r="GY509" s="119"/>
      <c r="GZ509" s="119"/>
      <c r="HA509" s="119"/>
      <c r="HB509" s="119"/>
      <c r="HC509" s="119"/>
      <c r="HD509" s="119"/>
      <c r="HE509" s="119"/>
      <c r="HF509" s="119"/>
      <c r="HG509" s="119"/>
      <c r="HH509" s="119"/>
      <c r="HI509" s="119"/>
      <c r="HJ509" s="119"/>
      <c r="HK509" s="119"/>
      <c r="HL509" s="119"/>
      <c r="HM509" s="119"/>
      <c r="HN509" s="119"/>
      <c r="HO509" s="119"/>
      <c r="HP509" s="119"/>
      <c r="HQ509" s="119"/>
      <c r="HR509" s="119"/>
      <c r="HS509" s="119"/>
      <c r="HT509" s="119"/>
      <c r="HU509" s="119"/>
      <c r="HV509" s="119"/>
      <c r="HW509" s="119"/>
      <c r="HX509" s="119"/>
      <c r="HY509" s="119"/>
      <c r="HZ509" s="119"/>
      <c r="IA509" s="119"/>
      <c r="IB509" s="119"/>
      <c r="IC509" s="119"/>
      <c r="ID509" s="119"/>
      <c r="IE509" s="119"/>
      <c r="IF509" s="119"/>
      <c r="IG509" s="119"/>
      <c r="IH509" s="119"/>
      <c r="II509" s="119"/>
      <c r="IJ509" s="119"/>
      <c r="IK509" s="119"/>
      <c r="IL509" s="119"/>
      <c r="IM509" s="119"/>
      <c r="IN509" s="119"/>
      <c r="IO509" s="119"/>
      <c r="IP509" s="119"/>
      <c r="IQ509" s="119"/>
      <c r="IR509" s="119"/>
      <c r="IS509" s="119"/>
      <c r="IT509" s="119"/>
      <c r="IU509" s="119"/>
      <c r="IV509" s="119"/>
      <c r="IW509" s="119"/>
      <c r="IX509" s="119"/>
      <c r="IY509" s="119"/>
      <c r="IZ509" s="119"/>
      <c r="JA509" s="119"/>
      <c r="JB509" s="119"/>
      <c r="JC509" s="119"/>
      <c r="JD509" s="119"/>
      <c r="JE509" s="119"/>
      <c r="JF509" s="119"/>
      <c r="JG509" s="119"/>
      <c r="JH509" s="119"/>
      <c r="JI509" s="119"/>
      <c r="JJ509" s="119"/>
      <c r="JK509" s="119"/>
      <c r="JL509" s="119"/>
      <c r="JM509" s="119"/>
      <c r="JN509" s="119"/>
      <c r="JO509" s="119"/>
      <c r="JP509" s="119"/>
      <c r="JQ509" s="119"/>
      <c r="JR509" s="119"/>
      <c r="JS509" s="119"/>
      <c r="JT509" s="119"/>
      <c r="JU509" s="119"/>
      <c r="JV509" s="119"/>
      <c r="JW509" s="119"/>
      <c r="JX509" s="119"/>
      <c r="JY509" s="119"/>
      <c r="JZ509" s="119"/>
      <c r="KA509" s="119"/>
      <c r="KB509" s="119"/>
      <c r="KC509" s="119"/>
      <c r="KD509" s="119"/>
      <c r="KE509" s="119"/>
      <c r="KF509" s="119"/>
      <c r="KG509" s="119"/>
      <c r="KH509" s="119"/>
      <c r="KI509" s="119"/>
      <c r="KJ509" s="119"/>
      <c r="KK509" s="119"/>
      <c r="KL509" s="119"/>
      <c r="KM509" s="119"/>
      <c r="KN509" s="119"/>
      <c r="KO509" s="119"/>
      <c r="KP509" s="119"/>
      <c r="KQ509" s="119"/>
      <c r="KR509" s="119"/>
      <c r="KS509" s="119"/>
      <c r="KT509" s="119"/>
      <c r="KU509" s="119"/>
      <c r="KV509" s="119"/>
      <c r="KW509" s="119"/>
      <c r="KX509" s="119"/>
      <c r="KY509" s="119"/>
      <c r="KZ509" s="119"/>
      <c r="LA509" s="119"/>
      <c r="LB509" s="119"/>
      <c r="LC509" s="119"/>
      <c r="LD509" s="119"/>
      <c r="LE509" s="119"/>
      <c r="LF509" s="119"/>
      <c r="LG509" s="119"/>
      <c r="LH509" s="119"/>
      <c r="LI509" s="119"/>
      <c r="LJ509" s="119"/>
      <c r="LK509" s="119"/>
      <c r="LL509" s="119"/>
      <c r="LM509" s="119"/>
      <c r="LN509" s="119"/>
      <c r="LO509" s="119"/>
      <c r="LP509" s="119"/>
      <c r="LQ509" s="119"/>
      <c r="LR509" s="119"/>
      <c r="LS509" s="119"/>
      <c r="LT509" s="119"/>
      <c r="LU509" s="119"/>
      <c r="LV509" s="119"/>
      <c r="LW509" s="119"/>
      <c r="LX509" s="119"/>
      <c r="LY509" s="119"/>
      <c r="LZ509" s="119"/>
      <c r="MA509" s="119"/>
      <c r="MB509" s="119"/>
      <c r="MC509" s="119"/>
      <c r="MD509" s="119"/>
      <c r="ME509" s="119"/>
      <c r="MF509" s="119"/>
      <c r="MG509" s="119"/>
      <c r="MH509" s="119"/>
      <c r="MI509" s="119"/>
      <c r="MJ509" s="119"/>
      <c r="MK509" s="119"/>
      <c r="ML509" s="119"/>
      <c r="MM509" s="119"/>
      <c r="MN509" s="119"/>
      <c r="MO509" s="119"/>
      <c r="MP509" s="119"/>
      <c r="MQ509" s="119"/>
      <c r="MR509" s="119"/>
      <c r="MS509" s="119"/>
      <c r="MT509" s="119"/>
      <c r="MU509" s="119"/>
      <c r="MV509" s="119"/>
      <c r="MW509" s="119"/>
      <c r="MX509" s="119"/>
      <c r="MY509" s="119"/>
      <c r="MZ509" s="119"/>
    </row>
    <row r="510" spans="1:364" s="27" customFormat="1" x14ac:dyDescent="0.25">
      <c r="A510" s="123"/>
      <c r="B510" s="123"/>
      <c r="C510" s="126"/>
      <c r="D510" s="129"/>
      <c r="E510" s="109"/>
      <c r="F510" s="131"/>
      <c r="G510" s="132"/>
      <c r="H510" s="114" t="s">
        <v>149</v>
      </c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19"/>
      <c r="T510" s="119"/>
      <c r="U510" s="119"/>
      <c r="V510" s="119"/>
      <c r="W510" s="119"/>
      <c r="X510" s="119"/>
      <c r="Y510" s="119"/>
      <c r="Z510" s="119"/>
      <c r="AA510" s="119"/>
      <c r="AB510" s="119"/>
      <c r="AC510" s="119"/>
      <c r="AD510" s="119"/>
      <c r="AE510" s="119"/>
      <c r="AF510" s="119"/>
      <c r="AG510" s="119"/>
      <c r="AH510" s="119"/>
      <c r="AI510" s="119"/>
      <c r="AJ510" s="119"/>
      <c r="AK510" s="119"/>
      <c r="AL510" s="119"/>
      <c r="AM510" s="119"/>
      <c r="AN510" s="119"/>
      <c r="AO510" s="119"/>
      <c r="AP510" s="119"/>
      <c r="AQ510" s="119"/>
      <c r="AR510" s="119"/>
      <c r="AS510" s="119"/>
      <c r="AT510" s="119"/>
      <c r="AU510" s="119"/>
      <c r="AV510" s="119"/>
      <c r="AW510" s="119"/>
      <c r="AX510" s="119"/>
      <c r="AY510" s="119"/>
      <c r="AZ510" s="119"/>
      <c r="BA510" s="119"/>
      <c r="BB510" s="119"/>
      <c r="BC510" s="119"/>
      <c r="BD510" s="119"/>
      <c r="BE510" s="119"/>
      <c r="BF510" s="119"/>
      <c r="BG510" s="119"/>
      <c r="BH510" s="119"/>
      <c r="BI510" s="119"/>
      <c r="BJ510" s="119"/>
      <c r="BK510" s="119"/>
      <c r="BL510" s="26"/>
      <c r="BM510" s="119"/>
      <c r="BN510" s="119"/>
      <c r="BO510" s="119"/>
      <c r="BP510" s="119"/>
      <c r="BQ510" s="119"/>
      <c r="BR510" s="119"/>
      <c r="BS510" s="119"/>
      <c r="BT510" s="119"/>
      <c r="BU510" s="119"/>
      <c r="BV510" s="119"/>
      <c r="BW510" s="119"/>
      <c r="BX510" s="119"/>
      <c r="BY510" s="119"/>
      <c r="BZ510" s="119"/>
      <c r="CA510" s="119"/>
      <c r="CB510" s="119"/>
      <c r="CC510" s="119"/>
      <c r="CD510" s="119"/>
      <c r="CE510" s="119"/>
      <c r="CF510" s="119"/>
      <c r="CG510" s="119"/>
      <c r="CH510" s="119"/>
      <c r="CI510" s="119"/>
      <c r="CJ510" s="119"/>
      <c r="CK510" s="119"/>
      <c r="CL510" s="119"/>
      <c r="CM510" s="119"/>
      <c r="CN510" s="119"/>
      <c r="CO510" s="119"/>
      <c r="CP510" s="119"/>
      <c r="CQ510" s="119"/>
      <c r="CR510" s="119"/>
      <c r="CS510" s="119"/>
      <c r="CT510" s="119"/>
      <c r="CU510" s="119"/>
      <c r="CV510" s="119"/>
      <c r="CW510" s="119"/>
      <c r="CX510" s="119"/>
      <c r="CY510" s="119"/>
      <c r="CZ510" s="119"/>
      <c r="DA510" s="119"/>
      <c r="DB510" s="119"/>
      <c r="DC510" s="119"/>
      <c r="DD510" s="119"/>
      <c r="DE510" s="119"/>
      <c r="DF510" s="119"/>
      <c r="DG510" s="119"/>
      <c r="DH510" s="119"/>
      <c r="DI510" s="119"/>
      <c r="DJ510" s="119"/>
      <c r="DK510" s="119"/>
      <c r="DL510" s="119"/>
      <c r="DM510" s="119"/>
      <c r="DN510" s="119"/>
      <c r="DO510" s="119"/>
      <c r="DP510" s="119"/>
      <c r="DQ510" s="119"/>
      <c r="DR510" s="119"/>
      <c r="DS510" s="119"/>
      <c r="DT510" s="119"/>
      <c r="DU510" s="119"/>
      <c r="DV510" s="119"/>
      <c r="DW510" s="119"/>
      <c r="DX510" s="119"/>
      <c r="DY510" s="119"/>
      <c r="DZ510" s="119"/>
      <c r="EA510" s="119"/>
      <c r="EB510" s="119"/>
      <c r="EC510" s="119"/>
      <c r="ED510" s="119"/>
      <c r="EE510" s="119"/>
      <c r="EF510" s="119"/>
      <c r="EG510" s="119"/>
      <c r="EH510" s="119"/>
      <c r="EI510" s="119"/>
      <c r="EJ510" s="119"/>
      <c r="EK510" s="119"/>
      <c r="EL510" s="119"/>
      <c r="EM510" s="119"/>
      <c r="EN510" s="119"/>
      <c r="EO510" s="119"/>
      <c r="EP510" s="119"/>
      <c r="EQ510" s="119"/>
      <c r="ER510" s="119"/>
      <c r="ES510" s="119"/>
      <c r="ET510" s="119"/>
      <c r="EU510" s="119"/>
      <c r="EV510" s="119"/>
      <c r="EW510" s="119"/>
      <c r="EX510" s="119"/>
      <c r="EY510" s="119"/>
      <c r="EZ510" s="119"/>
      <c r="FA510" s="119"/>
      <c r="FB510" s="119"/>
      <c r="FC510" s="119"/>
      <c r="FD510" s="119"/>
      <c r="FE510" s="119"/>
      <c r="FF510" s="119"/>
      <c r="FG510" s="119"/>
      <c r="FH510" s="119"/>
      <c r="FI510" s="119"/>
      <c r="FJ510" s="119"/>
      <c r="FK510" s="119"/>
      <c r="FL510" s="119"/>
      <c r="FM510" s="119"/>
      <c r="FN510" s="119"/>
      <c r="FO510" s="119"/>
      <c r="FP510" s="119"/>
      <c r="FQ510" s="119"/>
      <c r="FR510" s="119"/>
      <c r="FS510" s="119"/>
      <c r="FT510" s="119"/>
      <c r="FU510" s="119"/>
      <c r="FV510" s="119"/>
      <c r="FW510" s="119"/>
      <c r="FX510" s="119"/>
      <c r="FY510" s="119"/>
      <c r="FZ510" s="119"/>
      <c r="GA510" s="119"/>
      <c r="GB510" s="119"/>
      <c r="GC510" s="119"/>
      <c r="GD510" s="119"/>
      <c r="GE510" s="119"/>
      <c r="GF510" s="119"/>
      <c r="GG510" s="119"/>
      <c r="GH510" s="119"/>
      <c r="GI510" s="119"/>
      <c r="GJ510" s="119"/>
      <c r="GK510" s="119"/>
      <c r="GL510" s="119"/>
      <c r="GM510" s="119"/>
      <c r="GN510" s="119"/>
      <c r="GO510" s="119"/>
      <c r="GP510" s="119"/>
      <c r="GQ510" s="119"/>
      <c r="GR510" s="119"/>
      <c r="GS510" s="119"/>
      <c r="GT510" s="119"/>
      <c r="GU510" s="119"/>
      <c r="GV510" s="119"/>
      <c r="GW510" s="119"/>
      <c r="GX510" s="119"/>
      <c r="GY510" s="119"/>
      <c r="GZ510" s="119"/>
      <c r="HA510" s="119"/>
      <c r="HB510" s="119"/>
      <c r="HC510" s="119"/>
      <c r="HD510" s="119"/>
      <c r="HE510" s="119"/>
      <c r="HF510" s="119"/>
      <c r="HG510" s="119"/>
      <c r="HH510" s="119"/>
      <c r="HI510" s="119"/>
      <c r="HJ510" s="119"/>
      <c r="HK510" s="119"/>
      <c r="HL510" s="119"/>
      <c r="HM510" s="119"/>
      <c r="HN510" s="119"/>
      <c r="HO510" s="119"/>
      <c r="HP510" s="119"/>
      <c r="HQ510" s="119"/>
      <c r="HR510" s="119"/>
      <c r="HS510" s="119"/>
      <c r="HT510" s="119"/>
      <c r="HU510" s="119"/>
      <c r="HV510" s="119"/>
      <c r="HW510" s="119"/>
      <c r="HX510" s="119"/>
      <c r="HY510" s="119"/>
      <c r="HZ510" s="119"/>
      <c r="IA510" s="119"/>
      <c r="IB510" s="119"/>
      <c r="IC510" s="119"/>
      <c r="ID510" s="119"/>
      <c r="IE510" s="119"/>
      <c r="IF510" s="119"/>
      <c r="IG510" s="119"/>
      <c r="IH510" s="119"/>
      <c r="II510" s="119"/>
      <c r="IJ510" s="119"/>
      <c r="IK510" s="119"/>
      <c r="IL510" s="119"/>
      <c r="IM510" s="119"/>
      <c r="IN510" s="119"/>
      <c r="IO510" s="119"/>
      <c r="IP510" s="119"/>
      <c r="IQ510" s="119"/>
      <c r="IR510" s="119"/>
      <c r="IS510" s="119"/>
      <c r="IT510" s="119"/>
      <c r="IU510" s="119"/>
      <c r="IV510" s="119"/>
      <c r="IW510" s="119"/>
      <c r="IX510" s="119"/>
      <c r="IY510" s="119"/>
      <c r="IZ510" s="119"/>
      <c r="JA510" s="119"/>
      <c r="JB510" s="119"/>
      <c r="JC510" s="119"/>
      <c r="JD510" s="119"/>
      <c r="JE510" s="119"/>
      <c r="JF510" s="119"/>
      <c r="JG510" s="119"/>
      <c r="JH510" s="119"/>
      <c r="JI510" s="119"/>
      <c r="JJ510" s="119"/>
      <c r="JK510" s="119"/>
      <c r="JL510" s="119"/>
      <c r="JM510" s="119"/>
      <c r="JN510" s="119"/>
      <c r="JO510" s="119"/>
      <c r="JP510" s="119"/>
      <c r="JQ510" s="119"/>
      <c r="JR510" s="119"/>
      <c r="JS510" s="119"/>
      <c r="JT510" s="119"/>
      <c r="JU510" s="119"/>
      <c r="JV510" s="119"/>
      <c r="JW510" s="119"/>
      <c r="JX510" s="119"/>
      <c r="JY510" s="119"/>
      <c r="JZ510" s="119"/>
      <c r="KA510" s="119"/>
      <c r="KB510" s="119"/>
      <c r="KC510" s="119"/>
      <c r="KD510" s="119"/>
      <c r="KE510" s="119"/>
      <c r="KF510" s="119"/>
      <c r="KG510" s="119"/>
      <c r="KH510" s="119"/>
      <c r="KI510" s="119"/>
      <c r="KJ510" s="119"/>
      <c r="KK510" s="119"/>
      <c r="KL510" s="119"/>
      <c r="KM510" s="119"/>
      <c r="KN510" s="119"/>
      <c r="KO510" s="119"/>
      <c r="KP510" s="119"/>
      <c r="KQ510" s="119"/>
      <c r="KR510" s="119"/>
      <c r="KS510" s="119"/>
      <c r="KT510" s="119"/>
      <c r="KU510" s="119"/>
      <c r="KV510" s="119"/>
      <c r="KW510" s="119"/>
      <c r="KX510" s="119"/>
      <c r="KY510" s="119"/>
      <c r="KZ510" s="119"/>
      <c r="LA510" s="119"/>
      <c r="LB510" s="119"/>
      <c r="LC510" s="119"/>
      <c r="LD510" s="119"/>
      <c r="LE510" s="119"/>
      <c r="LF510" s="119"/>
      <c r="LG510" s="119"/>
      <c r="LH510" s="119"/>
      <c r="LI510" s="119"/>
      <c r="LJ510" s="119"/>
      <c r="LK510" s="119"/>
      <c r="LL510" s="119"/>
      <c r="LM510" s="119"/>
      <c r="LN510" s="119"/>
      <c r="LO510" s="119"/>
      <c r="LP510" s="119"/>
      <c r="LQ510" s="119"/>
      <c r="LR510" s="119"/>
      <c r="LS510" s="119"/>
      <c r="LT510" s="119"/>
      <c r="LU510" s="119"/>
      <c r="LV510" s="119"/>
      <c r="LW510" s="119"/>
      <c r="LX510" s="119"/>
      <c r="LY510" s="119"/>
      <c r="LZ510" s="119"/>
      <c r="MA510" s="119"/>
      <c r="MB510" s="119"/>
      <c r="MC510" s="119"/>
      <c r="MD510" s="119"/>
      <c r="ME510" s="119"/>
      <c r="MF510" s="119"/>
      <c r="MG510" s="119"/>
      <c r="MH510" s="119"/>
      <c r="MI510" s="119"/>
      <c r="MJ510" s="119"/>
      <c r="MK510" s="119"/>
      <c r="ML510" s="119"/>
      <c r="MM510" s="119"/>
      <c r="MN510" s="119"/>
      <c r="MO510" s="119"/>
      <c r="MP510" s="119"/>
      <c r="MQ510" s="119"/>
      <c r="MR510" s="119"/>
      <c r="MS510" s="119"/>
      <c r="MT510" s="119"/>
      <c r="MU510" s="119"/>
      <c r="MV510" s="119"/>
      <c r="MW510" s="119"/>
      <c r="MX510" s="119"/>
      <c r="MY510" s="119"/>
      <c r="MZ510" s="119"/>
    </row>
    <row r="511" spans="1:364" s="27" customFormat="1" x14ac:dyDescent="0.25">
      <c r="A511" s="121"/>
      <c r="B511" s="124" t="e">
        <f>VLOOKUP(A511,Rules!$B$8:$C$154,2,0)</f>
        <v>#N/A</v>
      </c>
      <c r="C511" s="125">
        <f t="shared" ref="C511" si="27">SUM(I512:XX512)</f>
        <v>0</v>
      </c>
      <c r="D511" s="127"/>
      <c r="E511" s="110" t="s">
        <v>492</v>
      </c>
      <c r="F511" s="130" t="e">
        <f>VLOOKUP(A511,Table2[],10,0)</f>
        <v>#N/A</v>
      </c>
      <c r="G511" s="130"/>
      <c r="H511" s="113" t="s">
        <v>440</v>
      </c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9"/>
      <c r="T511" s="119"/>
      <c r="U511" s="119"/>
      <c r="V511" s="119"/>
      <c r="W511" s="119"/>
      <c r="X511" s="119"/>
      <c r="Y511" s="119"/>
      <c r="Z511" s="119"/>
      <c r="AA511" s="119"/>
      <c r="AB511" s="119"/>
      <c r="AC511" s="119"/>
      <c r="AD511" s="119"/>
      <c r="AE511" s="119"/>
      <c r="AF511" s="119"/>
      <c r="AG511" s="119"/>
      <c r="AH511" s="119"/>
      <c r="AI511" s="119"/>
      <c r="AJ511" s="119"/>
      <c r="AK511" s="119"/>
      <c r="AL511" s="119"/>
      <c r="AM511" s="119"/>
      <c r="AN511" s="119"/>
      <c r="AO511" s="119"/>
      <c r="AP511" s="119"/>
      <c r="AQ511" s="119"/>
      <c r="AR511" s="119"/>
      <c r="AS511" s="119"/>
      <c r="AT511" s="119"/>
      <c r="AU511" s="119"/>
      <c r="AV511" s="119"/>
      <c r="AW511" s="119"/>
      <c r="AX511" s="119"/>
      <c r="AY511" s="119"/>
      <c r="AZ511" s="119"/>
      <c r="BA511" s="119"/>
      <c r="BB511" s="119"/>
      <c r="BC511" s="119"/>
      <c r="BD511" s="119"/>
      <c r="BE511" s="119"/>
      <c r="BF511" s="119"/>
      <c r="BG511" s="119"/>
      <c r="BH511" s="119"/>
      <c r="BI511" s="119"/>
      <c r="BJ511" s="119"/>
      <c r="BK511" s="119"/>
      <c r="BL511" s="26"/>
      <c r="BM511" s="119"/>
      <c r="BN511" s="26"/>
      <c r="BO511" s="119"/>
      <c r="BP511" s="119"/>
      <c r="BQ511" s="119"/>
      <c r="BR511" s="119"/>
      <c r="BS511" s="119"/>
      <c r="BT511" s="119"/>
      <c r="BU511" s="119"/>
      <c r="BV511" s="119"/>
      <c r="BW511" s="119"/>
      <c r="BX511" s="119"/>
      <c r="BY511" s="119"/>
      <c r="BZ511" s="119"/>
      <c r="CA511" s="119"/>
      <c r="CB511" s="119"/>
      <c r="CC511" s="119"/>
      <c r="CD511" s="119"/>
      <c r="CE511" s="119"/>
      <c r="CF511" s="119"/>
      <c r="CG511" s="119"/>
      <c r="CH511" s="119"/>
      <c r="CI511" s="119"/>
      <c r="CJ511" s="119"/>
      <c r="CK511" s="119"/>
      <c r="CL511" s="119"/>
      <c r="CM511" s="119"/>
      <c r="CN511" s="119"/>
      <c r="CO511" s="119"/>
      <c r="CP511" s="119"/>
      <c r="CQ511" s="119"/>
      <c r="CR511" s="119"/>
      <c r="CS511" s="119"/>
      <c r="CT511" s="119"/>
      <c r="CU511" s="119"/>
      <c r="CV511" s="119"/>
      <c r="CW511" s="119"/>
      <c r="CX511" s="119"/>
      <c r="CY511" s="119"/>
      <c r="CZ511" s="119"/>
      <c r="DA511" s="119"/>
      <c r="DB511" s="119"/>
      <c r="DC511" s="119"/>
      <c r="DD511" s="119"/>
      <c r="DE511" s="119"/>
      <c r="DF511" s="119"/>
      <c r="DG511" s="119"/>
      <c r="DH511" s="119"/>
      <c r="DI511" s="119"/>
      <c r="DJ511" s="119"/>
      <c r="DK511" s="119"/>
      <c r="DL511" s="119"/>
      <c r="DM511" s="119"/>
      <c r="DN511" s="119"/>
      <c r="DO511" s="119"/>
      <c r="DP511" s="119"/>
      <c r="DQ511" s="119"/>
      <c r="DR511" s="119"/>
      <c r="DS511" s="119"/>
      <c r="DT511" s="119"/>
      <c r="DU511" s="119"/>
      <c r="DV511" s="119"/>
      <c r="DW511" s="119"/>
      <c r="DX511" s="119"/>
      <c r="DY511" s="119"/>
      <c r="DZ511" s="119"/>
      <c r="EA511" s="119"/>
      <c r="EB511" s="119"/>
      <c r="EC511" s="119"/>
      <c r="ED511" s="119"/>
      <c r="EE511" s="119"/>
      <c r="EF511" s="119"/>
      <c r="EG511" s="119"/>
      <c r="EH511" s="119"/>
      <c r="EI511" s="119"/>
      <c r="EJ511" s="119"/>
      <c r="EK511" s="119"/>
      <c r="EL511" s="119"/>
      <c r="EM511" s="119"/>
      <c r="EN511" s="119"/>
      <c r="EO511" s="119"/>
      <c r="EP511" s="119"/>
      <c r="EQ511" s="119"/>
      <c r="ER511" s="119"/>
      <c r="ES511" s="119"/>
      <c r="ET511" s="119"/>
      <c r="EU511" s="119"/>
      <c r="EV511" s="119"/>
      <c r="EW511" s="119"/>
      <c r="EX511" s="119"/>
      <c r="EY511" s="119"/>
      <c r="EZ511" s="119"/>
      <c r="FA511" s="119"/>
      <c r="FB511" s="119"/>
      <c r="FC511" s="119"/>
      <c r="FD511" s="119"/>
      <c r="FE511" s="119"/>
      <c r="FF511" s="119"/>
      <c r="FG511" s="119"/>
      <c r="FH511" s="119"/>
      <c r="FI511" s="119"/>
      <c r="FJ511" s="119"/>
      <c r="FK511" s="119"/>
      <c r="FL511" s="119"/>
      <c r="FM511" s="119"/>
      <c r="FN511" s="119"/>
      <c r="FO511" s="119"/>
      <c r="FP511" s="119"/>
      <c r="FQ511" s="119"/>
      <c r="FR511" s="119"/>
      <c r="FS511" s="119"/>
      <c r="FT511" s="119"/>
      <c r="FU511" s="119"/>
      <c r="FV511" s="119"/>
      <c r="FW511" s="119"/>
      <c r="FX511" s="119"/>
      <c r="FY511" s="119"/>
      <c r="FZ511" s="119"/>
      <c r="GA511" s="119"/>
      <c r="GB511" s="119"/>
      <c r="GC511" s="119"/>
      <c r="GD511" s="119"/>
      <c r="GE511" s="119"/>
      <c r="GF511" s="119"/>
      <c r="GG511" s="119"/>
      <c r="GH511" s="119"/>
      <c r="GI511" s="119"/>
      <c r="GJ511" s="119"/>
      <c r="GK511" s="119"/>
      <c r="GL511" s="119"/>
      <c r="GM511" s="119"/>
      <c r="GN511" s="119"/>
      <c r="GO511" s="119"/>
      <c r="GP511" s="119"/>
      <c r="GQ511" s="119"/>
      <c r="GR511" s="119"/>
      <c r="GS511" s="119"/>
      <c r="GT511" s="119"/>
      <c r="GU511" s="119"/>
      <c r="GV511" s="119"/>
      <c r="GW511" s="119"/>
      <c r="GX511" s="119"/>
      <c r="GY511" s="119"/>
      <c r="GZ511" s="119"/>
      <c r="HA511" s="119"/>
      <c r="HB511" s="119"/>
      <c r="HC511" s="119"/>
      <c r="HD511" s="119"/>
      <c r="HE511" s="119"/>
      <c r="HF511" s="119"/>
      <c r="HG511" s="119"/>
      <c r="HH511" s="119"/>
      <c r="HI511" s="119"/>
      <c r="HJ511" s="119"/>
      <c r="HK511" s="119"/>
      <c r="HL511" s="119"/>
      <c r="HM511" s="119"/>
      <c r="HN511" s="119"/>
      <c r="HO511" s="119"/>
      <c r="HP511" s="119"/>
      <c r="HQ511" s="119"/>
      <c r="HR511" s="119"/>
      <c r="HS511" s="119"/>
      <c r="HT511" s="119"/>
      <c r="HU511" s="119"/>
      <c r="HV511" s="119"/>
      <c r="HW511" s="119"/>
      <c r="HX511" s="119"/>
      <c r="HY511" s="119"/>
      <c r="HZ511" s="119"/>
      <c r="IA511" s="119"/>
      <c r="IB511" s="119"/>
      <c r="IC511" s="119"/>
      <c r="ID511" s="119"/>
      <c r="IE511" s="119"/>
      <c r="IF511" s="119"/>
      <c r="IG511" s="119"/>
      <c r="IH511" s="119"/>
      <c r="II511" s="119"/>
      <c r="IJ511" s="119"/>
      <c r="IK511" s="119"/>
      <c r="IL511" s="119"/>
      <c r="IM511" s="119"/>
      <c r="IN511" s="119"/>
      <c r="IO511" s="119"/>
      <c r="IP511" s="119"/>
      <c r="IQ511" s="119"/>
      <c r="IR511" s="119"/>
      <c r="IS511" s="119"/>
      <c r="IT511" s="119"/>
      <c r="IU511" s="119"/>
      <c r="IV511" s="119"/>
      <c r="IW511" s="119"/>
      <c r="IX511" s="119"/>
      <c r="IY511" s="119"/>
      <c r="IZ511" s="119"/>
      <c r="JA511" s="119"/>
      <c r="JB511" s="119"/>
      <c r="JC511" s="119"/>
      <c r="JD511" s="119"/>
      <c r="JE511" s="119"/>
      <c r="JF511" s="119"/>
      <c r="JG511" s="119"/>
      <c r="JH511" s="119"/>
      <c r="JI511" s="119"/>
      <c r="JJ511" s="119"/>
      <c r="JK511" s="119"/>
      <c r="JL511" s="119"/>
      <c r="JM511" s="119"/>
      <c r="JN511" s="119"/>
      <c r="JO511" s="119"/>
      <c r="JP511" s="119"/>
      <c r="JQ511" s="119"/>
      <c r="JR511" s="119"/>
      <c r="JS511" s="119"/>
      <c r="JT511" s="119"/>
      <c r="JU511" s="119"/>
      <c r="JV511" s="119"/>
      <c r="JW511" s="119"/>
      <c r="JX511" s="119"/>
      <c r="JY511" s="119"/>
      <c r="JZ511" s="119"/>
      <c r="KA511" s="119"/>
      <c r="KB511" s="119"/>
      <c r="KC511" s="119"/>
      <c r="KD511" s="119"/>
      <c r="KE511" s="119"/>
      <c r="KF511" s="119"/>
      <c r="KG511" s="119"/>
      <c r="KH511" s="119"/>
      <c r="KI511" s="119"/>
      <c r="KJ511" s="119"/>
      <c r="KK511" s="119"/>
      <c r="KL511" s="119"/>
      <c r="KM511" s="119"/>
      <c r="KN511" s="119"/>
      <c r="KO511" s="119"/>
      <c r="KP511" s="119"/>
      <c r="KQ511" s="119"/>
      <c r="KR511" s="119"/>
      <c r="KS511" s="119"/>
      <c r="KT511" s="119"/>
      <c r="KU511" s="119"/>
      <c r="KV511" s="119"/>
      <c r="KW511" s="119"/>
      <c r="KX511" s="119"/>
      <c r="KY511" s="119"/>
      <c r="KZ511" s="119"/>
      <c r="LA511" s="119"/>
      <c r="LB511" s="119"/>
      <c r="LC511" s="119"/>
      <c r="LD511" s="119"/>
      <c r="LE511" s="119"/>
      <c r="LF511" s="119"/>
      <c r="LG511" s="119"/>
      <c r="LH511" s="119"/>
      <c r="LI511" s="119"/>
      <c r="LJ511" s="119"/>
      <c r="LK511" s="119"/>
      <c r="LL511" s="119"/>
      <c r="LM511" s="119"/>
      <c r="LN511" s="119"/>
      <c r="LO511" s="119"/>
      <c r="LP511" s="119"/>
      <c r="LQ511" s="119"/>
      <c r="LR511" s="119"/>
      <c r="LS511" s="119"/>
      <c r="LT511" s="119"/>
      <c r="LU511" s="119"/>
      <c r="LV511" s="119"/>
      <c r="LW511" s="119"/>
      <c r="LX511" s="119"/>
      <c r="LY511" s="119"/>
      <c r="LZ511" s="119"/>
      <c r="MA511" s="119"/>
      <c r="MB511" s="119"/>
      <c r="MC511" s="119"/>
      <c r="MD511" s="119"/>
      <c r="ME511" s="119"/>
      <c r="MF511" s="119"/>
      <c r="MG511" s="119"/>
      <c r="MH511" s="119"/>
      <c r="MI511" s="119"/>
      <c r="MJ511" s="119"/>
      <c r="MK511" s="119"/>
      <c r="ML511" s="119"/>
      <c r="MM511" s="119"/>
      <c r="MN511" s="119"/>
      <c r="MO511" s="119"/>
      <c r="MP511" s="119"/>
      <c r="MQ511" s="119"/>
      <c r="MR511" s="119"/>
      <c r="MS511" s="119"/>
      <c r="MT511" s="119"/>
      <c r="MU511" s="119"/>
      <c r="MV511" s="119"/>
      <c r="MW511" s="119"/>
      <c r="MX511" s="119"/>
      <c r="MY511" s="119"/>
      <c r="MZ511" s="119"/>
    </row>
    <row r="512" spans="1:364" s="27" customFormat="1" x14ac:dyDescent="0.25">
      <c r="A512" s="122"/>
      <c r="B512" s="122"/>
      <c r="C512" s="126"/>
      <c r="D512" s="128"/>
      <c r="E512" s="109"/>
      <c r="F512" s="131"/>
      <c r="G512" s="131"/>
      <c r="H512" s="105" t="s">
        <v>439</v>
      </c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9"/>
      <c r="T512" s="119"/>
      <c r="U512" s="119"/>
      <c r="V512" s="119"/>
      <c r="W512" s="119"/>
      <c r="X512" s="119"/>
      <c r="Y512" s="119"/>
      <c r="Z512" s="119"/>
      <c r="AA512" s="119"/>
      <c r="AB512" s="119"/>
      <c r="AC512" s="119"/>
      <c r="AD512" s="119"/>
      <c r="AE512" s="119"/>
      <c r="AF512" s="119"/>
      <c r="AG512" s="119"/>
      <c r="AH512" s="119"/>
      <c r="AI512" s="119"/>
      <c r="AJ512" s="119"/>
      <c r="AK512" s="119"/>
      <c r="AL512" s="119"/>
      <c r="AM512" s="119"/>
      <c r="AN512" s="119"/>
      <c r="AO512" s="119"/>
      <c r="AP512" s="119"/>
      <c r="AQ512" s="119"/>
      <c r="AR512" s="119"/>
      <c r="AS512" s="119"/>
      <c r="AT512" s="119"/>
      <c r="AU512" s="119"/>
      <c r="AV512" s="119"/>
      <c r="AW512" s="119"/>
      <c r="AX512" s="119"/>
      <c r="AY512" s="119"/>
      <c r="AZ512" s="119"/>
      <c r="BA512" s="119"/>
      <c r="BB512" s="119"/>
      <c r="BC512" s="119"/>
      <c r="BD512" s="119"/>
      <c r="BE512" s="119"/>
      <c r="BF512" s="119"/>
      <c r="BG512" s="119"/>
      <c r="BH512" s="119"/>
      <c r="BI512" s="119"/>
      <c r="BJ512" s="119"/>
      <c r="BK512" s="119"/>
      <c r="BL512" s="26"/>
      <c r="BM512" s="119"/>
      <c r="BN512" s="26"/>
      <c r="BO512" s="119"/>
      <c r="BP512" s="119"/>
      <c r="BQ512" s="119"/>
      <c r="BR512" s="119"/>
      <c r="BS512" s="119"/>
      <c r="BT512" s="119"/>
      <c r="BU512" s="119"/>
      <c r="BV512" s="119"/>
      <c r="BW512" s="119"/>
      <c r="BX512" s="119"/>
      <c r="BY512" s="119"/>
      <c r="BZ512" s="119"/>
      <c r="CA512" s="119"/>
      <c r="CB512" s="119"/>
      <c r="CC512" s="119"/>
      <c r="CD512" s="119"/>
      <c r="CE512" s="119"/>
      <c r="CF512" s="119"/>
      <c r="CG512" s="119"/>
      <c r="CH512" s="119"/>
      <c r="CI512" s="119"/>
      <c r="CJ512" s="119"/>
      <c r="CK512" s="119"/>
      <c r="CL512" s="119"/>
      <c r="CM512" s="119"/>
      <c r="CN512" s="119"/>
      <c r="CO512" s="119"/>
      <c r="CP512" s="119"/>
      <c r="CQ512" s="119"/>
      <c r="CR512" s="119"/>
      <c r="CS512" s="119"/>
      <c r="CT512" s="119"/>
      <c r="CU512" s="119"/>
      <c r="CV512" s="119"/>
      <c r="CW512" s="119"/>
      <c r="CX512" s="119"/>
      <c r="CY512" s="119"/>
      <c r="CZ512" s="119"/>
      <c r="DA512" s="119"/>
      <c r="DB512" s="119"/>
      <c r="DC512" s="119"/>
      <c r="DD512" s="119"/>
      <c r="DE512" s="119"/>
      <c r="DF512" s="119"/>
      <c r="DG512" s="119"/>
      <c r="DH512" s="119"/>
      <c r="DI512" s="119"/>
      <c r="DJ512" s="119"/>
      <c r="DK512" s="119"/>
      <c r="DL512" s="119"/>
      <c r="DM512" s="119"/>
      <c r="DN512" s="119"/>
      <c r="DO512" s="119"/>
      <c r="DP512" s="119"/>
      <c r="DQ512" s="119"/>
      <c r="DR512" s="119"/>
      <c r="DS512" s="119"/>
      <c r="DT512" s="119"/>
      <c r="DU512" s="119"/>
      <c r="DV512" s="119"/>
      <c r="DW512" s="119"/>
      <c r="DX512" s="119"/>
      <c r="DY512" s="119"/>
      <c r="DZ512" s="119"/>
      <c r="EA512" s="119"/>
      <c r="EB512" s="119"/>
      <c r="EC512" s="119"/>
      <c r="ED512" s="119"/>
      <c r="EE512" s="119"/>
      <c r="EF512" s="119"/>
      <c r="EG512" s="119"/>
      <c r="EH512" s="119"/>
      <c r="EI512" s="119"/>
      <c r="EJ512" s="119"/>
      <c r="EK512" s="119"/>
      <c r="EL512" s="119"/>
      <c r="EM512" s="119"/>
      <c r="EN512" s="119"/>
      <c r="EO512" s="119"/>
      <c r="EP512" s="119"/>
      <c r="EQ512" s="119"/>
      <c r="ER512" s="119"/>
      <c r="ES512" s="119"/>
      <c r="ET512" s="119"/>
      <c r="EU512" s="119"/>
      <c r="EV512" s="119"/>
      <c r="EW512" s="119"/>
      <c r="EX512" s="119"/>
      <c r="EY512" s="119"/>
      <c r="EZ512" s="119"/>
      <c r="FA512" s="119"/>
      <c r="FB512" s="119"/>
      <c r="FC512" s="119"/>
      <c r="FD512" s="119"/>
      <c r="FE512" s="119"/>
      <c r="FF512" s="119"/>
      <c r="FG512" s="119"/>
      <c r="FH512" s="119"/>
      <c r="FI512" s="119"/>
      <c r="FJ512" s="119"/>
      <c r="FK512" s="119"/>
      <c r="FL512" s="119"/>
      <c r="FM512" s="119"/>
      <c r="FN512" s="119"/>
      <c r="FO512" s="119"/>
      <c r="FP512" s="119"/>
      <c r="FQ512" s="119"/>
      <c r="FR512" s="119"/>
      <c r="FS512" s="119"/>
      <c r="FT512" s="119"/>
      <c r="FU512" s="119"/>
      <c r="FV512" s="119"/>
      <c r="FW512" s="119"/>
      <c r="FX512" s="119"/>
      <c r="FY512" s="119"/>
      <c r="FZ512" s="119"/>
      <c r="GA512" s="119"/>
      <c r="GB512" s="119"/>
      <c r="GC512" s="119"/>
      <c r="GD512" s="119"/>
      <c r="GE512" s="119"/>
      <c r="GF512" s="119"/>
      <c r="GG512" s="119"/>
      <c r="GH512" s="119"/>
      <c r="GI512" s="119"/>
      <c r="GJ512" s="119"/>
      <c r="GK512" s="119"/>
      <c r="GL512" s="119"/>
      <c r="GM512" s="119"/>
      <c r="GN512" s="119"/>
      <c r="GO512" s="119"/>
      <c r="GP512" s="119"/>
      <c r="GQ512" s="119"/>
      <c r="GR512" s="119"/>
      <c r="GS512" s="119"/>
      <c r="GT512" s="119"/>
      <c r="GU512" s="119"/>
      <c r="GV512" s="119"/>
      <c r="GW512" s="119"/>
      <c r="GX512" s="119"/>
      <c r="GY512" s="119"/>
      <c r="GZ512" s="119"/>
      <c r="HA512" s="119"/>
      <c r="HB512" s="119"/>
      <c r="HC512" s="119"/>
      <c r="HD512" s="119"/>
      <c r="HE512" s="119"/>
      <c r="HF512" s="119"/>
      <c r="HG512" s="119"/>
      <c r="HH512" s="119"/>
      <c r="HI512" s="119"/>
      <c r="HJ512" s="119"/>
      <c r="HK512" s="119"/>
      <c r="HL512" s="119"/>
      <c r="HM512" s="119"/>
      <c r="HN512" s="119"/>
      <c r="HO512" s="119"/>
      <c r="HP512" s="119"/>
      <c r="HQ512" s="119"/>
      <c r="HR512" s="119"/>
      <c r="HS512" s="119"/>
      <c r="HT512" s="119"/>
      <c r="HU512" s="119"/>
      <c r="HV512" s="119"/>
      <c r="HW512" s="119"/>
      <c r="HX512" s="119"/>
      <c r="HY512" s="119"/>
      <c r="HZ512" s="119"/>
      <c r="IA512" s="119"/>
      <c r="IB512" s="119"/>
      <c r="IC512" s="119"/>
      <c r="ID512" s="119"/>
      <c r="IE512" s="119"/>
      <c r="IF512" s="119"/>
      <c r="IG512" s="119"/>
      <c r="IH512" s="119"/>
      <c r="II512" s="119"/>
      <c r="IJ512" s="119"/>
      <c r="IK512" s="119"/>
      <c r="IL512" s="119"/>
      <c r="IM512" s="119"/>
      <c r="IN512" s="119"/>
      <c r="IO512" s="119"/>
      <c r="IP512" s="119"/>
      <c r="IQ512" s="119"/>
      <c r="IR512" s="119"/>
      <c r="IS512" s="119"/>
      <c r="IT512" s="119"/>
      <c r="IU512" s="119"/>
      <c r="IV512" s="119"/>
      <c r="IW512" s="119"/>
      <c r="IX512" s="119"/>
      <c r="IY512" s="119"/>
      <c r="IZ512" s="119"/>
      <c r="JA512" s="119"/>
      <c r="JB512" s="119"/>
      <c r="JC512" s="119"/>
      <c r="JD512" s="119"/>
      <c r="JE512" s="119"/>
      <c r="JF512" s="119"/>
      <c r="JG512" s="119"/>
      <c r="JH512" s="119"/>
      <c r="JI512" s="119"/>
      <c r="JJ512" s="119"/>
      <c r="JK512" s="119"/>
      <c r="JL512" s="119"/>
      <c r="JM512" s="119"/>
      <c r="JN512" s="119"/>
      <c r="JO512" s="119"/>
      <c r="JP512" s="119"/>
      <c r="JQ512" s="119"/>
      <c r="JR512" s="119"/>
      <c r="JS512" s="119"/>
      <c r="JT512" s="119"/>
      <c r="JU512" s="119"/>
      <c r="JV512" s="119"/>
      <c r="JW512" s="119"/>
      <c r="JX512" s="119"/>
      <c r="JY512" s="119"/>
      <c r="JZ512" s="119"/>
      <c r="KA512" s="119"/>
      <c r="KB512" s="119"/>
      <c r="KC512" s="119"/>
      <c r="KD512" s="119"/>
      <c r="KE512" s="119"/>
      <c r="KF512" s="119"/>
      <c r="KG512" s="119"/>
      <c r="KH512" s="119"/>
      <c r="KI512" s="119"/>
      <c r="KJ512" s="119"/>
      <c r="KK512" s="119"/>
      <c r="KL512" s="119"/>
      <c r="KM512" s="119"/>
      <c r="KN512" s="119"/>
      <c r="KO512" s="119"/>
      <c r="KP512" s="119"/>
      <c r="KQ512" s="119"/>
      <c r="KR512" s="119"/>
      <c r="KS512" s="119"/>
      <c r="KT512" s="119"/>
      <c r="KU512" s="119"/>
      <c r="KV512" s="119"/>
      <c r="KW512" s="119"/>
      <c r="KX512" s="119"/>
      <c r="KY512" s="119"/>
      <c r="KZ512" s="119"/>
      <c r="LA512" s="119"/>
      <c r="LB512" s="119"/>
      <c r="LC512" s="119"/>
      <c r="LD512" s="119"/>
      <c r="LE512" s="119"/>
      <c r="LF512" s="119"/>
      <c r="LG512" s="119"/>
      <c r="LH512" s="119"/>
      <c r="LI512" s="119"/>
      <c r="LJ512" s="119"/>
      <c r="LK512" s="119"/>
      <c r="LL512" s="119"/>
      <c r="LM512" s="119"/>
      <c r="LN512" s="119"/>
      <c r="LO512" s="119"/>
      <c r="LP512" s="119"/>
      <c r="LQ512" s="119"/>
      <c r="LR512" s="119"/>
      <c r="LS512" s="119"/>
      <c r="LT512" s="119"/>
      <c r="LU512" s="119"/>
      <c r="LV512" s="119"/>
      <c r="LW512" s="119"/>
      <c r="LX512" s="119"/>
      <c r="LY512" s="119"/>
      <c r="LZ512" s="119"/>
      <c r="MA512" s="119"/>
      <c r="MB512" s="119"/>
      <c r="MC512" s="119"/>
      <c r="MD512" s="119"/>
      <c r="ME512" s="119"/>
      <c r="MF512" s="119"/>
      <c r="MG512" s="119"/>
      <c r="MH512" s="119"/>
      <c r="MI512" s="119"/>
      <c r="MJ512" s="119"/>
      <c r="MK512" s="119"/>
      <c r="ML512" s="119"/>
      <c r="MM512" s="119"/>
      <c r="MN512" s="119"/>
      <c r="MO512" s="119"/>
      <c r="MP512" s="119"/>
      <c r="MQ512" s="119"/>
      <c r="MR512" s="119"/>
      <c r="MS512" s="119"/>
      <c r="MT512" s="119"/>
      <c r="MU512" s="119"/>
      <c r="MV512" s="119"/>
      <c r="MW512" s="119"/>
      <c r="MX512" s="119"/>
      <c r="MY512" s="119"/>
      <c r="MZ512" s="119"/>
    </row>
    <row r="513" spans="1:364" s="27" customFormat="1" x14ac:dyDescent="0.25">
      <c r="A513" s="122"/>
      <c r="B513" s="122"/>
      <c r="C513" s="126"/>
      <c r="D513" s="128"/>
      <c r="E513" s="109" t="s">
        <v>493</v>
      </c>
      <c r="F513" s="131"/>
      <c r="G513" s="131"/>
      <c r="H513" s="106" t="s">
        <v>438</v>
      </c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19"/>
      <c r="T513" s="119"/>
      <c r="U513" s="119"/>
      <c r="V513" s="119"/>
      <c r="W513" s="119"/>
      <c r="X513" s="119"/>
      <c r="Y513" s="119"/>
      <c r="Z513" s="119"/>
      <c r="AA513" s="119"/>
      <c r="AB513" s="119"/>
      <c r="AC513" s="119"/>
      <c r="AD513" s="119"/>
      <c r="AE513" s="119"/>
      <c r="AF513" s="119"/>
      <c r="AG513" s="119"/>
      <c r="AH513" s="119"/>
      <c r="AI513" s="119"/>
      <c r="AJ513" s="119"/>
      <c r="AK513" s="119"/>
      <c r="AL513" s="119"/>
      <c r="AM513" s="119"/>
      <c r="AN513" s="119"/>
      <c r="AO513" s="119"/>
      <c r="AP513" s="119"/>
      <c r="AQ513" s="119"/>
      <c r="AR513" s="119"/>
      <c r="AS513" s="119"/>
      <c r="AT513" s="119"/>
      <c r="AU513" s="119"/>
      <c r="AV513" s="119"/>
      <c r="AW513" s="119"/>
      <c r="AX513" s="119"/>
      <c r="AY513" s="119"/>
      <c r="AZ513" s="119"/>
      <c r="BA513" s="119"/>
      <c r="BB513" s="119"/>
      <c r="BC513" s="119"/>
      <c r="BD513" s="119"/>
      <c r="BE513" s="119"/>
      <c r="BF513" s="119"/>
      <c r="BG513" s="119"/>
      <c r="BH513" s="119"/>
      <c r="BI513" s="119"/>
      <c r="BJ513" s="119"/>
      <c r="BK513" s="119"/>
      <c r="BL513" s="26"/>
      <c r="BM513" s="119"/>
      <c r="BN513" s="119"/>
      <c r="BO513" s="119"/>
      <c r="BP513" s="119"/>
      <c r="BQ513" s="119"/>
      <c r="BR513" s="119"/>
      <c r="BS513" s="119"/>
      <c r="BT513" s="119"/>
      <c r="BU513" s="119"/>
      <c r="BV513" s="119"/>
      <c r="BW513" s="119"/>
      <c r="BX513" s="119"/>
      <c r="BY513" s="119"/>
      <c r="BZ513" s="119"/>
      <c r="CA513" s="119"/>
      <c r="CB513" s="119"/>
      <c r="CC513" s="119"/>
      <c r="CD513" s="119"/>
      <c r="CE513" s="119"/>
      <c r="CF513" s="119"/>
      <c r="CG513" s="119"/>
      <c r="CH513" s="119"/>
      <c r="CI513" s="119"/>
      <c r="CJ513" s="119"/>
      <c r="CK513" s="119"/>
      <c r="CL513" s="119"/>
      <c r="CM513" s="119"/>
      <c r="CN513" s="119"/>
      <c r="CO513" s="119"/>
      <c r="CP513" s="119"/>
      <c r="CQ513" s="119"/>
      <c r="CR513" s="119"/>
      <c r="CS513" s="119"/>
      <c r="CT513" s="119"/>
      <c r="CU513" s="119"/>
      <c r="CV513" s="119"/>
      <c r="CW513" s="119"/>
      <c r="CX513" s="119"/>
      <c r="CY513" s="119"/>
      <c r="CZ513" s="119"/>
      <c r="DA513" s="119"/>
      <c r="DB513" s="119"/>
      <c r="DC513" s="119"/>
      <c r="DD513" s="119"/>
      <c r="DE513" s="119"/>
      <c r="DF513" s="119"/>
      <c r="DG513" s="119"/>
      <c r="DH513" s="119"/>
      <c r="DI513" s="119"/>
      <c r="DJ513" s="119"/>
      <c r="DK513" s="119"/>
      <c r="DL513" s="119"/>
      <c r="DM513" s="119"/>
      <c r="DN513" s="119"/>
      <c r="DO513" s="119"/>
      <c r="DP513" s="119"/>
      <c r="DQ513" s="119"/>
      <c r="DR513" s="119"/>
      <c r="DS513" s="119"/>
      <c r="DT513" s="119"/>
      <c r="DU513" s="119"/>
      <c r="DV513" s="119"/>
      <c r="DW513" s="119"/>
      <c r="DX513" s="119"/>
      <c r="DY513" s="119"/>
      <c r="DZ513" s="119"/>
      <c r="EA513" s="119"/>
      <c r="EB513" s="119"/>
      <c r="EC513" s="119"/>
      <c r="ED513" s="119"/>
      <c r="EE513" s="119"/>
      <c r="EF513" s="119"/>
      <c r="EG513" s="119"/>
      <c r="EH513" s="119"/>
      <c r="EI513" s="119"/>
      <c r="EJ513" s="119"/>
      <c r="EK513" s="119"/>
      <c r="EL513" s="119"/>
      <c r="EM513" s="119"/>
      <c r="EN513" s="119"/>
      <c r="EO513" s="119"/>
      <c r="EP513" s="119"/>
      <c r="EQ513" s="119"/>
      <c r="ER513" s="119"/>
      <c r="ES513" s="119"/>
      <c r="ET513" s="119"/>
      <c r="EU513" s="119"/>
      <c r="EV513" s="119"/>
      <c r="EW513" s="119"/>
      <c r="EX513" s="119"/>
      <c r="EY513" s="119"/>
      <c r="EZ513" s="119"/>
      <c r="FA513" s="119"/>
      <c r="FB513" s="119"/>
      <c r="FC513" s="119"/>
      <c r="FD513" s="119"/>
      <c r="FE513" s="119"/>
      <c r="FF513" s="119"/>
      <c r="FG513" s="119"/>
      <c r="FH513" s="119"/>
      <c r="FI513" s="119"/>
      <c r="FJ513" s="119"/>
      <c r="FK513" s="119"/>
      <c r="FL513" s="119"/>
      <c r="FM513" s="119"/>
      <c r="FN513" s="119"/>
      <c r="FO513" s="119"/>
      <c r="FP513" s="119"/>
      <c r="FQ513" s="119"/>
      <c r="FR513" s="119"/>
      <c r="FS513" s="119"/>
      <c r="FT513" s="119"/>
      <c r="FU513" s="119"/>
      <c r="FV513" s="119"/>
      <c r="FW513" s="119"/>
      <c r="FX513" s="119"/>
      <c r="FY513" s="119"/>
      <c r="FZ513" s="119"/>
      <c r="GA513" s="119"/>
      <c r="GB513" s="119"/>
      <c r="GC513" s="119"/>
      <c r="GD513" s="119"/>
      <c r="GE513" s="119"/>
      <c r="GF513" s="119"/>
      <c r="GG513" s="119"/>
      <c r="GH513" s="119"/>
      <c r="GI513" s="119"/>
      <c r="GJ513" s="119"/>
      <c r="GK513" s="119"/>
      <c r="GL513" s="119"/>
      <c r="GM513" s="119"/>
      <c r="GN513" s="119"/>
      <c r="GO513" s="119"/>
      <c r="GP513" s="119"/>
      <c r="GQ513" s="119"/>
      <c r="GR513" s="119"/>
      <c r="GS513" s="119"/>
      <c r="GT513" s="119"/>
      <c r="GU513" s="119"/>
      <c r="GV513" s="119"/>
      <c r="GW513" s="119"/>
      <c r="GX513" s="119"/>
      <c r="GY513" s="119"/>
      <c r="GZ513" s="119"/>
      <c r="HA513" s="119"/>
      <c r="HB513" s="119"/>
      <c r="HC513" s="119"/>
      <c r="HD513" s="119"/>
      <c r="HE513" s="119"/>
      <c r="HF513" s="119"/>
      <c r="HG513" s="119"/>
      <c r="HH513" s="119"/>
      <c r="HI513" s="119"/>
      <c r="HJ513" s="119"/>
      <c r="HK513" s="119"/>
      <c r="HL513" s="119"/>
      <c r="HM513" s="119"/>
      <c r="HN513" s="119"/>
      <c r="HO513" s="119"/>
      <c r="HP513" s="119"/>
      <c r="HQ513" s="119"/>
      <c r="HR513" s="119"/>
      <c r="HS513" s="119"/>
      <c r="HT513" s="119"/>
      <c r="HU513" s="119"/>
      <c r="HV513" s="119"/>
      <c r="HW513" s="119"/>
      <c r="HX513" s="119"/>
      <c r="HY513" s="119"/>
      <c r="HZ513" s="119"/>
      <c r="IA513" s="119"/>
      <c r="IB513" s="119"/>
      <c r="IC513" s="119"/>
      <c r="ID513" s="119"/>
      <c r="IE513" s="119"/>
      <c r="IF513" s="119"/>
      <c r="IG513" s="119"/>
      <c r="IH513" s="119"/>
      <c r="II513" s="119"/>
      <c r="IJ513" s="119"/>
      <c r="IK513" s="119"/>
      <c r="IL513" s="119"/>
      <c r="IM513" s="119"/>
      <c r="IN513" s="119"/>
      <c r="IO513" s="119"/>
      <c r="IP513" s="119"/>
      <c r="IQ513" s="119"/>
      <c r="IR513" s="119"/>
      <c r="IS513" s="119"/>
      <c r="IT513" s="119"/>
      <c r="IU513" s="119"/>
      <c r="IV513" s="119"/>
      <c r="IW513" s="119"/>
      <c r="IX513" s="119"/>
      <c r="IY513" s="119"/>
      <c r="IZ513" s="119"/>
      <c r="JA513" s="119"/>
      <c r="JB513" s="119"/>
      <c r="JC513" s="119"/>
      <c r="JD513" s="119"/>
      <c r="JE513" s="119"/>
      <c r="JF513" s="119"/>
      <c r="JG513" s="119"/>
      <c r="JH513" s="119"/>
      <c r="JI513" s="119"/>
      <c r="JJ513" s="119"/>
      <c r="JK513" s="119"/>
      <c r="JL513" s="119"/>
      <c r="JM513" s="119"/>
      <c r="JN513" s="119"/>
      <c r="JO513" s="119"/>
      <c r="JP513" s="119"/>
      <c r="JQ513" s="119"/>
      <c r="JR513" s="119"/>
      <c r="JS513" s="119"/>
      <c r="JT513" s="119"/>
      <c r="JU513" s="119"/>
      <c r="JV513" s="119"/>
      <c r="JW513" s="119"/>
      <c r="JX513" s="119"/>
      <c r="JY513" s="119"/>
      <c r="JZ513" s="119"/>
      <c r="KA513" s="119"/>
      <c r="KB513" s="119"/>
      <c r="KC513" s="119"/>
      <c r="KD513" s="119"/>
      <c r="KE513" s="119"/>
      <c r="KF513" s="119"/>
      <c r="KG513" s="119"/>
      <c r="KH513" s="119"/>
      <c r="KI513" s="119"/>
      <c r="KJ513" s="119"/>
      <c r="KK513" s="119"/>
      <c r="KL513" s="119"/>
      <c r="KM513" s="119"/>
      <c r="KN513" s="119"/>
      <c r="KO513" s="119"/>
      <c r="KP513" s="119"/>
      <c r="KQ513" s="119"/>
      <c r="KR513" s="119"/>
      <c r="KS513" s="119"/>
      <c r="KT513" s="119"/>
      <c r="KU513" s="119"/>
      <c r="KV513" s="119"/>
      <c r="KW513" s="119"/>
      <c r="KX513" s="119"/>
      <c r="KY513" s="119"/>
      <c r="KZ513" s="119"/>
      <c r="LA513" s="119"/>
      <c r="LB513" s="119"/>
      <c r="LC513" s="119"/>
      <c r="LD513" s="119"/>
      <c r="LE513" s="119"/>
      <c r="LF513" s="119"/>
      <c r="LG513" s="119"/>
      <c r="LH513" s="119"/>
      <c r="LI513" s="119"/>
      <c r="LJ513" s="119"/>
      <c r="LK513" s="119"/>
      <c r="LL513" s="119"/>
      <c r="LM513" s="119"/>
      <c r="LN513" s="119"/>
      <c r="LO513" s="119"/>
      <c r="LP513" s="119"/>
      <c r="LQ513" s="119"/>
      <c r="LR513" s="119"/>
      <c r="LS513" s="119"/>
      <c r="LT513" s="119"/>
      <c r="LU513" s="119"/>
      <c r="LV513" s="119"/>
      <c r="LW513" s="119"/>
      <c r="LX513" s="119"/>
      <c r="LY513" s="119"/>
      <c r="LZ513" s="119"/>
      <c r="MA513" s="119"/>
      <c r="MB513" s="119"/>
      <c r="MC513" s="119"/>
      <c r="MD513" s="119"/>
      <c r="ME513" s="119"/>
      <c r="MF513" s="119"/>
      <c r="MG513" s="119"/>
      <c r="MH513" s="119"/>
      <c r="MI513" s="119"/>
      <c r="MJ513" s="119"/>
      <c r="MK513" s="119"/>
      <c r="ML513" s="119"/>
      <c r="MM513" s="119"/>
      <c r="MN513" s="119"/>
      <c r="MO513" s="119"/>
      <c r="MP513" s="119"/>
      <c r="MQ513" s="119"/>
      <c r="MR513" s="119"/>
      <c r="MS513" s="119"/>
      <c r="MT513" s="119"/>
      <c r="MU513" s="119"/>
      <c r="MV513" s="119"/>
      <c r="MW513" s="119"/>
      <c r="MX513" s="119"/>
      <c r="MY513" s="119"/>
      <c r="MZ513" s="119"/>
    </row>
    <row r="514" spans="1:364" s="27" customFormat="1" x14ac:dyDescent="0.25">
      <c r="A514" s="123"/>
      <c r="B514" s="123"/>
      <c r="C514" s="126"/>
      <c r="D514" s="129"/>
      <c r="E514" s="109"/>
      <c r="F514" s="131"/>
      <c r="G514" s="132"/>
      <c r="H514" s="114" t="s">
        <v>149</v>
      </c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19"/>
      <c r="T514" s="119"/>
      <c r="U514" s="119"/>
      <c r="V514" s="119"/>
      <c r="W514" s="119"/>
      <c r="X514" s="119"/>
      <c r="Y514" s="119"/>
      <c r="Z514" s="119"/>
      <c r="AA514" s="119"/>
      <c r="AB514" s="119"/>
      <c r="AC514" s="119"/>
      <c r="AD514" s="119"/>
      <c r="AE514" s="119"/>
      <c r="AF514" s="119"/>
      <c r="AG514" s="119"/>
      <c r="AH514" s="119"/>
      <c r="AI514" s="119"/>
      <c r="AJ514" s="119"/>
      <c r="AK514" s="119"/>
      <c r="AL514" s="119"/>
      <c r="AM514" s="119"/>
      <c r="AN514" s="119"/>
      <c r="AO514" s="119"/>
      <c r="AP514" s="119"/>
      <c r="AQ514" s="119"/>
      <c r="AR514" s="119"/>
      <c r="AS514" s="119"/>
      <c r="AT514" s="119"/>
      <c r="AU514" s="119"/>
      <c r="AV514" s="119"/>
      <c r="AW514" s="119"/>
      <c r="AX514" s="119"/>
      <c r="AY514" s="119"/>
      <c r="AZ514" s="119"/>
      <c r="BA514" s="119"/>
      <c r="BB514" s="119"/>
      <c r="BC514" s="119"/>
      <c r="BD514" s="119"/>
      <c r="BE514" s="119"/>
      <c r="BF514" s="119"/>
      <c r="BG514" s="119"/>
      <c r="BH514" s="119"/>
      <c r="BI514" s="119"/>
      <c r="BJ514" s="119"/>
      <c r="BK514" s="119"/>
      <c r="BL514" s="26"/>
      <c r="BM514" s="119"/>
      <c r="BN514" s="119"/>
      <c r="BO514" s="119"/>
      <c r="BP514" s="119"/>
      <c r="BQ514" s="119"/>
      <c r="BR514" s="119"/>
      <c r="BS514" s="119"/>
      <c r="BT514" s="119"/>
      <c r="BU514" s="119"/>
      <c r="BV514" s="119"/>
      <c r="BW514" s="119"/>
      <c r="BX514" s="119"/>
      <c r="BY514" s="119"/>
      <c r="BZ514" s="119"/>
      <c r="CA514" s="119"/>
      <c r="CB514" s="119"/>
      <c r="CC514" s="119"/>
      <c r="CD514" s="119"/>
      <c r="CE514" s="119"/>
      <c r="CF514" s="119"/>
      <c r="CG514" s="119"/>
      <c r="CH514" s="119"/>
      <c r="CI514" s="119"/>
      <c r="CJ514" s="119"/>
      <c r="CK514" s="119"/>
      <c r="CL514" s="119"/>
      <c r="CM514" s="119"/>
      <c r="CN514" s="119"/>
      <c r="CO514" s="119"/>
      <c r="CP514" s="119"/>
      <c r="CQ514" s="119"/>
      <c r="CR514" s="119"/>
      <c r="CS514" s="119"/>
      <c r="CT514" s="119"/>
      <c r="CU514" s="119"/>
      <c r="CV514" s="119"/>
      <c r="CW514" s="119"/>
      <c r="CX514" s="119"/>
      <c r="CY514" s="119"/>
      <c r="CZ514" s="119"/>
      <c r="DA514" s="119"/>
      <c r="DB514" s="119"/>
      <c r="DC514" s="119"/>
      <c r="DD514" s="119"/>
      <c r="DE514" s="119"/>
      <c r="DF514" s="119"/>
      <c r="DG514" s="119"/>
      <c r="DH514" s="119"/>
      <c r="DI514" s="119"/>
      <c r="DJ514" s="119"/>
      <c r="DK514" s="119"/>
      <c r="DL514" s="119"/>
      <c r="DM514" s="119"/>
      <c r="DN514" s="119"/>
      <c r="DO514" s="119"/>
      <c r="DP514" s="119"/>
      <c r="DQ514" s="119"/>
      <c r="DR514" s="119"/>
      <c r="DS514" s="119"/>
      <c r="DT514" s="119"/>
      <c r="DU514" s="119"/>
      <c r="DV514" s="119"/>
      <c r="DW514" s="119"/>
      <c r="DX514" s="119"/>
      <c r="DY514" s="119"/>
      <c r="DZ514" s="119"/>
      <c r="EA514" s="119"/>
      <c r="EB514" s="119"/>
      <c r="EC514" s="119"/>
      <c r="ED514" s="119"/>
      <c r="EE514" s="119"/>
      <c r="EF514" s="119"/>
      <c r="EG514" s="119"/>
      <c r="EH514" s="119"/>
      <c r="EI514" s="119"/>
      <c r="EJ514" s="119"/>
      <c r="EK514" s="119"/>
      <c r="EL514" s="119"/>
      <c r="EM514" s="119"/>
      <c r="EN514" s="119"/>
      <c r="EO514" s="119"/>
      <c r="EP514" s="119"/>
      <c r="EQ514" s="119"/>
      <c r="ER514" s="119"/>
      <c r="ES514" s="119"/>
      <c r="ET514" s="119"/>
      <c r="EU514" s="119"/>
      <c r="EV514" s="119"/>
      <c r="EW514" s="119"/>
      <c r="EX514" s="119"/>
      <c r="EY514" s="119"/>
      <c r="EZ514" s="119"/>
      <c r="FA514" s="119"/>
      <c r="FB514" s="119"/>
      <c r="FC514" s="119"/>
      <c r="FD514" s="119"/>
      <c r="FE514" s="119"/>
      <c r="FF514" s="119"/>
      <c r="FG514" s="119"/>
      <c r="FH514" s="119"/>
      <c r="FI514" s="119"/>
      <c r="FJ514" s="119"/>
      <c r="FK514" s="119"/>
      <c r="FL514" s="119"/>
      <c r="FM514" s="119"/>
      <c r="FN514" s="119"/>
      <c r="FO514" s="119"/>
      <c r="FP514" s="119"/>
      <c r="FQ514" s="119"/>
      <c r="FR514" s="119"/>
      <c r="FS514" s="119"/>
      <c r="FT514" s="119"/>
      <c r="FU514" s="119"/>
      <c r="FV514" s="119"/>
      <c r="FW514" s="119"/>
      <c r="FX514" s="119"/>
      <c r="FY514" s="119"/>
      <c r="FZ514" s="119"/>
      <c r="GA514" s="119"/>
      <c r="GB514" s="119"/>
      <c r="GC514" s="119"/>
      <c r="GD514" s="119"/>
      <c r="GE514" s="119"/>
      <c r="GF514" s="119"/>
      <c r="GG514" s="119"/>
      <c r="GH514" s="119"/>
      <c r="GI514" s="119"/>
      <c r="GJ514" s="119"/>
      <c r="GK514" s="119"/>
      <c r="GL514" s="119"/>
      <c r="GM514" s="119"/>
      <c r="GN514" s="119"/>
      <c r="GO514" s="119"/>
      <c r="GP514" s="119"/>
      <c r="GQ514" s="119"/>
      <c r="GR514" s="119"/>
      <c r="GS514" s="119"/>
      <c r="GT514" s="119"/>
      <c r="GU514" s="119"/>
      <c r="GV514" s="119"/>
      <c r="GW514" s="119"/>
      <c r="GX514" s="119"/>
      <c r="GY514" s="119"/>
      <c r="GZ514" s="119"/>
      <c r="HA514" s="119"/>
      <c r="HB514" s="119"/>
      <c r="HC514" s="119"/>
      <c r="HD514" s="119"/>
      <c r="HE514" s="119"/>
      <c r="HF514" s="119"/>
      <c r="HG514" s="119"/>
      <c r="HH514" s="119"/>
      <c r="HI514" s="119"/>
      <c r="HJ514" s="119"/>
      <c r="HK514" s="119"/>
      <c r="HL514" s="119"/>
      <c r="HM514" s="119"/>
      <c r="HN514" s="119"/>
      <c r="HO514" s="119"/>
      <c r="HP514" s="119"/>
      <c r="HQ514" s="119"/>
      <c r="HR514" s="119"/>
      <c r="HS514" s="119"/>
      <c r="HT514" s="119"/>
      <c r="HU514" s="119"/>
      <c r="HV514" s="119"/>
      <c r="HW514" s="119"/>
      <c r="HX514" s="119"/>
      <c r="HY514" s="119"/>
      <c r="HZ514" s="119"/>
      <c r="IA514" s="119"/>
      <c r="IB514" s="119"/>
      <c r="IC514" s="119"/>
      <c r="ID514" s="119"/>
      <c r="IE514" s="119"/>
      <c r="IF514" s="119"/>
      <c r="IG514" s="119"/>
      <c r="IH514" s="119"/>
      <c r="II514" s="119"/>
      <c r="IJ514" s="119"/>
      <c r="IK514" s="119"/>
      <c r="IL514" s="119"/>
      <c r="IM514" s="119"/>
      <c r="IN514" s="119"/>
      <c r="IO514" s="119"/>
      <c r="IP514" s="119"/>
      <c r="IQ514" s="119"/>
      <c r="IR514" s="119"/>
      <c r="IS514" s="119"/>
      <c r="IT514" s="119"/>
      <c r="IU514" s="119"/>
      <c r="IV514" s="119"/>
      <c r="IW514" s="119"/>
      <c r="IX514" s="119"/>
      <c r="IY514" s="119"/>
      <c r="IZ514" s="119"/>
      <c r="JA514" s="119"/>
      <c r="JB514" s="119"/>
      <c r="JC514" s="119"/>
      <c r="JD514" s="119"/>
      <c r="JE514" s="119"/>
      <c r="JF514" s="119"/>
      <c r="JG514" s="119"/>
      <c r="JH514" s="119"/>
      <c r="JI514" s="119"/>
      <c r="JJ514" s="119"/>
      <c r="JK514" s="119"/>
      <c r="JL514" s="119"/>
      <c r="JM514" s="119"/>
      <c r="JN514" s="119"/>
      <c r="JO514" s="119"/>
      <c r="JP514" s="119"/>
      <c r="JQ514" s="119"/>
      <c r="JR514" s="119"/>
      <c r="JS514" s="119"/>
      <c r="JT514" s="119"/>
      <c r="JU514" s="119"/>
      <c r="JV514" s="119"/>
      <c r="JW514" s="119"/>
      <c r="JX514" s="119"/>
      <c r="JY514" s="119"/>
      <c r="JZ514" s="119"/>
      <c r="KA514" s="119"/>
      <c r="KB514" s="119"/>
      <c r="KC514" s="119"/>
      <c r="KD514" s="119"/>
      <c r="KE514" s="119"/>
      <c r="KF514" s="119"/>
      <c r="KG514" s="119"/>
      <c r="KH514" s="119"/>
      <c r="KI514" s="119"/>
      <c r="KJ514" s="119"/>
      <c r="KK514" s="119"/>
      <c r="KL514" s="119"/>
      <c r="KM514" s="119"/>
      <c r="KN514" s="119"/>
      <c r="KO514" s="119"/>
      <c r="KP514" s="119"/>
      <c r="KQ514" s="119"/>
      <c r="KR514" s="119"/>
      <c r="KS514" s="119"/>
      <c r="KT514" s="119"/>
      <c r="KU514" s="119"/>
      <c r="KV514" s="119"/>
      <c r="KW514" s="119"/>
      <c r="KX514" s="119"/>
      <c r="KY514" s="119"/>
      <c r="KZ514" s="119"/>
      <c r="LA514" s="119"/>
      <c r="LB514" s="119"/>
      <c r="LC514" s="119"/>
      <c r="LD514" s="119"/>
      <c r="LE514" s="119"/>
      <c r="LF514" s="119"/>
      <c r="LG514" s="119"/>
      <c r="LH514" s="119"/>
      <c r="LI514" s="119"/>
      <c r="LJ514" s="119"/>
      <c r="LK514" s="119"/>
      <c r="LL514" s="119"/>
      <c r="LM514" s="119"/>
      <c r="LN514" s="119"/>
      <c r="LO514" s="119"/>
      <c r="LP514" s="119"/>
      <c r="LQ514" s="119"/>
      <c r="LR514" s="119"/>
      <c r="LS514" s="119"/>
      <c r="LT514" s="119"/>
      <c r="LU514" s="119"/>
      <c r="LV514" s="119"/>
      <c r="LW514" s="119"/>
      <c r="LX514" s="119"/>
      <c r="LY514" s="119"/>
      <c r="LZ514" s="119"/>
      <c r="MA514" s="119"/>
      <c r="MB514" s="119"/>
      <c r="MC514" s="119"/>
      <c r="MD514" s="119"/>
      <c r="ME514" s="119"/>
      <c r="MF514" s="119"/>
      <c r="MG514" s="119"/>
      <c r="MH514" s="119"/>
      <c r="MI514" s="119"/>
      <c r="MJ514" s="119"/>
      <c r="MK514" s="119"/>
      <c r="ML514" s="119"/>
      <c r="MM514" s="119"/>
      <c r="MN514" s="119"/>
      <c r="MO514" s="119"/>
      <c r="MP514" s="119"/>
      <c r="MQ514" s="119"/>
      <c r="MR514" s="119"/>
      <c r="MS514" s="119"/>
      <c r="MT514" s="119"/>
      <c r="MU514" s="119"/>
      <c r="MV514" s="119"/>
      <c r="MW514" s="119"/>
      <c r="MX514" s="119"/>
      <c r="MY514" s="119"/>
      <c r="MZ514" s="119"/>
    </row>
    <row r="515" spans="1:364" s="27" customFormat="1" x14ac:dyDescent="0.25">
      <c r="A515" s="121"/>
      <c r="B515" s="124" t="e">
        <f>VLOOKUP(A515,Rules!$B$8:$C$154,2,0)</f>
        <v>#N/A</v>
      </c>
      <c r="C515" s="125">
        <f t="shared" ref="C515" si="28">SUM(I516:XX516)</f>
        <v>0</v>
      </c>
      <c r="D515" s="127"/>
      <c r="E515" s="110" t="s">
        <v>492</v>
      </c>
      <c r="F515" s="130" t="e">
        <f>VLOOKUP(A515,Table2[],10,0)</f>
        <v>#N/A</v>
      </c>
      <c r="G515" s="130"/>
      <c r="H515" s="113" t="s">
        <v>440</v>
      </c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9"/>
      <c r="T515" s="119"/>
      <c r="U515" s="119"/>
      <c r="V515" s="119"/>
      <c r="W515" s="119"/>
      <c r="X515" s="119"/>
      <c r="Y515" s="119"/>
      <c r="Z515" s="119"/>
      <c r="AA515" s="119"/>
      <c r="AB515" s="119"/>
      <c r="AC515" s="119"/>
      <c r="AD515" s="119"/>
      <c r="AE515" s="119"/>
      <c r="AF515" s="119"/>
      <c r="AG515" s="119"/>
      <c r="AH515" s="119"/>
      <c r="AI515" s="119"/>
      <c r="AJ515" s="119"/>
      <c r="AK515" s="119"/>
      <c r="AL515" s="119"/>
      <c r="AM515" s="119"/>
      <c r="AN515" s="119"/>
      <c r="AO515" s="119"/>
      <c r="AP515" s="119"/>
      <c r="AQ515" s="119"/>
      <c r="AR515" s="119"/>
      <c r="AS515" s="119"/>
      <c r="AT515" s="119"/>
      <c r="AU515" s="119"/>
      <c r="AV515" s="119"/>
      <c r="AW515" s="119"/>
      <c r="AX515" s="119"/>
      <c r="AY515" s="119"/>
      <c r="AZ515" s="119"/>
      <c r="BA515" s="119"/>
      <c r="BB515" s="119"/>
      <c r="BC515" s="119"/>
      <c r="BD515" s="119"/>
      <c r="BE515" s="119"/>
      <c r="BF515" s="119"/>
      <c r="BG515" s="119"/>
      <c r="BH515" s="119"/>
      <c r="BI515" s="119"/>
      <c r="BJ515" s="119"/>
      <c r="BK515" s="119"/>
      <c r="BL515" s="26"/>
      <c r="BM515" s="119"/>
      <c r="BN515" s="26"/>
      <c r="BO515" s="119"/>
      <c r="BP515" s="119"/>
      <c r="BQ515" s="119"/>
      <c r="BR515" s="119"/>
      <c r="BS515" s="119"/>
      <c r="BT515" s="119"/>
      <c r="BU515" s="119"/>
      <c r="BV515" s="119"/>
      <c r="BW515" s="119"/>
      <c r="BX515" s="119"/>
      <c r="BY515" s="119"/>
      <c r="BZ515" s="119"/>
      <c r="CA515" s="119"/>
      <c r="CB515" s="119"/>
      <c r="CC515" s="119"/>
      <c r="CD515" s="119"/>
      <c r="CE515" s="119"/>
      <c r="CF515" s="119"/>
      <c r="CG515" s="119"/>
      <c r="CH515" s="119"/>
      <c r="CI515" s="119"/>
      <c r="CJ515" s="119"/>
      <c r="CK515" s="119"/>
      <c r="CL515" s="119"/>
      <c r="CM515" s="119"/>
      <c r="CN515" s="119"/>
      <c r="CO515" s="119"/>
      <c r="CP515" s="119"/>
      <c r="CQ515" s="119"/>
      <c r="CR515" s="119"/>
      <c r="CS515" s="119"/>
      <c r="CT515" s="119"/>
      <c r="CU515" s="119"/>
      <c r="CV515" s="119"/>
      <c r="CW515" s="119"/>
      <c r="CX515" s="119"/>
      <c r="CY515" s="119"/>
      <c r="CZ515" s="119"/>
      <c r="DA515" s="119"/>
      <c r="DB515" s="119"/>
      <c r="DC515" s="119"/>
      <c r="DD515" s="119"/>
      <c r="DE515" s="119"/>
      <c r="DF515" s="119"/>
      <c r="DG515" s="119"/>
      <c r="DH515" s="119"/>
      <c r="DI515" s="119"/>
      <c r="DJ515" s="119"/>
      <c r="DK515" s="119"/>
      <c r="DL515" s="119"/>
      <c r="DM515" s="119"/>
      <c r="DN515" s="119"/>
      <c r="DO515" s="119"/>
      <c r="DP515" s="119"/>
      <c r="DQ515" s="119"/>
      <c r="DR515" s="119"/>
      <c r="DS515" s="119"/>
      <c r="DT515" s="119"/>
      <c r="DU515" s="119"/>
      <c r="DV515" s="119"/>
      <c r="DW515" s="119"/>
      <c r="DX515" s="119"/>
      <c r="DY515" s="119"/>
      <c r="DZ515" s="119"/>
      <c r="EA515" s="119"/>
      <c r="EB515" s="119"/>
      <c r="EC515" s="119"/>
      <c r="ED515" s="119"/>
      <c r="EE515" s="119"/>
      <c r="EF515" s="119"/>
      <c r="EG515" s="119"/>
      <c r="EH515" s="119"/>
      <c r="EI515" s="119"/>
      <c r="EJ515" s="119"/>
      <c r="EK515" s="119"/>
      <c r="EL515" s="119"/>
      <c r="EM515" s="119"/>
      <c r="EN515" s="119"/>
      <c r="EO515" s="119"/>
      <c r="EP515" s="119"/>
      <c r="EQ515" s="119"/>
      <c r="ER515" s="119"/>
      <c r="ES515" s="119"/>
      <c r="ET515" s="119"/>
      <c r="EU515" s="119"/>
      <c r="EV515" s="119"/>
      <c r="EW515" s="119"/>
      <c r="EX515" s="119"/>
      <c r="EY515" s="119"/>
      <c r="EZ515" s="119"/>
      <c r="FA515" s="119"/>
      <c r="FB515" s="119"/>
      <c r="FC515" s="119"/>
      <c r="FD515" s="119"/>
      <c r="FE515" s="119"/>
      <c r="FF515" s="119"/>
      <c r="FG515" s="119"/>
      <c r="FH515" s="119"/>
      <c r="FI515" s="119"/>
      <c r="FJ515" s="119"/>
      <c r="FK515" s="119"/>
      <c r="FL515" s="119"/>
      <c r="FM515" s="119"/>
      <c r="FN515" s="119"/>
      <c r="FO515" s="119"/>
      <c r="FP515" s="119"/>
      <c r="FQ515" s="119"/>
      <c r="FR515" s="119"/>
      <c r="FS515" s="119"/>
      <c r="FT515" s="119"/>
      <c r="FU515" s="119"/>
      <c r="FV515" s="119"/>
      <c r="FW515" s="119"/>
      <c r="FX515" s="119"/>
      <c r="FY515" s="119"/>
      <c r="FZ515" s="119"/>
      <c r="GA515" s="119"/>
      <c r="GB515" s="119"/>
      <c r="GC515" s="119"/>
      <c r="GD515" s="119"/>
      <c r="GE515" s="119"/>
      <c r="GF515" s="119"/>
      <c r="GG515" s="119"/>
      <c r="GH515" s="119"/>
      <c r="GI515" s="119"/>
      <c r="GJ515" s="119"/>
      <c r="GK515" s="119"/>
      <c r="GL515" s="119"/>
      <c r="GM515" s="119"/>
      <c r="GN515" s="119"/>
      <c r="GO515" s="119"/>
      <c r="GP515" s="119"/>
      <c r="GQ515" s="119"/>
      <c r="GR515" s="119"/>
      <c r="GS515" s="119"/>
      <c r="GT515" s="119"/>
      <c r="GU515" s="119"/>
      <c r="GV515" s="119"/>
      <c r="GW515" s="119"/>
      <c r="GX515" s="119"/>
      <c r="GY515" s="119"/>
      <c r="GZ515" s="119"/>
      <c r="HA515" s="119"/>
      <c r="HB515" s="119"/>
      <c r="HC515" s="119"/>
      <c r="HD515" s="119"/>
      <c r="HE515" s="119"/>
      <c r="HF515" s="119"/>
      <c r="HG515" s="119"/>
      <c r="HH515" s="119"/>
      <c r="HI515" s="119"/>
      <c r="HJ515" s="119"/>
      <c r="HK515" s="119"/>
      <c r="HL515" s="119"/>
      <c r="HM515" s="119"/>
      <c r="HN515" s="119"/>
      <c r="HO515" s="119"/>
      <c r="HP515" s="119"/>
      <c r="HQ515" s="119"/>
      <c r="HR515" s="119"/>
      <c r="HS515" s="119"/>
      <c r="HT515" s="119"/>
      <c r="HU515" s="119"/>
      <c r="HV515" s="119"/>
      <c r="HW515" s="119"/>
      <c r="HX515" s="119"/>
      <c r="HY515" s="119"/>
      <c r="HZ515" s="119"/>
      <c r="IA515" s="119"/>
      <c r="IB515" s="119"/>
      <c r="IC515" s="119"/>
      <c r="ID515" s="119"/>
      <c r="IE515" s="119"/>
      <c r="IF515" s="119"/>
      <c r="IG515" s="119"/>
      <c r="IH515" s="119"/>
      <c r="II515" s="119"/>
      <c r="IJ515" s="119"/>
      <c r="IK515" s="119"/>
      <c r="IL515" s="119"/>
      <c r="IM515" s="119"/>
      <c r="IN515" s="119"/>
      <c r="IO515" s="119"/>
      <c r="IP515" s="119"/>
      <c r="IQ515" s="119"/>
      <c r="IR515" s="119"/>
      <c r="IS515" s="119"/>
      <c r="IT515" s="119"/>
      <c r="IU515" s="119"/>
      <c r="IV515" s="119"/>
      <c r="IW515" s="119"/>
      <c r="IX515" s="119"/>
      <c r="IY515" s="119"/>
      <c r="IZ515" s="119"/>
      <c r="JA515" s="119"/>
      <c r="JB515" s="119"/>
      <c r="JC515" s="119"/>
      <c r="JD515" s="119"/>
      <c r="JE515" s="119"/>
      <c r="JF515" s="119"/>
      <c r="JG515" s="119"/>
      <c r="JH515" s="119"/>
      <c r="JI515" s="119"/>
      <c r="JJ515" s="119"/>
      <c r="JK515" s="119"/>
      <c r="JL515" s="119"/>
      <c r="JM515" s="119"/>
      <c r="JN515" s="119"/>
      <c r="JO515" s="119"/>
      <c r="JP515" s="119"/>
      <c r="JQ515" s="119"/>
      <c r="JR515" s="119"/>
      <c r="JS515" s="119"/>
      <c r="JT515" s="119"/>
      <c r="JU515" s="119"/>
      <c r="JV515" s="119"/>
      <c r="JW515" s="119"/>
      <c r="JX515" s="119"/>
      <c r="JY515" s="119"/>
      <c r="JZ515" s="119"/>
      <c r="KA515" s="119"/>
      <c r="KB515" s="119"/>
      <c r="KC515" s="119"/>
      <c r="KD515" s="119"/>
      <c r="KE515" s="119"/>
      <c r="KF515" s="119"/>
      <c r="KG515" s="119"/>
      <c r="KH515" s="119"/>
      <c r="KI515" s="119"/>
      <c r="KJ515" s="119"/>
      <c r="KK515" s="119"/>
      <c r="KL515" s="119"/>
      <c r="KM515" s="119"/>
      <c r="KN515" s="119"/>
      <c r="KO515" s="119"/>
      <c r="KP515" s="119"/>
      <c r="KQ515" s="119"/>
      <c r="KR515" s="119"/>
      <c r="KS515" s="119"/>
      <c r="KT515" s="119"/>
      <c r="KU515" s="119"/>
      <c r="KV515" s="119"/>
      <c r="KW515" s="119"/>
      <c r="KX515" s="119"/>
      <c r="KY515" s="119"/>
      <c r="KZ515" s="119"/>
      <c r="LA515" s="119"/>
      <c r="LB515" s="119"/>
      <c r="LC515" s="119"/>
      <c r="LD515" s="119"/>
      <c r="LE515" s="119"/>
      <c r="LF515" s="119"/>
      <c r="LG515" s="119"/>
      <c r="LH515" s="119"/>
      <c r="LI515" s="119"/>
      <c r="LJ515" s="119"/>
      <c r="LK515" s="119"/>
      <c r="LL515" s="119"/>
      <c r="LM515" s="119"/>
      <c r="LN515" s="119"/>
      <c r="LO515" s="119"/>
      <c r="LP515" s="119"/>
      <c r="LQ515" s="119"/>
      <c r="LR515" s="119"/>
      <c r="LS515" s="119"/>
      <c r="LT515" s="119"/>
      <c r="LU515" s="119"/>
      <c r="LV515" s="119"/>
      <c r="LW515" s="119"/>
      <c r="LX515" s="119"/>
      <c r="LY515" s="119"/>
      <c r="LZ515" s="119"/>
      <c r="MA515" s="119"/>
      <c r="MB515" s="119"/>
      <c r="MC515" s="119"/>
      <c r="MD515" s="119"/>
      <c r="ME515" s="119"/>
      <c r="MF515" s="119"/>
      <c r="MG515" s="119"/>
      <c r="MH515" s="119"/>
      <c r="MI515" s="119"/>
      <c r="MJ515" s="119"/>
      <c r="MK515" s="119"/>
      <c r="ML515" s="119"/>
      <c r="MM515" s="119"/>
      <c r="MN515" s="119"/>
      <c r="MO515" s="119"/>
      <c r="MP515" s="119"/>
      <c r="MQ515" s="119"/>
      <c r="MR515" s="119"/>
      <c r="MS515" s="119"/>
      <c r="MT515" s="119"/>
      <c r="MU515" s="119"/>
      <c r="MV515" s="119"/>
      <c r="MW515" s="119"/>
      <c r="MX515" s="119"/>
      <c r="MY515" s="119"/>
      <c r="MZ515" s="119"/>
    </row>
    <row r="516" spans="1:364" s="27" customFormat="1" x14ac:dyDescent="0.25">
      <c r="A516" s="122"/>
      <c r="B516" s="122"/>
      <c r="C516" s="126"/>
      <c r="D516" s="128"/>
      <c r="E516" s="109"/>
      <c r="F516" s="131"/>
      <c r="G516" s="131"/>
      <c r="H516" s="105" t="s">
        <v>439</v>
      </c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9"/>
      <c r="T516" s="119"/>
      <c r="U516" s="119"/>
      <c r="V516" s="119"/>
      <c r="W516" s="119"/>
      <c r="X516" s="119"/>
      <c r="Y516" s="119"/>
      <c r="Z516" s="119"/>
      <c r="AA516" s="119"/>
      <c r="AB516" s="119"/>
      <c r="AC516" s="119"/>
      <c r="AD516" s="119"/>
      <c r="AE516" s="119"/>
      <c r="AF516" s="119"/>
      <c r="AG516" s="119"/>
      <c r="AH516" s="119"/>
      <c r="AI516" s="119"/>
      <c r="AJ516" s="119"/>
      <c r="AK516" s="119"/>
      <c r="AL516" s="119"/>
      <c r="AM516" s="119"/>
      <c r="AN516" s="119"/>
      <c r="AO516" s="119"/>
      <c r="AP516" s="119"/>
      <c r="AQ516" s="119"/>
      <c r="AR516" s="119"/>
      <c r="AS516" s="119"/>
      <c r="AT516" s="119"/>
      <c r="AU516" s="119"/>
      <c r="AV516" s="119"/>
      <c r="AW516" s="119"/>
      <c r="AX516" s="119"/>
      <c r="AY516" s="119"/>
      <c r="AZ516" s="119"/>
      <c r="BA516" s="119"/>
      <c r="BB516" s="119"/>
      <c r="BC516" s="119"/>
      <c r="BD516" s="119"/>
      <c r="BE516" s="119"/>
      <c r="BF516" s="119"/>
      <c r="BG516" s="119"/>
      <c r="BH516" s="119"/>
      <c r="BI516" s="119"/>
      <c r="BJ516" s="119"/>
      <c r="BK516" s="119"/>
      <c r="BL516" s="26"/>
      <c r="BM516" s="119"/>
      <c r="BN516" s="26"/>
      <c r="BO516" s="119"/>
      <c r="BP516" s="119"/>
      <c r="BQ516" s="119"/>
      <c r="BR516" s="119"/>
      <c r="BS516" s="119"/>
      <c r="BT516" s="119"/>
      <c r="BU516" s="119"/>
      <c r="BV516" s="119"/>
      <c r="BW516" s="119"/>
      <c r="BX516" s="119"/>
      <c r="BY516" s="119"/>
      <c r="BZ516" s="119"/>
      <c r="CA516" s="119"/>
      <c r="CB516" s="119"/>
      <c r="CC516" s="119"/>
      <c r="CD516" s="119"/>
      <c r="CE516" s="119"/>
      <c r="CF516" s="119"/>
      <c r="CG516" s="119"/>
      <c r="CH516" s="119"/>
      <c r="CI516" s="119"/>
      <c r="CJ516" s="119"/>
      <c r="CK516" s="119"/>
      <c r="CL516" s="119"/>
      <c r="CM516" s="119"/>
      <c r="CN516" s="119"/>
      <c r="CO516" s="119"/>
      <c r="CP516" s="119"/>
      <c r="CQ516" s="119"/>
      <c r="CR516" s="119"/>
      <c r="CS516" s="119"/>
      <c r="CT516" s="119"/>
      <c r="CU516" s="119"/>
      <c r="CV516" s="119"/>
      <c r="CW516" s="119"/>
      <c r="CX516" s="119"/>
      <c r="CY516" s="119"/>
      <c r="CZ516" s="119"/>
      <c r="DA516" s="119"/>
      <c r="DB516" s="119"/>
      <c r="DC516" s="119"/>
      <c r="DD516" s="119"/>
      <c r="DE516" s="119"/>
      <c r="DF516" s="119"/>
      <c r="DG516" s="119"/>
      <c r="DH516" s="119"/>
      <c r="DI516" s="119"/>
      <c r="DJ516" s="119"/>
      <c r="DK516" s="119"/>
      <c r="DL516" s="119"/>
      <c r="DM516" s="119"/>
      <c r="DN516" s="119"/>
      <c r="DO516" s="119"/>
      <c r="DP516" s="119"/>
      <c r="DQ516" s="119"/>
      <c r="DR516" s="119"/>
      <c r="DS516" s="119"/>
      <c r="DT516" s="119"/>
      <c r="DU516" s="119"/>
      <c r="DV516" s="119"/>
      <c r="DW516" s="119"/>
      <c r="DX516" s="119"/>
      <c r="DY516" s="119"/>
      <c r="DZ516" s="119"/>
      <c r="EA516" s="119"/>
      <c r="EB516" s="119"/>
      <c r="EC516" s="119"/>
      <c r="ED516" s="119"/>
      <c r="EE516" s="119"/>
      <c r="EF516" s="119"/>
      <c r="EG516" s="119"/>
      <c r="EH516" s="119"/>
      <c r="EI516" s="119"/>
      <c r="EJ516" s="119"/>
      <c r="EK516" s="119"/>
      <c r="EL516" s="119"/>
      <c r="EM516" s="119"/>
      <c r="EN516" s="119"/>
      <c r="EO516" s="119"/>
      <c r="EP516" s="119"/>
      <c r="EQ516" s="119"/>
      <c r="ER516" s="119"/>
      <c r="ES516" s="119"/>
      <c r="ET516" s="119"/>
      <c r="EU516" s="119"/>
      <c r="EV516" s="119"/>
      <c r="EW516" s="119"/>
      <c r="EX516" s="119"/>
      <c r="EY516" s="119"/>
      <c r="EZ516" s="119"/>
      <c r="FA516" s="119"/>
      <c r="FB516" s="119"/>
      <c r="FC516" s="119"/>
      <c r="FD516" s="119"/>
      <c r="FE516" s="119"/>
      <c r="FF516" s="119"/>
      <c r="FG516" s="119"/>
      <c r="FH516" s="119"/>
      <c r="FI516" s="119"/>
      <c r="FJ516" s="119"/>
      <c r="FK516" s="119"/>
      <c r="FL516" s="119"/>
      <c r="FM516" s="119"/>
      <c r="FN516" s="119"/>
      <c r="FO516" s="119"/>
      <c r="FP516" s="119"/>
      <c r="FQ516" s="119"/>
      <c r="FR516" s="119"/>
      <c r="FS516" s="119"/>
      <c r="FT516" s="119"/>
      <c r="FU516" s="119"/>
      <c r="FV516" s="119"/>
      <c r="FW516" s="119"/>
      <c r="FX516" s="119"/>
      <c r="FY516" s="119"/>
      <c r="FZ516" s="119"/>
      <c r="GA516" s="119"/>
      <c r="GB516" s="119"/>
      <c r="GC516" s="119"/>
      <c r="GD516" s="119"/>
      <c r="GE516" s="119"/>
      <c r="GF516" s="119"/>
      <c r="GG516" s="119"/>
      <c r="GH516" s="119"/>
      <c r="GI516" s="119"/>
      <c r="GJ516" s="119"/>
      <c r="GK516" s="119"/>
      <c r="GL516" s="119"/>
      <c r="GM516" s="119"/>
      <c r="GN516" s="119"/>
      <c r="GO516" s="119"/>
      <c r="GP516" s="119"/>
      <c r="GQ516" s="119"/>
      <c r="GR516" s="119"/>
      <c r="GS516" s="119"/>
      <c r="GT516" s="119"/>
      <c r="GU516" s="119"/>
      <c r="GV516" s="119"/>
      <c r="GW516" s="119"/>
      <c r="GX516" s="119"/>
      <c r="GY516" s="119"/>
      <c r="GZ516" s="119"/>
      <c r="HA516" s="119"/>
      <c r="HB516" s="119"/>
      <c r="HC516" s="119"/>
      <c r="HD516" s="119"/>
      <c r="HE516" s="119"/>
      <c r="HF516" s="119"/>
      <c r="HG516" s="119"/>
      <c r="HH516" s="119"/>
      <c r="HI516" s="119"/>
      <c r="HJ516" s="119"/>
      <c r="HK516" s="119"/>
      <c r="HL516" s="119"/>
      <c r="HM516" s="119"/>
      <c r="HN516" s="119"/>
      <c r="HO516" s="119"/>
      <c r="HP516" s="119"/>
      <c r="HQ516" s="119"/>
      <c r="HR516" s="119"/>
      <c r="HS516" s="119"/>
      <c r="HT516" s="119"/>
      <c r="HU516" s="119"/>
      <c r="HV516" s="119"/>
      <c r="HW516" s="119"/>
      <c r="HX516" s="119"/>
      <c r="HY516" s="119"/>
      <c r="HZ516" s="119"/>
      <c r="IA516" s="119"/>
      <c r="IB516" s="119"/>
      <c r="IC516" s="119"/>
      <c r="ID516" s="119"/>
      <c r="IE516" s="119"/>
      <c r="IF516" s="119"/>
      <c r="IG516" s="119"/>
      <c r="IH516" s="119"/>
      <c r="II516" s="119"/>
      <c r="IJ516" s="119"/>
      <c r="IK516" s="119"/>
      <c r="IL516" s="119"/>
      <c r="IM516" s="119"/>
      <c r="IN516" s="119"/>
      <c r="IO516" s="119"/>
      <c r="IP516" s="119"/>
      <c r="IQ516" s="119"/>
      <c r="IR516" s="119"/>
      <c r="IS516" s="119"/>
      <c r="IT516" s="119"/>
      <c r="IU516" s="119"/>
      <c r="IV516" s="119"/>
      <c r="IW516" s="119"/>
      <c r="IX516" s="119"/>
      <c r="IY516" s="119"/>
      <c r="IZ516" s="119"/>
      <c r="JA516" s="119"/>
      <c r="JB516" s="119"/>
      <c r="JC516" s="119"/>
      <c r="JD516" s="119"/>
      <c r="JE516" s="119"/>
      <c r="JF516" s="119"/>
      <c r="JG516" s="119"/>
      <c r="JH516" s="119"/>
      <c r="JI516" s="119"/>
      <c r="JJ516" s="119"/>
      <c r="JK516" s="119"/>
      <c r="JL516" s="119"/>
      <c r="JM516" s="119"/>
      <c r="JN516" s="119"/>
      <c r="JO516" s="119"/>
      <c r="JP516" s="119"/>
      <c r="JQ516" s="119"/>
      <c r="JR516" s="119"/>
      <c r="JS516" s="119"/>
      <c r="JT516" s="119"/>
      <c r="JU516" s="119"/>
      <c r="JV516" s="119"/>
      <c r="JW516" s="119"/>
      <c r="JX516" s="119"/>
      <c r="JY516" s="119"/>
      <c r="JZ516" s="119"/>
      <c r="KA516" s="119"/>
      <c r="KB516" s="119"/>
      <c r="KC516" s="119"/>
      <c r="KD516" s="119"/>
      <c r="KE516" s="119"/>
      <c r="KF516" s="119"/>
      <c r="KG516" s="119"/>
      <c r="KH516" s="119"/>
      <c r="KI516" s="119"/>
      <c r="KJ516" s="119"/>
      <c r="KK516" s="119"/>
      <c r="KL516" s="119"/>
      <c r="KM516" s="119"/>
      <c r="KN516" s="119"/>
      <c r="KO516" s="119"/>
      <c r="KP516" s="119"/>
      <c r="KQ516" s="119"/>
      <c r="KR516" s="119"/>
      <c r="KS516" s="119"/>
      <c r="KT516" s="119"/>
      <c r="KU516" s="119"/>
      <c r="KV516" s="119"/>
      <c r="KW516" s="119"/>
      <c r="KX516" s="119"/>
      <c r="KY516" s="119"/>
      <c r="KZ516" s="119"/>
      <c r="LA516" s="119"/>
      <c r="LB516" s="119"/>
      <c r="LC516" s="119"/>
      <c r="LD516" s="119"/>
      <c r="LE516" s="119"/>
      <c r="LF516" s="119"/>
      <c r="LG516" s="119"/>
      <c r="LH516" s="119"/>
      <c r="LI516" s="119"/>
      <c r="LJ516" s="119"/>
      <c r="LK516" s="119"/>
      <c r="LL516" s="119"/>
      <c r="LM516" s="119"/>
      <c r="LN516" s="119"/>
      <c r="LO516" s="119"/>
      <c r="LP516" s="119"/>
      <c r="LQ516" s="119"/>
      <c r="LR516" s="119"/>
      <c r="LS516" s="119"/>
      <c r="LT516" s="119"/>
      <c r="LU516" s="119"/>
      <c r="LV516" s="119"/>
      <c r="LW516" s="119"/>
      <c r="LX516" s="119"/>
      <c r="LY516" s="119"/>
      <c r="LZ516" s="119"/>
      <c r="MA516" s="119"/>
      <c r="MB516" s="119"/>
      <c r="MC516" s="119"/>
      <c r="MD516" s="119"/>
      <c r="ME516" s="119"/>
      <c r="MF516" s="119"/>
      <c r="MG516" s="119"/>
      <c r="MH516" s="119"/>
      <c r="MI516" s="119"/>
      <c r="MJ516" s="119"/>
      <c r="MK516" s="119"/>
      <c r="ML516" s="119"/>
      <c r="MM516" s="119"/>
      <c r="MN516" s="119"/>
      <c r="MO516" s="119"/>
      <c r="MP516" s="119"/>
      <c r="MQ516" s="119"/>
      <c r="MR516" s="119"/>
      <c r="MS516" s="119"/>
      <c r="MT516" s="119"/>
      <c r="MU516" s="119"/>
      <c r="MV516" s="119"/>
      <c r="MW516" s="119"/>
      <c r="MX516" s="119"/>
      <c r="MY516" s="119"/>
      <c r="MZ516" s="119"/>
    </row>
    <row r="517" spans="1:364" s="27" customFormat="1" x14ac:dyDescent="0.25">
      <c r="A517" s="122"/>
      <c r="B517" s="122"/>
      <c r="C517" s="126"/>
      <c r="D517" s="128"/>
      <c r="E517" s="109" t="s">
        <v>493</v>
      </c>
      <c r="F517" s="131"/>
      <c r="G517" s="131"/>
      <c r="H517" s="106" t="s">
        <v>438</v>
      </c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19"/>
      <c r="T517" s="119"/>
      <c r="U517" s="119"/>
      <c r="V517" s="119"/>
      <c r="W517" s="119"/>
      <c r="X517" s="119"/>
      <c r="Y517" s="119"/>
      <c r="Z517" s="119"/>
      <c r="AA517" s="119"/>
      <c r="AB517" s="119"/>
      <c r="AC517" s="119"/>
      <c r="AD517" s="119"/>
      <c r="AE517" s="119"/>
      <c r="AF517" s="119"/>
      <c r="AG517" s="119"/>
      <c r="AH517" s="119"/>
      <c r="AI517" s="119"/>
      <c r="AJ517" s="119"/>
      <c r="AK517" s="119"/>
      <c r="AL517" s="119"/>
      <c r="AM517" s="119"/>
      <c r="AN517" s="119"/>
      <c r="AO517" s="119"/>
      <c r="AP517" s="119"/>
      <c r="AQ517" s="119"/>
      <c r="AR517" s="119"/>
      <c r="AS517" s="119"/>
      <c r="AT517" s="119"/>
      <c r="AU517" s="119"/>
      <c r="AV517" s="119"/>
      <c r="AW517" s="119"/>
      <c r="AX517" s="119"/>
      <c r="AY517" s="119"/>
      <c r="AZ517" s="119"/>
      <c r="BA517" s="119"/>
      <c r="BB517" s="119"/>
      <c r="BC517" s="119"/>
      <c r="BD517" s="119"/>
      <c r="BE517" s="119"/>
      <c r="BF517" s="119"/>
      <c r="BG517" s="119"/>
      <c r="BH517" s="119"/>
      <c r="BI517" s="119"/>
      <c r="BJ517" s="119"/>
      <c r="BK517" s="119"/>
      <c r="BL517" s="26"/>
      <c r="BM517" s="119"/>
      <c r="BN517" s="119"/>
      <c r="BO517" s="119"/>
      <c r="BP517" s="119"/>
      <c r="BQ517" s="119"/>
      <c r="BR517" s="119"/>
      <c r="BS517" s="119"/>
      <c r="BT517" s="119"/>
      <c r="BU517" s="119"/>
      <c r="BV517" s="119"/>
      <c r="BW517" s="119"/>
      <c r="BX517" s="119"/>
      <c r="BY517" s="119"/>
      <c r="BZ517" s="119"/>
      <c r="CA517" s="119"/>
      <c r="CB517" s="119"/>
      <c r="CC517" s="119"/>
      <c r="CD517" s="119"/>
      <c r="CE517" s="119"/>
      <c r="CF517" s="119"/>
      <c r="CG517" s="119"/>
      <c r="CH517" s="119"/>
      <c r="CI517" s="119"/>
      <c r="CJ517" s="119"/>
      <c r="CK517" s="119"/>
      <c r="CL517" s="119"/>
      <c r="CM517" s="119"/>
      <c r="CN517" s="119"/>
      <c r="CO517" s="119"/>
      <c r="CP517" s="119"/>
      <c r="CQ517" s="119"/>
      <c r="CR517" s="119"/>
      <c r="CS517" s="119"/>
      <c r="CT517" s="119"/>
      <c r="CU517" s="119"/>
      <c r="CV517" s="119"/>
      <c r="CW517" s="119"/>
      <c r="CX517" s="119"/>
      <c r="CY517" s="119"/>
      <c r="CZ517" s="119"/>
      <c r="DA517" s="119"/>
      <c r="DB517" s="119"/>
      <c r="DC517" s="119"/>
      <c r="DD517" s="119"/>
      <c r="DE517" s="119"/>
      <c r="DF517" s="119"/>
      <c r="DG517" s="119"/>
      <c r="DH517" s="119"/>
      <c r="DI517" s="119"/>
      <c r="DJ517" s="119"/>
      <c r="DK517" s="119"/>
      <c r="DL517" s="119"/>
      <c r="DM517" s="119"/>
      <c r="DN517" s="119"/>
      <c r="DO517" s="119"/>
      <c r="DP517" s="119"/>
      <c r="DQ517" s="119"/>
      <c r="DR517" s="119"/>
      <c r="DS517" s="119"/>
      <c r="DT517" s="119"/>
      <c r="DU517" s="119"/>
      <c r="DV517" s="119"/>
      <c r="DW517" s="119"/>
      <c r="DX517" s="119"/>
      <c r="DY517" s="119"/>
      <c r="DZ517" s="119"/>
      <c r="EA517" s="119"/>
      <c r="EB517" s="119"/>
      <c r="EC517" s="119"/>
      <c r="ED517" s="119"/>
      <c r="EE517" s="119"/>
      <c r="EF517" s="119"/>
      <c r="EG517" s="119"/>
      <c r="EH517" s="119"/>
      <c r="EI517" s="119"/>
      <c r="EJ517" s="119"/>
      <c r="EK517" s="119"/>
      <c r="EL517" s="119"/>
      <c r="EM517" s="119"/>
      <c r="EN517" s="119"/>
      <c r="EO517" s="119"/>
      <c r="EP517" s="119"/>
      <c r="EQ517" s="119"/>
      <c r="ER517" s="119"/>
      <c r="ES517" s="119"/>
      <c r="ET517" s="119"/>
      <c r="EU517" s="119"/>
      <c r="EV517" s="119"/>
      <c r="EW517" s="119"/>
      <c r="EX517" s="119"/>
      <c r="EY517" s="119"/>
      <c r="EZ517" s="119"/>
      <c r="FA517" s="119"/>
      <c r="FB517" s="119"/>
      <c r="FC517" s="119"/>
      <c r="FD517" s="119"/>
      <c r="FE517" s="119"/>
      <c r="FF517" s="119"/>
      <c r="FG517" s="119"/>
      <c r="FH517" s="119"/>
      <c r="FI517" s="119"/>
      <c r="FJ517" s="119"/>
      <c r="FK517" s="119"/>
      <c r="FL517" s="119"/>
      <c r="FM517" s="119"/>
      <c r="FN517" s="119"/>
      <c r="FO517" s="119"/>
      <c r="FP517" s="119"/>
      <c r="FQ517" s="119"/>
      <c r="FR517" s="119"/>
      <c r="FS517" s="119"/>
      <c r="FT517" s="119"/>
      <c r="FU517" s="119"/>
      <c r="FV517" s="119"/>
      <c r="FW517" s="119"/>
      <c r="FX517" s="119"/>
      <c r="FY517" s="119"/>
      <c r="FZ517" s="119"/>
      <c r="GA517" s="119"/>
      <c r="GB517" s="119"/>
      <c r="GC517" s="119"/>
      <c r="GD517" s="119"/>
      <c r="GE517" s="119"/>
      <c r="GF517" s="119"/>
      <c r="GG517" s="119"/>
      <c r="GH517" s="119"/>
      <c r="GI517" s="119"/>
      <c r="GJ517" s="119"/>
      <c r="GK517" s="119"/>
      <c r="GL517" s="119"/>
      <c r="GM517" s="119"/>
      <c r="GN517" s="119"/>
      <c r="GO517" s="119"/>
      <c r="GP517" s="119"/>
      <c r="GQ517" s="119"/>
      <c r="GR517" s="119"/>
      <c r="GS517" s="119"/>
      <c r="GT517" s="119"/>
      <c r="GU517" s="119"/>
      <c r="GV517" s="119"/>
      <c r="GW517" s="119"/>
      <c r="GX517" s="119"/>
      <c r="GY517" s="119"/>
      <c r="GZ517" s="119"/>
      <c r="HA517" s="119"/>
      <c r="HB517" s="119"/>
      <c r="HC517" s="119"/>
      <c r="HD517" s="119"/>
      <c r="HE517" s="119"/>
      <c r="HF517" s="119"/>
      <c r="HG517" s="119"/>
      <c r="HH517" s="119"/>
      <c r="HI517" s="119"/>
      <c r="HJ517" s="119"/>
      <c r="HK517" s="119"/>
      <c r="HL517" s="119"/>
      <c r="HM517" s="119"/>
      <c r="HN517" s="119"/>
      <c r="HO517" s="119"/>
      <c r="HP517" s="119"/>
      <c r="HQ517" s="119"/>
      <c r="HR517" s="119"/>
      <c r="HS517" s="119"/>
      <c r="HT517" s="119"/>
      <c r="HU517" s="119"/>
      <c r="HV517" s="119"/>
      <c r="HW517" s="119"/>
      <c r="HX517" s="119"/>
      <c r="HY517" s="119"/>
      <c r="HZ517" s="119"/>
      <c r="IA517" s="119"/>
      <c r="IB517" s="119"/>
      <c r="IC517" s="119"/>
      <c r="ID517" s="119"/>
      <c r="IE517" s="119"/>
      <c r="IF517" s="119"/>
      <c r="IG517" s="119"/>
      <c r="IH517" s="119"/>
      <c r="II517" s="119"/>
      <c r="IJ517" s="119"/>
      <c r="IK517" s="119"/>
      <c r="IL517" s="119"/>
      <c r="IM517" s="119"/>
      <c r="IN517" s="119"/>
      <c r="IO517" s="119"/>
      <c r="IP517" s="119"/>
      <c r="IQ517" s="119"/>
      <c r="IR517" s="119"/>
      <c r="IS517" s="119"/>
      <c r="IT517" s="119"/>
      <c r="IU517" s="119"/>
      <c r="IV517" s="119"/>
      <c r="IW517" s="119"/>
      <c r="IX517" s="119"/>
      <c r="IY517" s="119"/>
      <c r="IZ517" s="119"/>
      <c r="JA517" s="119"/>
      <c r="JB517" s="119"/>
      <c r="JC517" s="119"/>
      <c r="JD517" s="119"/>
      <c r="JE517" s="119"/>
      <c r="JF517" s="119"/>
      <c r="JG517" s="119"/>
      <c r="JH517" s="119"/>
      <c r="JI517" s="119"/>
      <c r="JJ517" s="119"/>
      <c r="JK517" s="119"/>
      <c r="JL517" s="119"/>
      <c r="JM517" s="119"/>
      <c r="JN517" s="119"/>
      <c r="JO517" s="119"/>
      <c r="JP517" s="119"/>
      <c r="JQ517" s="119"/>
      <c r="JR517" s="119"/>
      <c r="JS517" s="119"/>
      <c r="JT517" s="119"/>
      <c r="JU517" s="119"/>
      <c r="JV517" s="119"/>
      <c r="JW517" s="119"/>
      <c r="JX517" s="119"/>
      <c r="JY517" s="119"/>
      <c r="JZ517" s="119"/>
      <c r="KA517" s="119"/>
      <c r="KB517" s="119"/>
      <c r="KC517" s="119"/>
      <c r="KD517" s="119"/>
      <c r="KE517" s="119"/>
      <c r="KF517" s="119"/>
      <c r="KG517" s="119"/>
      <c r="KH517" s="119"/>
      <c r="KI517" s="119"/>
      <c r="KJ517" s="119"/>
      <c r="KK517" s="119"/>
      <c r="KL517" s="119"/>
      <c r="KM517" s="119"/>
      <c r="KN517" s="119"/>
      <c r="KO517" s="119"/>
      <c r="KP517" s="119"/>
      <c r="KQ517" s="119"/>
      <c r="KR517" s="119"/>
      <c r="KS517" s="119"/>
      <c r="KT517" s="119"/>
      <c r="KU517" s="119"/>
      <c r="KV517" s="119"/>
      <c r="KW517" s="119"/>
      <c r="KX517" s="119"/>
      <c r="KY517" s="119"/>
      <c r="KZ517" s="119"/>
      <c r="LA517" s="119"/>
      <c r="LB517" s="119"/>
      <c r="LC517" s="119"/>
      <c r="LD517" s="119"/>
      <c r="LE517" s="119"/>
      <c r="LF517" s="119"/>
      <c r="LG517" s="119"/>
      <c r="LH517" s="119"/>
      <c r="LI517" s="119"/>
      <c r="LJ517" s="119"/>
      <c r="LK517" s="119"/>
      <c r="LL517" s="119"/>
      <c r="LM517" s="119"/>
      <c r="LN517" s="119"/>
      <c r="LO517" s="119"/>
      <c r="LP517" s="119"/>
      <c r="LQ517" s="119"/>
      <c r="LR517" s="119"/>
      <c r="LS517" s="119"/>
      <c r="LT517" s="119"/>
      <c r="LU517" s="119"/>
      <c r="LV517" s="119"/>
      <c r="LW517" s="119"/>
      <c r="LX517" s="119"/>
      <c r="LY517" s="119"/>
      <c r="LZ517" s="119"/>
      <c r="MA517" s="119"/>
      <c r="MB517" s="119"/>
      <c r="MC517" s="119"/>
      <c r="MD517" s="119"/>
      <c r="ME517" s="119"/>
      <c r="MF517" s="119"/>
      <c r="MG517" s="119"/>
      <c r="MH517" s="119"/>
      <c r="MI517" s="119"/>
      <c r="MJ517" s="119"/>
      <c r="MK517" s="119"/>
      <c r="ML517" s="119"/>
      <c r="MM517" s="119"/>
      <c r="MN517" s="119"/>
      <c r="MO517" s="119"/>
      <c r="MP517" s="119"/>
      <c r="MQ517" s="119"/>
      <c r="MR517" s="119"/>
      <c r="MS517" s="119"/>
      <c r="MT517" s="119"/>
      <c r="MU517" s="119"/>
      <c r="MV517" s="119"/>
      <c r="MW517" s="119"/>
      <c r="MX517" s="119"/>
      <c r="MY517" s="119"/>
      <c r="MZ517" s="119"/>
    </row>
    <row r="518" spans="1:364" s="27" customFormat="1" x14ac:dyDescent="0.25">
      <c r="A518" s="123"/>
      <c r="B518" s="123"/>
      <c r="C518" s="126"/>
      <c r="D518" s="129"/>
      <c r="E518" s="109"/>
      <c r="F518" s="131"/>
      <c r="G518" s="132"/>
      <c r="H518" s="114" t="s">
        <v>149</v>
      </c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19"/>
      <c r="T518" s="119"/>
      <c r="U518" s="119"/>
      <c r="V518" s="119"/>
      <c r="W518" s="119"/>
      <c r="X518" s="119"/>
      <c r="Y518" s="119"/>
      <c r="Z518" s="119"/>
      <c r="AA518" s="119"/>
      <c r="AB518" s="119"/>
      <c r="AC518" s="119"/>
      <c r="AD518" s="119"/>
      <c r="AE518" s="119"/>
      <c r="AF518" s="119"/>
      <c r="AG518" s="119"/>
      <c r="AH518" s="119"/>
      <c r="AI518" s="119"/>
      <c r="AJ518" s="119"/>
      <c r="AK518" s="119"/>
      <c r="AL518" s="119"/>
      <c r="AM518" s="119"/>
      <c r="AN518" s="119"/>
      <c r="AO518" s="119"/>
      <c r="AP518" s="119"/>
      <c r="AQ518" s="119"/>
      <c r="AR518" s="119"/>
      <c r="AS518" s="119"/>
      <c r="AT518" s="119"/>
      <c r="AU518" s="119"/>
      <c r="AV518" s="119"/>
      <c r="AW518" s="119"/>
      <c r="AX518" s="119"/>
      <c r="AY518" s="119"/>
      <c r="AZ518" s="119"/>
      <c r="BA518" s="119"/>
      <c r="BB518" s="119"/>
      <c r="BC518" s="119"/>
      <c r="BD518" s="119"/>
      <c r="BE518" s="119"/>
      <c r="BF518" s="119"/>
      <c r="BG518" s="119"/>
      <c r="BH518" s="119"/>
      <c r="BI518" s="119"/>
      <c r="BJ518" s="119"/>
      <c r="BK518" s="119"/>
      <c r="BL518" s="26"/>
      <c r="BM518" s="119"/>
      <c r="BN518" s="119"/>
      <c r="BO518" s="119"/>
      <c r="BP518" s="119"/>
      <c r="BQ518" s="119"/>
      <c r="BR518" s="119"/>
      <c r="BS518" s="119"/>
      <c r="BT518" s="119"/>
      <c r="BU518" s="119"/>
      <c r="BV518" s="119"/>
      <c r="BW518" s="119"/>
      <c r="BX518" s="119"/>
      <c r="BY518" s="119"/>
      <c r="BZ518" s="119"/>
      <c r="CA518" s="119"/>
      <c r="CB518" s="119"/>
      <c r="CC518" s="119"/>
      <c r="CD518" s="119"/>
      <c r="CE518" s="119"/>
      <c r="CF518" s="119"/>
      <c r="CG518" s="119"/>
      <c r="CH518" s="119"/>
      <c r="CI518" s="119"/>
      <c r="CJ518" s="119"/>
      <c r="CK518" s="119"/>
      <c r="CL518" s="119"/>
      <c r="CM518" s="119"/>
      <c r="CN518" s="119"/>
      <c r="CO518" s="119"/>
      <c r="CP518" s="119"/>
      <c r="CQ518" s="119"/>
      <c r="CR518" s="119"/>
      <c r="CS518" s="119"/>
      <c r="CT518" s="119"/>
      <c r="CU518" s="119"/>
      <c r="CV518" s="119"/>
      <c r="CW518" s="119"/>
      <c r="CX518" s="119"/>
      <c r="CY518" s="119"/>
      <c r="CZ518" s="119"/>
      <c r="DA518" s="119"/>
      <c r="DB518" s="119"/>
      <c r="DC518" s="119"/>
      <c r="DD518" s="119"/>
      <c r="DE518" s="119"/>
      <c r="DF518" s="119"/>
      <c r="DG518" s="119"/>
      <c r="DH518" s="119"/>
      <c r="DI518" s="119"/>
      <c r="DJ518" s="119"/>
      <c r="DK518" s="119"/>
      <c r="DL518" s="119"/>
      <c r="DM518" s="119"/>
      <c r="DN518" s="119"/>
      <c r="DO518" s="119"/>
      <c r="DP518" s="119"/>
      <c r="DQ518" s="119"/>
      <c r="DR518" s="119"/>
      <c r="DS518" s="119"/>
      <c r="DT518" s="119"/>
      <c r="DU518" s="119"/>
      <c r="DV518" s="119"/>
      <c r="DW518" s="119"/>
      <c r="DX518" s="119"/>
      <c r="DY518" s="119"/>
      <c r="DZ518" s="119"/>
      <c r="EA518" s="119"/>
      <c r="EB518" s="119"/>
      <c r="EC518" s="119"/>
      <c r="ED518" s="119"/>
      <c r="EE518" s="119"/>
      <c r="EF518" s="119"/>
      <c r="EG518" s="119"/>
      <c r="EH518" s="119"/>
      <c r="EI518" s="119"/>
      <c r="EJ518" s="119"/>
      <c r="EK518" s="119"/>
      <c r="EL518" s="119"/>
      <c r="EM518" s="119"/>
      <c r="EN518" s="119"/>
      <c r="EO518" s="119"/>
      <c r="EP518" s="119"/>
      <c r="EQ518" s="119"/>
      <c r="ER518" s="119"/>
      <c r="ES518" s="119"/>
      <c r="ET518" s="119"/>
      <c r="EU518" s="119"/>
      <c r="EV518" s="119"/>
      <c r="EW518" s="119"/>
      <c r="EX518" s="119"/>
      <c r="EY518" s="119"/>
      <c r="EZ518" s="119"/>
      <c r="FA518" s="119"/>
      <c r="FB518" s="119"/>
      <c r="FC518" s="119"/>
      <c r="FD518" s="119"/>
      <c r="FE518" s="119"/>
      <c r="FF518" s="119"/>
      <c r="FG518" s="119"/>
      <c r="FH518" s="119"/>
      <c r="FI518" s="119"/>
      <c r="FJ518" s="119"/>
      <c r="FK518" s="119"/>
      <c r="FL518" s="119"/>
      <c r="FM518" s="119"/>
      <c r="FN518" s="119"/>
      <c r="FO518" s="119"/>
      <c r="FP518" s="119"/>
      <c r="FQ518" s="119"/>
      <c r="FR518" s="119"/>
      <c r="FS518" s="119"/>
      <c r="FT518" s="119"/>
      <c r="FU518" s="119"/>
      <c r="FV518" s="119"/>
      <c r="FW518" s="119"/>
      <c r="FX518" s="119"/>
      <c r="FY518" s="119"/>
      <c r="FZ518" s="119"/>
      <c r="GA518" s="119"/>
      <c r="GB518" s="119"/>
      <c r="GC518" s="119"/>
      <c r="GD518" s="119"/>
      <c r="GE518" s="119"/>
      <c r="GF518" s="119"/>
      <c r="GG518" s="119"/>
      <c r="GH518" s="119"/>
      <c r="GI518" s="119"/>
      <c r="GJ518" s="119"/>
      <c r="GK518" s="119"/>
      <c r="GL518" s="119"/>
      <c r="GM518" s="119"/>
      <c r="GN518" s="119"/>
      <c r="GO518" s="119"/>
      <c r="GP518" s="119"/>
      <c r="GQ518" s="119"/>
      <c r="GR518" s="119"/>
      <c r="GS518" s="119"/>
      <c r="GT518" s="119"/>
      <c r="GU518" s="119"/>
      <c r="GV518" s="119"/>
      <c r="GW518" s="119"/>
      <c r="GX518" s="119"/>
      <c r="GY518" s="119"/>
      <c r="GZ518" s="119"/>
      <c r="HA518" s="119"/>
      <c r="HB518" s="119"/>
      <c r="HC518" s="119"/>
      <c r="HD518" s="119"/>
      <c r="HE518" s="119"/>
      <c r="HF518" s="119"/>
      <c r="HG518" s="119"/>
      <c r="HH518" s="119"/>
      <c r="HI518" s="119"/>
      <c r="HJ518" s="119"/>
      <c r="HK518" s="119"/>
      <c r="HL518" s="119"/>
      <c r="HM518" s="119"/>
      <c r="HN518" s="119"/>
      <c r="HO518" s="119"/>
      <c r="HP518" s="119"/>
      <c r="HQ518" s="119"/>
      <c r="HR518" s="119"/>
      <c r="HS518" s="119"/>
      <c r="HT518" s="119"/>
      <c r="HU518" s="119"/>
      <c r="HV518" s="119"/>
      <c r="HW518" s="119"/>
      <c r="HX518" s="119"/>
      <c r="HY518" s="119"/>
      <c r="HZ518" s="119"/>
      <c r="IA518" s="119"/>
      <c r="IB518" s="119"/>
      <c r="IC518" s="119"/>
      <c r="ID518" s="119"/>
      <c r="IE518" s="119"/>
      <c r="IF518" s="119"/>
      <c r="IG518" s="119"/>
      <c r="IH518" s="119"/>
      <c r="II518" s="119"/>
      <c r="IJ518" s="119"/>
      <c r="IK518" s="119"/>
      <c r="IL518" s="119"/>
      <c r="IM518" s="119"/>
      <c r="IN518" s="119"/>
      <c r="IO518" s="119"/>
      <c r="IP518" s="119"/>
      <c r="IQ518" s="119"/>
      <c r="IR518" s="119"/>
      <c r="IS518" s="119"/>
      <c r="IT518" s="119"/>
      <c r="IU518" s="119"/>
      <c r="IV518" s="119"/>
      <c r="IW518" s="119"/>
      <c r="IX518" s="119"/>
      <c r="IY518" s="119"/>
      <c r="IZ518" s="119"/>
      <c r="JA518" s="119"/>
      <c r="JB518" s="119"/>
      <c r="JC518" s="119"/>
      <c r="JD518" s="119"/>
      <c r="JE518" s="119"/>
      <c r="JF518" s="119"/>
      <c r="JG518" s="119"/>
      <c r="JH518" s="119"/>
      <c r="JI518" s="119"/>
      <c r="JJ518" s="119"/>
      <c r="JK518" s="119"/>
      <c r="JL518" s="119"/>
      <c r="JM518" s="119"/>
      <c r="JN518" s="119"/>
      <c r="JO518" s="119"/>
      <c r="JP518" s="119"/>
      <c r="JQ518" s="119"/>
      <c r="JR518" s="119"/>
      <c r="JS518" s="119"/>
      <c r="JT518" s="119"/>
      <c r="JU518" s="119"/>
      <c r="JV518" s="119"/>
      <c r="JW518" s="119"/>
      <c r="JX518" s="119"/>
      <c r="JY518" s="119"/>
      <c r="JZ518" s="119"/>
      <c r="KA518" s="119"/>
      <c r="KB518" s="119"/>
      <c r="KC518" s="119"/>
      <c r="KD518" s="119"/>
      <c r="KE518" s="119"/>
      <c r="KF518" s="119"/>
      <c r="KG518" s="119"/>
      <c r="KH518" s="119"/>
      <c r="KI518" s="119"/>
      <c r="KJ518" s="119"/>
      <c r="KK518" s="119"/>
      <c r="KL518" s="119"/>
      <c r="KM518" s="119"/>
      <c r="KN518" s="119"/>
      <c r="KO518" s="119"/>
      <c r="KP518" s="119"/>
      <c r="KQ518" s="119"/>
      <c r="KR518" s="119"/>
      <c r="KS518" s="119"/>
      <c r="KT518" s="119"/>
      <c r="KU518" s="119"/>
      <c r="KV518" s="119"/>
      <c r="KW518" s="119"/>
      <c r="KX518" s="119"/>
      <c r="KY518" s="119"/>
      <c r="KZ518" s="119"/>
      <c r="LA518" s="119"/>
      <c r="LB518" s="119"/>
      <c r="LC518" s="119"/>
      <c r="LD518" s="119"/>
      <c r="LE518" s="119"/>
      <c r="LF518" s="119"/>
      <c r="LG518" s="119"/>
      <c r="LH518" s="119"/>
      <c r="LI518" s="119"/>
      <c r="LJ518" s="119"/>
      <c r="LK518" s="119"/>
      <c r="LL518" s="119"/>
      <c r="LM518" s="119"/>
      <c r="LN518" s="119"/>
      <c r="LO518" s="119"/>
      <c r="LP518" s="119"/>
      <c r="LQ518" s="119"/>
      <c r="LR518" s="119"/>
      <c r="LS518" s="119"/>
      <c r="LT518" s="119"/>
      <c r="LU518" s="119"/>
      <c r="LV518" s="119"/>
      <c r="LW518" s="119"/>
      <c r="LX518" s="119"/>
      <c r="LY518" s="119"/>
      <c r="LZ518" s="119"/>
      <c r="MA518" s="119"/>
      <c r="MB518" s="119"/>
      <c r="MC518" s="119"/>
      <c r="MD518" s="119"/>
      <c r="ME518" s="119"/>
      <c r="MF518" s="119"/>
      <c r="MG518" s="119"/>
      <c r="MH518" s="119"/>
      <c r="MI518" s="119"/>
      <c r="MJ518" s="119"/>
      <c r="MK518" s="119"/>
      <c r="ML518" s="119"/>
      <c r="MM518" s="119"/>
      <c r="MN518" s="119"/>
      <c r="MO518" s="119"/>
      <c r="MP518" s="119"/>
      <c r="MQ518" s="119"/>
      <c r="MR518" s="119"/>
      <c r="MS518" s="119"/>
      <c r="MT518" s="119"/>
      <c r="MU518" s="119"/>
      <c r="MV518" s="119"/>
      <c r="MW518" s="119"/>
      <c r="MX518" s="119"/>
      <c r="MY518" s="119"/>
      <c r="MZ518" s="119"/>
    </row>
    <row r="519" spans="1:364" s="27" customFormat="1" x14ac:dyDescent="0.25">
      <c r="A519" s="121"/>
      <c r="B519" s="124" t="e">
        <f>VLOOKUP(A519,Rules!$B$8:$C$154,2,0)</f>
        <v>#N/A</v>
      </c>
      <c r="C519" s="125">
        <f t="shared" ref="C519" si="29">SUM(I520:XX520)</f>
        <v>0</v>
      </c>
      <c r="D519" s="127"/>
      <c r="E519" s="110" t="s">
        <v>492</v>
      </c>
      <c r="F519" s="130" t="e">
        <f>VLOOKUP(A519,Table2[],10,0)</f>
        <v>#N/A</v>
      </c>
      <c r="G519" s="130"/>
      <c r="H519" s="113" t="s">
        <v>440</v>
      </c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9"/>
      <c r="T519" s="119"/>
      <c r="U519" s="119"/>
      <c r="V519" s="119"/>
      <c r="W519" s="119"/>
      <c r="X519" s="119"/>
      <c r="Y519" s="119"/>
      <c r="Z519" s="119"/>
      <c r="AA519" s="119"/>
      <c r="AB519" s="119"/>
      <c r="AC519" s="119"/>
      <c r="AD519" s="119"/>
      <c r="AE519" s="119"/>
      <c r="AF519" s="119"/>
      <c r="AG519" s="119"/>
      <c r="AH519" s="119"/>
      <c r="AI519" s="119"/>
      <c r="AJ519" s="119"/>
      <c r="AK519" s="119"/>
      <c r="AL519" s="119"/>
      <c r="AM519" s="119"/>
      <c r="AN519" s="119"/>
      <c r="AO519" s="119"/>
      <c r="AP519" s="119"/>
      <c r="AQ519" s="119"/>
      <c r="AR519" s="119"/>
      <c r="AS519" s="119"/>
      <c r="AT519" s="119"/>
      <c r="AU519" s="119"/>
      <c r="AV519" s="119"/>
      <c r="AW519" s="119"/>
      <c r="AX519" s="119"/>
      <c r="AY519" s="119"/>
      <c r="AZ519" s="119"/>
      <c r="BA519" s="119"/>
      <c r="BB519" s="119"/>
      <c r="BC519" s="119"/>
      <c r="BD519" s="119"/>
      <c r="BE519" s="119"/>
      <c r="BF519" s="119"/>
      <c r="BG519" s="119"/>
      <c r="BH519" s="119"/>
      <c r="BI519" s="119"/>
      <c r="BJ519" s="119"/>
      <c r="BK519" s="119"/>
      <c r="BL519" s="26"/>
      <c r="BM519" s="119"/>
      <c r="BN519" s="26"/>
      <c r="BO519" s="119"/>
      <c r="BP519" s="119"/>
      <c r="BQ519" s="119"/>
      <c r="BR519" s="119"/>
      <c r="BS519" s="119"/>
      <c r="BT519" s="119"/>
      <c r="BU519" s="119"/>
      <c r="BV519" s="119"/>
      <c r="BW519" s="119"/>
      <c r="BX519" s="119"/>
      <c r="BY519" s="119"/>
      <c r="BZ519" s="119"/>
      <c r="CA519" s="119"/>
      <c r="CB519" s="119"/>
      <c r="CC519" s="119"/>
      <c r="CD519" s="119"/>
      <c r="CE519" s="119"/>
      <c r="CF519" s="119"/>
      <c r="CG519" s="119"/>
      <c r="CH519" s="119"/>
      <c r="CI519" s="119"/>
      <c r="CJ519" s="119"/>
      <c r="CK519" s="119"/>
      <c r="CL519" s="119"/>
      <c r="CM519" s="119"/>
      <c r="CN519" s="119"/>
      <c r="CO519" s="119"/>
      <c r="CP519" s="119"/>
      <c r="CQ519" s="119"/>
      <c r="CR519" s="119"/>
      <c r="CS519" s="119"/>
      <c r="CT519" s="119"/>
      <c r="CU519" s="119"/>
      <c r="CV519" s="119"/>
      <c r="CW519" s="119"/>
      <c r="CX519" s="119"/>
      <c r="CY519" s="119"/>
      <c r="CZ519" s="119"/>
      <c r="DA519" s="119"/>
      <c r="DB519" s="119"/>
      <c r="DC519" s="119"/>
      <c r="DD519" s="119"/>
      <c r="DE519" s="119"/>
      <c r="DF519" s="119"/>
      <c r="DG519" s="119"/>
      <c r="DH519" s="119"/>
      <c r="DI519" s="119"/>
      <c r="DJ519" s="119"/>
      <c r="DK519" s="119"/>
      <c r="DL519" s="119"/>
      <c r="DM519" s="119"/>
      <c r="DN519" s="119"/>
      <c r="DO519" s="119"/>
      <c r="DP519" s="119"/>
      <c r="DQ519" s="119"/>
      <c r="DR519" s="119"/>
      <c r="DS519" s="119"/>
      <c r="DT519" s="119"/>
      <c r="DU519" s="119"/>
      <c r="DV519" s="119"/>
      <c r="DW519" s="119"/>
      <c r="DX519" s="119"/>
      <c r="DY519" s="119"/>
      <c r="DZ519" s="119"/>
      <c r="EA519" s="119"/>
      <c r="EB519" s="119"/>
      <c r="EC519" s="119"/>
      <c r="ED519" s="119"/>
      <c r="EE519" s="119"/>
      <c r="EF519" s="119"/>
      <c r="EG519" s="119"/>
      <c r="EH519" s="119"/>
      <c r="EI519" s="119"/>
      <c r="EJ519" s="119"/>
      <c r="EK519" s="119"/>
      <c r="EL519" s="119"/>
      <c r="EM519" s="119"/>
      <c r="EN519" s="119"/>
      <c r="EO519" s="119"/>
      <c r="EP519" s="119"/>
      <c r="EQ519" s="119"/>
      <c r="ER519" s="119"/>
      <c r="ES519" s="119"/>
      <c r="ET519" s="119"/>
      <c r="EU519" s="119"/>
      <c r="EV519" s="119"/>
      <c r="EW519" s="119"/>
      <c r="EX519" s="119"/>
      <c r="EY519" s="119"/>
      <c r="EZ519" s="119"/>
      <c r="FA519" s="119"/>
      <c r="FB519" s="119"/>
      <c r="FC519" s="119"/>
      <c r="FD519" s="119"/>
      <c r="FE519" s="119"/>
      <c r="FF519" s="119"/>
      <c r="FG519" s="119"/>
      <c r="FH519" s="119"/>
      <c r="FI519" s="119"/>
      <c r="FJ519" s="119"/>
      <c r="FK519" s="119"/>
      <c r="FL519" s="119"/>
      <c r="FM519" s="119"/>
      <c r="FN519" s="119"/>
      <c r="FO519" s="119"/>
      <c r="FP519" s="119"/>
      <c r="FQ519" s="119"/>
      <c r="FR519" s="119"/>
      <c r="FS519" s="119"/>
      <c r="FT519" s="119"/>
      <c r="FU519" s="119"/>
      <c r="FV519" s="119"/>
      <c r="FW519" s="119"/>
      <c r="FX519" s="119"/>
      <c r="FY519" s="119"/>
      <c r="FZ519" s="119"/>
      <c r="GA519" s="119"/>
      <c r="GB519" s="119"/>
      <c r="GC519" s="119"/>
      <c r="GD519" s="119"/>
      <c r="GE519" s="119"/>
      <c r="GF519" s="119"/>
      <c r="GG519" s="119"/>
      <c r="GH519" s="119"/>
      <c r="GI519" s="119"/>
      <c r="GJ519" s="119"/>
      <c r="GK519" s="119"/>
      <c r="GL519" s="119"/>
      <c r="GM519" s="119"/>
      <c r="GN519" s="119"/>
      <c r="GO519" s="119"/>
      <c r="GP519" s="119"/>
      <c r="GQ519" s="119"/>
      <c r="GR519" s="119"/>
      <c r="GS519" s="119"/>
      <c r="GT519" s="119"/>
      <c r="GU519" s="119"/>
      <c r="GV519" s="119"/>
      <c r="GW519" s="119"/>
      <c r="GX519" s="119"/>
      <c r="GY519" s="119"/>
      <c r="GZ519" s="119"/>
      <c r="HA519" s="119"/>
      <c r="HB519" s="119"/>
      <c r="HC519" s="119"/>
      <c r="HD519" s="119"/>
      <c r="HE519" s="119"/>
      <c r="HF519" s="119"/>
      <c r="HG519" s="119"/>
      <c r="HH519" s="119"/>
      <c r="HI519" s="119"/>
      <c r="HJ519" s="119"/>
      <c r="HK519" s="119"/>
      <c r="HL519" s="119"/>
      <c r="HM519" s="119"/>
      <c r="HN519" s="119"/>
      <c r="HO519" s="119"/>
      <c r="HP519" s="119"/>
      <c r="HQ519" s="119"/>
      <c r="HR519" s="119"/>
      <c r="HS519" s="119"/>
      <c r="HT519" s="119"/>
      <c r="HU519" s="119"/>
      <c r="HV519" s="119"/>
      <c r="HW519" s="119"/>
      <c r="HX519" s="119"/>
      <c r="HY519" s="119"/>
      <c r="HZ519" s="119"/>
      <c r="IA519" s="119"/>
      <c r="IB519" s="119"/>
      <c r="IC519" s="119"/>
      <c r="ID519" s="119"/>
      <c r="IE519" s="119"/>
      <c r="IF519" s="119"/>
      <c r="IG519" s="119"/>
      <c r="IH519" s="119"/>
      <c r="II519" s="119"/>
      <c r="IJ519" s="119"/>
      <c r="IK519" s="119"/>
      <c r="IL519" s="119"/>
      <c r="IM519" s="119"/>
      <c r="IN519" s="119"/>
      <c r="IO519" s="119"/>
      <c r="IP519" s="119"/>
      <c r="IQ519" s="119"/>
      <c r="IR519" s="119"/>
      <c r="IS519" s="119"/>
      <c r="IT519" s="119"/>
      <c r="IU519" s="119"/>
      <c r="IV519" s="119"/>
      <c r="IW519" s="119"/>
      <c r="IX519" s="119"/>
      <c r="IY519" s="119"/>
      <c r="IZ519" s="119"/>
      <c r="JA519" s="119"/>
      <c r="JB519" s="119"/>
      <c r="JC519" s="119"/>
      <c r="JD519" s="119"/>
      <c r="JE519" s="119"/>
      <c r="JF519" s="119"/>
      <c r="JG519" s="119"/>
      <c r="JH519" s="119"/>
      <c r="JI519" s="119"/>
      <c r="JJ519" s="119"/>
      <c r="JK519" s="119"/>
      <c r="JL519" s="119"/>
      <c r="JM519" s="119"/>
      <c r="JN519" s="119"/>
      <c r="JO519" s="119"/>
      <c r="JP519" s="119"/>
      <c r="JQ519" s="119"/>
      <c r="JR519" s="119"/>
      <c r="JS519" s="119"/>
      <c r="JT519" s="119"/>
      <c r="JU519" s="119"/>
      <c r="JV519" s="119"/>
      <c r="JW519" s="119"/>
      <c r="JX519" s="119"/>
      <c r="JY519" s="119"/>
      <c r="JZ519" s="119"/>
      <c r="KA519" s="119"/>
      <c r="KB519" s="119"/>
      <c r="KC519" s="119"/>
      <c r="KD519" s="119"/>
      <c r="KE519" s="119"/>
      <c r="KF519" s="119"/>
      <c r="KG519" s="119"/>
      <c r="KH519" s="119"/>
      <c r="KI519" s="119"/>
      <c r="KJ519" s="119"/>
      <c r="KK519" s="119"/>
      <c r="KL519" s="119"/>
      <c r="KM519" s="119"/>
      <c r="KN519" s="119"/>
      <c r="KO519" s="119"/>
      <c r="KP519" s="119"/>
      <c r="KQ519" s="119"/>
      <c r="KR519" s="119"/>
      <c r="KS519" s="119"/>
      <c r="KT519" s="119"/>
      <c r="KU519" s="119"/>
      <c r="KV519" s="119"/>
      <c r="KW519" s="119"/>
      <c r="KX519" s="119"/>
      <c r="KY519" s="119"/>
      <c r="KZ519" s="119"/>
      <c r="LA519" s="119"/>
      <c r="LB519" s="119"/>
      <c r="LC519" s="119"/>
      <c r="LD519" s="119"/>
      <c r="LE519" s="119"/>
      <c r="LF519" s="119"/>
      <c r="LG519" s="119"/>
      <c r="LH519" s="119"/>
      <c r="LI519" s="119"/>
      <c r="LJ519" s="119"/>
      <c r="LK519" s="119"/>
      <c r="LL519" s="119"/>
      <c r="LM519" s="119"/>
      <c r="LN519" s="119"/>
      <c r="LO519" s="119"/>
      <c r="LP519" s="119"/>
      <c r="LQ519" s="119"/>
      <c r="LR519" s="119"/>
      <c r="LS519" s="119"/>
      <c r="LT519" s="119"/>
      <c r="LU519" s="119"/>
      <c r="LV519" s="119"/>
      <c r="LW519" s="119"/>
      <c r="LX519" s="119"/>
      <c r="LY519" s="119"/>
      <c r="LZ519" s="119"/>
      <c r="MA519" s="119"/>
      <c r="MB519" s="119"/>
      <c r="MC519" s="119"/>
      <c r="MD519" s="119"/>
      <c r="ME519" s="119"/>
      <c r="MF519" s="119"/>
      <c r="MG519" s="119"/>
      <c r="MH519" s="119"/>
      <c r="MI519" s="119"/>
      <c r="MJ519" s="119"/>
      <c r="MK519" s="119"/>
      <c r="ML519" s="119"/>
      <c r="MM519" s="119"/>
      <c r="MN519" s="119"/>
      <c r="MO519" s="119"/>
      <c r="MP519" s="119"/>
      <c r="MQ519" s="119"/>
      <c r="MR519" s="119"/>
      <c r="MS519" s="119"/>
      <c r="MT519" s="119"/>
      <c r="MU519" s="119"/>
      <c r="MV519" s="119"/>
      <c r="MW519" s="119"/>
      <c r="MX519" s="119"/>
      <c r="MY519" s="119"/>
      <c r="MZ519" s="119"/>
    </row>
    <row r="520" spans="1:364" s="27" customFormat="1" x14ac:dyDescent="0.25">
      <c r="A520" s="122"/>
      <c r="B520" s="122"/>
      <c r="C520" s="126"/>
      <c r="D520" s="128"/>
      <c r="E520" s="109"/>
      <c r="F520" s="131"/>
      <c r="G520" s="131"/>
      <c r="H520" s="105" t="s">
        <v>439</v>
      </c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19"/>
      <c r="BB520" s="119"/>
      <c r="BC520" s="119"/>
      <c r="BD520" s="119"/>
      <c r="BE520" s="119"/>
      <c r="BF520" s="119"/>
      <c r="BG520" s="119"/>
      <c r="BH520" s="119"/>
      <c r="BI520" s="119"/>
      <c r="BJ520" s="119"/>
      <c r="BK520" s="119"/>
      <c r="BL520" s="26"/>
      <c r="BM520" s="119"/>
      <c r="BN520" s="26"/>
      <c r="BO520" s="119"/>
      <c r="BP520" s="119"/>
      <c r="BQ520" s="119"/>
      <c r="BR520" s="119"/>
      <c r="BS520" s="119"/>
      <c r="BT520" s="119"/>
      <c r="BU520" s="119"/>
      <c r="BV520" s="119"/>
      <c r="BW520" s="119"/>
      <c r="BX520" s="119"/>
      <c r="BY520" s="119"/>
      <c r="BZ520" s="119"/>
      <c r="CA520" s="119"/>
      <c r="CB520" s="119"/>
      <c r="CC520" s="119"/>
      <c r="CD520" s="119"/>
      <c r="CE520" s="119"/>
      <c r="CF520" s="119"/>
      <c r="CG520" s="119"/>
      <c r="CH520" s="119"/>
      <c r="CI520" s="119"/>
      <c r="CJ520" s="119"/>
      <c r="CK520" s="119"/>
      <c r="CL520" s="119"/>
      <c r="CM520" s="119"/>
      <c r="CN520" s="119"/>
      <c r="CO520" s="119"/>
      <c r="CP520" s="119"/>
      <c r="CQ520" s="119"/>
      <c r="CR520" s="119"/>
      <c r="CS520" s="119"/>
      <c r="CT520" s="119"/>
      <c r="CU520" s="119"/>
      <c r="CV520" s="119"/>
      <c r="CW520" s="119"/>
      <c r="CX520" s="119"/>
      <c r="CY520" s="119"/>
      <c r="CZ520" s="119"/>
      <c r="DA520" s="119"/>
      <c r="DB520" s="119"/>
      <c r="DC520" s="119"/>
      <c r="DD520" s="119"/>
      <c r="DE520" s="119"/>
      <c r="DF520" s="119"/>
      <c r="DG520" s="119"/>
      <c r="DH520" s="119"/>
      <c r="DI520" s="119"/>
      <c r="DJ520" s="119"/>
      <c r="DK520" s="119"/>
      <c r="DL520" s="119"/>
      <c r="DM520" s="119"/>
      <c r="DN520" s="119"/>
      <c r="DO520" s="119"/>
      <c r="DP520" s="119"/>
      <c r="DQ520" s="119"/>
      <c r="DR520" s="119"/>
      <c r="DS520" s="119"/>
      <c r="DT520" s="119"/>
      <c r="DU520" s="119"/>
      <c r="DV520" s="119"/>
      <c r="DW520" s="119"/>
      <c r="DX520" s="119"/>
      <c r="DY520" s="119"/>
      <c r="DZ520" s="119"/>
      <c r="EA520" s="119"/>
      <c r="EB520" s="119"/>
      <c r="EC520" s="119"/>
      <c r="ED520" s="119"/>
      <c r="EE520" s="119"/>
      <c r="EF520" s="119"/>
      <c r="EG520" s="119"/>
      <c r="EH520" s="119"/>
      <c r="EI520" s="119"/>
      <c r="EJ520" s="119"/>
      <c r="EK520" s="119"/>
      <c r="EL520" s="119"/>
      <c r="EM520" s="119"/>
      <c r="EN520" s="119"/>
      <c r="EO520" s="119"/>
      <c r="EP520" s="119"/>
      <c r="EQ520" s="119"/>
      <c r="ER520" s="119"/>
      <c r="ES520" s="119"/>
      <c r="ET520" s="119"/>
      <c r="EU520" s="119"/>
      <c r="EV520" s="119"/>
      <c r="EW520" s="119"/>
      <c r="EX520" s="119"/>
      <c r="EY520" s="119"/>
      <c r="EZ520" s="119"/>
      <c r="FA520" s="119"/>
      <c r="FB520" s="119"/>
      <c r="FC520" s="119"/>
      <c r="FD520" s="119"/>
      <c r="FE520" s="119"/>
      <c r="FF520" s="119"/>
      <c r="FG520" s="119"/>
      <c r="FH520" s="119"/>
      <c r="FI520" s="119"/>
      <c r="FJ520" s="119"/>
      <c r="FK520" s="119"/>
      <c r="FL520" s="119"/>
      <c r="FM520" s="119"/>
      <c r="FN520" s="119"/>
      <c r="FO520" s="119"/>
      <c r="FP520" s="119"/>
      <c r="FQ520" s="119"/>
      <c r="FR520" s="119"/>
      <c r="FS520" s="119"/>
      <c r="FT520" s="119"/>
      <c r="FU520" s="119"/>
      <c r="FV520" s="119"/>
      <c r="FW520" s="119"/>
      <c r="FX520" s="119"/>
      <c r="FY520" s="119"/>
      <c r="FZ520" s="119"/>
      <c r="GA520" s="119"/>
      <c r="GB520" s="119"/>
      <c r="GC520" s="119"/>
      <c r="GD520" s="119"/>
      <c r="GE520" s="119"/>
      <c r="GF520" s="119"/>
      <c r="GG520" s="119"/>
      <c r="GH520" s="119"/>
      <c r="GI520" s="119"/>
      <c r="GJ520" s="119"/>
      <c r="GK520" s="119"/>
      <c r="GL520" s="119"/>
      <c r="GM520" s="119"/>
      <c r="GN520" s="119"/>
      <c r="GO520" s="119"/>
      <c r="GP520" s="119"/>
      <c r="GQ520" s="119"/>
      <c r="GR520" s="119"/>
      <c r="GS520" s="119"/>
      <c r="GT520" s="119"/>
      <c r="GU520" s="119"/>
      <c r="GV520" s="119"/>
      <c r="GW520" s="119"/>
      <c r="GX520" s="119"/>
      <c r="GY520" s="119"/>
      <c r="GZ520" s="119"/>
      <c r="HA520" s="119"/>
      <c r="HB520" s="119"/>
      <c r="HC520" s="119"/>
      <c r="HD520" s="119"/>
      <c r="HE520" s="119"/>
      <c r="HF520" s="119"/>
      <c r="HG520" s="119"/>
      <c r="HH520" s="119"/>
      <c r="HI520" s="119"/>
      <c r="HJ520" s="119"/>
      <c r="HK520" s="119"/>
      <c r="HL520" s="119"/>
      <c r="HM520" s="119"/>
      <c r="HN520" s="119"/>
      <c r="HO520" s="119"/>
      <c r="HP520" s="119"/>
      <c r="HQ520" s="119"/>
      <c r="HR520" s="119"/>
      <c r="HS520" s="119"/>
      <c r="HT520" s="119"/>
      <c r="HU520" s="119"/>
      <c r="HV520" s="119"/>
      <c r="HW520" s="119"/>
      <c r="HX520" s="119"/>
      <c r="HY520" s="119"/>
      <c r="HZ520" s="119"/>
      <c r="IA520" s="119"/>
      <c r="IB520" s="119"/>
      <c r="IC520" s="119"/>
      <c r="ID520" s="119"/>
      <c r="IE520" s="119"/>
      <c r="IF520" s="119"/>
      <c r="IG520" s="119"/>
      <c r="IH520" s="119"/>
      <c r="II520" s="119"/>
      <c r="IJ520" s="119"/>
      <c r="IK520" s="119"/>
      <c r="IL520" s="119"/>
      <c r="IM520" s="119"/>
      <c r="IN520" s="119"/>
      <c r="IO520" s="119"/>
      <c r="IP520" s="119"/>
      <c r="IQ520" s="119"/>
      <c r="IR520" s="119"/>
      <c r="IS520" s="119"/>
      <c r="IT520" s="119"/>
      <c r="IU520" s="119"/>
      <c r="IV520" s="119"/>
      <c r="IW520" s="119"/>
      <c r="IX520" s="119"/>
      <c r="IY520" s="119"/>
      <c r="IZ520" s="119"/>
      <c r="JA520" s="119"/>
      <c r="JB520" s="119"/>
      <c r="JC520" s="119"/>
      <c r="JD520" s="119"/>
      <c r="JE520" s="119"/>
      <c r="JF520" s="119"/>
      <c r="JG520" s="119"/>
      <c r="JH520" s="119"/>
      <c r="JI520" s="119"/>
      <c r="JJ520" s="119"/>
      <c r="JK520" s="119"/>
      <c r="JL520" s="119"/>
      <c r="JM520" s="119"/>
      <c r="JN520" s="119"/>
      <c r="JO520" s="119"/>
      <c r="JP520" s="119"/>
      <c r="JQ520" s="119"/>
      <c r="JR520" s="119"/>
      <c r="JS520" s="119"/>
      <c r="JT520" s="119"/>
      <c r="JU520" s="119"/>
      <c r="JV520" s="119"/>
      <c r="JW520" s="119"/>
      <c r="JX520" s="119"/>
      <c r="JY520" s="119"/>
      <c r="JZ520" s="119"/>
      <c r="KA520" s="119"/>
      <c r="KB520" s="119"/>
      <c r="KC520" s="119"/>
      <c r="KD520" s="119"/>
      <c r="KE520" s="119"/>
      <c r="KF520" s="119"/>
      <c r="KG520" s="119"/>
      <c r="KH520" s="119"/>
      <c r="KI520" s="119"/>
      <c r="KJ520" s="119"/>
      <c r="KK520" s="119"/>
      <c r="KL520" s="119"/>
      <c r="KM520" s="119"/>
      <c r="KN520" s="119"/>
      <c r="KO520" s="119"/>
      <c r="KP520" s="119"/>
      <c r="KQ520" s="119"/>
      <c r="KR520" s="119"/>
      <c r="KS520" s="119"/>
      <c r="KT520" s="119"/>
      <c r="KU520" s="119"/>
      <c r="KV520" s="119"/>
      <c r="KW520" s="119"/>
      <c r="KX520" s="119"/>
      <c r="KY520" s="119"/>
      <c r="KZ520" s="119"/>
      <c r="LA520" s="119"/>
      <c r="LB520" s="119"/>
      <c r="LC520" s="119"/>
      <c r="LD520" s="119"/>
      <c r="LE520" s="119"/>
      <c r="LF520" s="119"/>
      <c r="LG520" s="119"/>
      <c r="LH520" s="119"/>
      <c r="LI520" s="119"/>
      <c r="LJ520" s="119"/>
      <c r="LK520" s="119"/>
      <c r="LL520" s="119"/>
      <c r="LM520" s="119"/>
      <c r="LN520" s="119"/>
      <c r="LO520" s="119"/>
      <c r="LP520" s="119"/>
      <c r="LQ520" s="119"/>
      <c r="LR520" s="119"/>
      <c r="LS520" s="119"/>
      <c r="LT520" s="119"/>
      <c r="LU520" s="119"/>
      <c r="LV520" s="119"/>
      <c r="LW520" s="119"/>
      <c r="LX520" s="119"/>
      <c r="LY520" s="119"/>
      <c r="LZ520" s="119"/>
      <c r="MA520" s="119"/>
      <c r="MB520" s="119"/>
      <c r="MC520" s="119"/>
      <c r="MD520" s="119"/>
      <c r="ME520" s="119"/>
      <c r="MF520" s="119"/>
      <c r="MG520" s="119"/>
      <c r="MH520" s="119"/>
      <c r="MI520" s="119"/>
      <c r="MJ520" s="119"/>
      <c r="MK520" s="119"/>
      <c r="ML520" s="119"/>
      <c r="MM520" s="119"/>
      <c r="MN520" s="119"/>
      <c r="MO520" s="119"/>
      <c r="MP520" s="119"/>
      <c r="MQ520" s="119"/>
      <c r="MR520" s="119"/>
      <c r="MS520" s="119"/>
      <c r="MT520" s="119"/>
      <c r="MU520" s="119"/>
      <c r="MV520" s="119"/>
      <c r="MW520" s="119"/>
      <c r="MX520" s="119"/>
      <c r="MY520" s="119"/>
      <c r="MZ520" s="119"/>
    </row>
    <row r="521" spans="1:364" s="27" customFormat="1" x14ac:dyDescent="0.25">
      <c r="A521" s="122"/>
      <c r="B521" s="122"/>
      <c r="C521" s="126"/>
      <c r="D521" s="128"/>
      <c r="E521" s="109" t="s">
        <v>493</v>
      </c>
      <c r="F521" s="131"/>
      <c r="G521" s="131"/>
      <c r="H521" s="106" t="s">
        <v>438</v>
      </c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19"/>
      <c r="T521" s="119"/>
      <c r="U521" s="119"/>
      <c r="V521" s="119"/>
      <c r="W521" s="119"/>
      <c r="X521" s="119"/>
      <c r="Y521" s="119"/>
      <c r="Z521" s="119"/>
      <c r="AA521" s="119"/>
      <c r="AB521" s="119"/>
      <c r="AC521" s="119"/>
      <c r="AD521" s="119"/>
      <c r="AE521" s="119"/>
      <c r="AF521" s="119"/>
      <c r="AG521" s="119"/>
      <c r="AH521" s="119"/>
      <c r="AI521" s="119"/>
      <c r="AJ521" s="119"/>
      <c r="AK521" s="119"/>
      <c r="AL521" s="119"/>
      <c r="AM521" s="119"/>
      <c r="AN521" s="119"/>
      <c r="AO521" s="119"/>
      <c r="AP521" s="119"/>
      <c r="AQ521" s="119"/>
      <c r="AR521" s="119"/>
      <c r="AS521" s="119"/>
      <c r="AT521" s="119"/>
      <c r="AU521" s="119"/>
      <c r="AV521" s="119"/>
      <c r="AW521" s="119"/>
      <c r="AX521" s="119"/>
      <c r="AY521" s="119"/>
      <c r="AZ521" s="119"/>
      <c r="BA521" s="119"/>
      <c r="BB521" s="119"/>
      <c r="BC521" s="119"/>
      <c r="BD521" s="119"/>
      <c r="BE521" s="119"/>
      <c r="BF521" s="119"/>
      <c r="BG521" s="119"/>
      <c r="BH521" s="119"/>
      <c r="BI521" s="119"/>
      <c r="BJ521" s="119"/>
      <c r="BK521" s="119"/>
      <c r="BL521" s="26"/>
      <c r="BM521" s="119"/>
      <c r="BN521" s="119"/>
      <c r="BO521" s="119"/>
      <c r="BP521" s="119"/>
      <c r="BQ521" s="119"/>
      <c r="BR521" s="119"/>
      <c r="BS521" s="119"/>
      <c r="BT521" s="119"/>
      <c r="BU521" s="119"/>
      <c r="BV521" s="119"/>
      <c r="BW521" s="119"/>
      <c r="BX521" s="119"/>
      <c r="BY521" s="119"/>
      <c r="BZ521" s="119"/>
      <c r="CA521" s="119"/>
      <c r="CB521" s="119"/>
      <c r="CC521" s="119"/>
      <c r="CD521" s="119"/>
      <c r="CE521" s="119"/>
      <c r="CF521" s="119"/>
      <c r="CG521" s="119"/>
      <c r="CH521" s="119"/>
      <c r="CI521" s="119"/>
      <c r="CJ521" s="119"/>
      <c r="CK521" s="119"/>
      <c r="CL521" s="119"/>
      <c r="CM521" s="119"/>
      <c r="CN521" s="119"/>
      <c r="CO521" s="119"/>
      <c r="CP521" s="119"/>
      <c r="CQ521" s="119"/>
      <c r="CR521" s="119"/>
      <c r="CS521" s="119"/>
      <c r="CT521" s="119"/>
      <c r="CU521" s="119"/>
      <c r="CV521" s="119"/>
      <c r="CW521" s="119"/>
      <c r="CX521" s="119"/>
      <c r="CY521" s="119"/>
      <c r="CZ521" s="119"/>
      <c r="DA521" s="119"/>
      <c r="DB521" s="119"/>
      <c r="DC521" s="119"/>
      <c r="DD521" s="119"/>
      <c r="DE521" s="119"/>
      <c r="DF521" s="119"/>
      <c r="DG521" s="119"/>
      <c r="DH521" s="119"/>
      <c r="DI521" s="119"/>
      <c r="DJ521" s="119"/>
      <c r="DK521" s="119"/>
      <c r="DL521" s="119"/>
      <c r="DM521" s="119"/>
      <c r="DN521" s="119"/>
      <c r="DO521" s="119"/>
      <c r="DP521" s="119"/>
      <c r="DQ521" s="119"/>
      <c r="DR521" s="119"/>
      <c r="DS521" s="119"/>
      <c r="DT521" s="119"/>
      <c r="DU521" s="119"/>
      <c r="DV521" s="119"/>
      <c r="DW521" s="119"/>
      <c r="DX521" s="119"/>
      <c r="DY521" s="119"/>
      <c r="DZ521" s="119"/>
      <c r="EA521" s="119"/>
      <c r="EB521" s="119"/>
      <c r="EC521" s="119"/>
      <c r="ED521" s="119"/>
      <c r="EE521" s="119"/>
      <c r="EF521" s="119"/>
      <c r="EG521" s="119"/>
      <c r="EH521" s="119"/>
      <c r="EI521" s="119"/>
      <c r="EJ521" s="119"/>
      <c r="EK521" s="119"/>
      <c r="EL521" s="119"/>
      <c r="EM521" s="119"/>
      <c r="EN521" s="119"/>
      <c r="EO521" s="119"/>
      <c r="EP521" s="119"/>
      <c r="EQ521" s="119"/>
      <c r="ER521" s="119"/>
      <c r="ES521" s="119"/>
      <c r="ET521" s="119"/>
      <c r="EU521" s="119"/>
      <c r="EV521" s="119"/>
      <c r="EW521" s="119"/>
      <c r="EX521" s="119"/>
      <c r="EY521" s="119"/>
      <c r="EZ521" s="119"/>
      <c r="FA521" s="119"/>
      <c r="FB521" s="119"/>
      <c r="FC521" s="119"/>
      <c r="FD521" s="119"/>
      <c r="FE521" s="119"/>
      <c r="FF521" s="119"/>
      <c r="FG521" s="119"/>
      <c r="FH521" s="119"/>
      <c r="FI521" s="119"/>
      <c r="FJ521" s="119"/>
      <c r="FK521" s="119"/>
      <c r="FL521" s="119"/>
      <c r="FM521" s="119"/>
      <c r="FN521" s="119"/>
      <c r="FO521" s="119"/>
      <c r="FP521" s="119"/>
      <c r="FQ521" s="119"/>
      <c r="FR521" s="119"/>
      <c r="FS521" s="119"/>
      <c r="FT521" s="119"/>
      <c r="FU521" s="119"/>
      <c r="FV521" s="119"/>
      <c r="FW521" s="119"/>
      <c r="FX521" s="119"/>
      <c r="FY521" s="119"/>
      <c r="FZ521" s="119"/>
      <c r="GA521" s="119"/>
      <c r="GB521" s="119"/>
      <c r="GC521" s="119"/>
      <c r="GD521" s="119"/>
      <c r="GE521" s="119"/>
      <c r="GF521" s="119"/>
      <c r="GG521" s="119"/>
      <c r="GH521" s="119"/>
      <c r="GI521" s="119"/>
      <c r="GJ521" s="119"/>
      <c r="GK521" s="119"/>
      <c r="GL521" s="119"/>
      <c r="GM521" s="119"/>
      <c r="GN521" s="119"/>
      <c r="GO521" s="119"/>
      <c r="GP521" s="119"/>
      <c r="GQ521" s="119"/>
      <c r="GR521" s="119"/>
      <c r="GS521" s="119"/>
      <c r="GT521" s="119"/>
      <c r="GU521" s="119"/>
      <c r="GV521" s="119"/>
      <c r="GW521" s="119"/>
      <c r="GX521" s="119"/>
      <c r="GY521" s="119"/>
      <c r="GZ521" s="119"/>
      <c r="HA521" s="119"/>
      <c r="HB521" s="119"/>
      <c r="HC521" s="119"/>
      <c r="HD521" s="119"/>
      <c r="HE521" s="119"/>
      <c r="HF521" s="119"/>
      <c r="HG521" s="119"/>
      <c r="HH521" s="119"/>
      <c r="HI521" s="119"/>
      <c r="HJ521" s="119"/>
      <c r="HK521" s="119"/>
      <c r="HL521" s="119"/>
      <c r="HM521" s="119"/>
      <c r="HN521" s="119"/>
      <c r="HO521" s="119"/>
      <c r="HP521" s="119"/>
      <c r="HQ521" s="119"/>
      <c r="HR521" s="119"/>
      <c r="HS521" s="119"/>
      <c r="HT521" s="119"/>
      <c r="HU521" s="119"/>
      <c r="HV521" s="119"/>
      <c r="HW521" s="119"/>
      <c r="HX521" s="119"/>
      <c r="HY521" s="119"/>
      <c r="HZ521" s="119"/>
      <c r="IA521" s="119"/>
      <c r="IB521" s="119"/>
      <c r="IC521" s="119"/>
      <c r="ID521" s="119"/>
      <c r="IE521" s="119"/>
      <c r="IF521" s="119"/>
      <c r="IG521" s="119"/>
      <c r="IH521" s="119"/>
      <c r="II521" s="119"/>
      <c r="IJ521" s="119"/>
      <c r="IK521" s="119"/>
      <c r="IL521" s="119"/>
      <c r="IM521" s="119"/>
      <c r="IN521" s="119"/>
      <c r="IO521" s="119"/>
      <c r="IP521" s="119"/>
      <c r="IQ521" s="119"/>
      <c r="IR521" s="119"/>
      <c r="IS521" s="119"/>
      <c r="IT521" s="119"/>
      <c r="IU521" s="119"/>
      <c r="IV521" s="119"/>
      <c r="IW521" s="119"/>
      <c r="IX521" s="119"/>
      <c r="IY521" s="119"/>
      <c r="IZ521" s="119"/>
      <c r="JA521" s="119"/>
      <c r="JB521" s="119"/>
      <c r="JC521" s="119"/>
      <c r="JD521" s="119"/>
      <c r="JE521" s="119"/>
      <c r="JF521" s="119"/>
      <c r="JG521" s="119"/>
      <c r="JH521" s="119"/>
      <c r="JI521" s="119"/>
      <c r="JJ521" s="119"/>
      <c r="JK521" s="119"/>
      <c r="JL521" s="119"/>
      <c r="JM521" s="119"/>
      <c r="JN521" s="119"/>
      <c r="JO521" s="119"/>
      <c r="JP521" s="119"/>
      <c r="JQ521" s="119"/>
      <c r="JR521" s="119"/>
      <c r="JS521" s="119"/>
      <c r="JT521" s="119"/>
      <c r="JU521" s="119"/>
      <c r="JV521" s="119"/>
      <c r="JW521" s="119"/>
      <c r="JX521" s="119"/>
      <c r="JY521" s="119"/>
      <c r="JZ521" s="119"/>
      <c r="KA521" s="119"/>
      <c r="KB521" s="119"/>
      <c r="KC521" s="119"/>
      <c r="KD521" s="119"/>
      <c r="KE521" s="119"/>
      <c r="KF521" s="119"/>
      <c r="KG521" s="119"/>
      <c r="KH521" s="119"/>
      <c r="KI521" s="119"/>
      <c r="KJ521" s="119"/>
      <c r="KK521" s="119"/>
      <c r="KL521" s="119"/>
      <c r="KM521" s="119"/>
      <c r="KN521" s="119"/>
      <c r="KO521" s="119"/>
      <c r="KP521" s="119"/>
      <c r="KQ521" s="119"/>
      <c r="KR521" s="119"/>
      <c r="KS521" s="119"/>
      <c r="KT521" s="119"/>
      <c r="KU521" s="119"/>
      <c r="KV521" s="119"/>
      <c r="KW521" s="119"/>
      <c r="KX521" s="119"/>
      <c r="KY521" s="119"/>
      <c r="KZ521" s="119"/>
      <c r="LA521" s="119"/>
      <c r="LB521" s="119"/>
      <c r="LC521" s="119"/>
      <c r="LD521" s="119"/>
      <c r="LE521" s="119"/>
      <c r="LF521" s="119"/>
      <c r="LG521" s="119"/>
      <c r="LH521" s="119"/>
      <c r="LI521" s="119"/>
      <c r="LJ521" s="119"/>
      <c r="LK521" s="119"/>
      <c r="LL521" s="119"/>
      <c r="LM521" s="119"/>
      <c r="LN521" s="119"/>
      <c r="LO521" s="119"/>
      <c r="LP521" s="119"/>
      <c r="LQ521" s="119"/>
      <c r="LR521" s="119"/>
      <c r="LS521" s="119"/>
      <c r="LT521" s="119"/>
      <c r="LU521" s="119"/>
      <c r="LV521" s="119"/>
      <c r="LW521" s="119"/>
      <c r="LX521" s="119"/>
      <c r="LY521" s="119"/>
      <c r="LZ521" s="119"/>
      <c r="MA521" s="119"/>
      <c r="MB521" s="119"/>
      <c r="MC521" s="119"/>
      <c r="MD521" s="119"/>
      <c r="ME521" s="119"/>
      <c r="MF521" s="119"/>
      <c r="MG521" s="119"/>
      <c r="MH521" s="119"/>
      <c r="MI521" s="119"/>
      <c r="MJ521" s="119"/>
      <c r="MK521" s="119"/>
      <c r="ML521" s="119"/>
      <c r="MM521" s="119"/>
      <c r="MN521" s="119"/>
      <c r="MO521" s="119"/>
      <c r="MP521" s="119"/>
      <c r="MQ521" s="119"/>
      <c r="MR521" s="119"/>
      <c r="MS521" s="119"/>
      <c r="MT521" s="119"/>
      <c r="MU521" s="119"/>
      <c r="MV521" s="119"/>
      <c r="MW521" s="119"/>
      <c r="MX521" s="119"/>
      <c r="MY521" s="119"/>
      <c r="MZ521" s="119"/>
    </row>
    <row r="522" spans="1:364" s="27" customFormat="1" x14ac:dyDescent="0.25">
      <c r="A522" s="123"/>
      <c r="B522" s="123"/>
      <c r="C522" s="126"/>
      <c r="D522" s="129"/>
      <c r="E522" s="109"/>
      <c r="F522" s="131"/>
      <c r="G522" s="132"/>
      <c r="H522" s="114" t="s">
        <v>149</v>
      </c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19"/>
      <c r="T522" s="119"/>
      <c r="U522" s="119"/>
      <c r="V522" s="119"/>
      <c r="W522" s="119"/>
      <c r="X522" s="119"/>
      <c r="Y522" s="119"/>
      <c r="Z522" s="119"/>
      <c r="AA522" s="119"/>
      <c r="AB522" s="119"/>
      <c r="AC522" s="119"/>
      <c r="AD522" s="119"/>
      <c r="AE522" s="119"/>
      <c r="AF522" s="119"/>
      <c r="AG522" s="119"/>
      <c r="AH522" s="119"/>
      <c r="AI522" s="119"/>
      <c r="AJ522" s="119"/>
      <c r="AK522" s="119"/>
      <c r="AL522" s="119"/>
      <c r="AM522" s="119"/>
      <c r="AN522" s="119"/>
      <c r="AO522" s="119"/>
      <c r="AP522" s="119"/>
      <c r="AQ522" s="119"/>
      <c r="AR522" s="119"/>
      <c r="AS522" s="119"/>
      <c r="AT522" s="119"/>
      <c r="AU522" s="119"/>
      <c r="AV522" s="119"/>
      <c r="AW522" s="119"/>
      <c r="AX522" s="119"/>
      <c r="AY522" s="119"/>
      <c r="AZ522" s="119"/>
      <c r="BA522" s="119"/>
      <c r="BB522" s="119"/>
      <c r="BC522" s="119"/>
      <c r="BD522" s="119"/>
      <c r="BE522" s="119"/>
      <c r="BF522" s="119"/>
      <c r="BG522" s="119"/>
      <c r="BH522" s="119"/>
      <c r="BI522" s="119"/>
      <c r="BJ522" s="119"/>
      <c r="BK522" s="119"/>
      <c r="BL522" s="26"/>
      <c r="BM522" s="119"/>
      <c r="BN522" s="119"/>
      <c r="BO522" s="119"/>
      <c r="BP522" s="119"/>
      <c r="BQ522" s="119"/>
      <c r="BR522" s="119"/>
      <c r="BS522" s="119"/>
      <c r="BT522" s="119"/>
      <c r="BU522" s="119"/>
      <c r="BV522" s="119"/>
      <c r="BW522" s="119"/>
      <c r="BX522" s="119"/>
      <c r="BY522" s="119"/>
      <c r="BZ522" s="119"/>
      <c r="CA522" s="119"/>
      <c r="CB522" s="119"/>
      <c r="CC522" s="119"/>
      <c r="CD522" s="119"/>
      <c r="CE522" s="119"/>
      <c r="CF522" s="119"/>
      <c r="CG522" s="119"/>
      <c r="CH522" s="119"/>
      <c r="CI522" s="119"/>
      <c r="CJ522" s="119"/>
      <c r="CK522" s="119"/>
      <c r="CL522" s="119"/>
      <c r="CM522" s="119"/>
      <c r="CN522" s="119"/>
      <c r="CO522" s="119"/>
      <c r="CP522" s="119"/>
      <c r="CQ522" s="119"/>
      <c r="CR522" s="119"/>
      <c r="CS522" s="119"/>
      <c r="CT522" s="119"/>
      <c r="CU522" s="119"/>
      <c r="CV522" s="119"/>
      <c r="CW522" s="119"/>
      <c r="CX522" s="119"/>
      <c r="CY522" s="119"/>
      <c r="CZ522" s="119"/>
      <c r="DA522" s="119"/>
      <c r="DB522" s="119"/>
      <c r="DC522" s="119"/>
      <c r="DD522" s="119"/>
      <c r="DE522" s="119"/>
      <c r="DF522" s="119"/>
      <c r="DG522" s="119"/>
      <c r="DH522" s="119"/>
      <c r="DI522" s="119"/>
      <c r="DJ522" s="119"/>
      <c r="DK522" s="119"/>
      <c r="DL522" s="119"/>
      <c r="DM522" s="119"/>
      <c r="DN522" s="119"/>
      <c r="DO522" s="119"/>
      <c r="DP522" s="119"/>
      <c r="DQ522" s="119"/>
      <c r="DR522" s="119"/>
      <c r="DS522" s="119"/>
      <c r="DT522" s="119"/>
      <c r="DU522" s="119"/>
      <c r="DV522" s="119"/>
      <c r="DW522" s="119"/>
      <c r="DX522" s="119"/>
      <c r="DY522" s="119"/>
      <c r="DZ522" s="119"/>
      <c r="EA522" s="119"/>
      <c r="EB522" s="119"/>
      <c r="EC522" s="119"/>
      <c r="ED522" s="119"/>
      <c r="EE522" s="119"/>
      <c r="EF522" s="119"/>
      <c r="EG522" s="119"/>
      <c r="EH522" s="119"/>
      <c r="EI522" s="119"/>
      <c r="EJ522" s="119"/>
      <c r="EK522" s="119"/>
      <c r="EL522" s="119"/>
      <c r="EM522" s="119"/>
      <c r="EN522" s="119"/>
      <c r="EO522" s="119"/>
      <c r="EP522" s="119"/>
      <c r="EQ522" s="119"/>
      <c r="ER522" s="119"/>
      <c r="ES522" s="119"/>
      <c r="ET522" s="119"/>
      <c r="EU522" s="119"/>
      <c r="EV522" s="119"/>
      <c r="EW522" s="119"/>
      <c r="EX522" s="119"/>
      <c r="EY522" s="119"/>
      <c r="EZ522" s="119"/>
      <c r="FA522" s="119"/>
      <c r="FB522" s="119"/>
      <c r="FC522" s="119"/>
      <c r="FD522" s="119"/>
      <c r="FE522" s="119"/>
      <c r="FF522" s="119"/>
      <c r="FG522" s="119"/>
      <c r="FH522" s="119"/>
      <c r="FI522" s="119"/>
      <c r="FJ522" s="119"/>
      <c r="FK522" s="119"/>
      <c r="FL522" s="119"/>
      <c r="FM522" s="119"/>
      <c r="FN522" s="119"/>
      <c r="FO522" s="119"/>
      <c r="FP522" s="119"/>
      <c r="FQ522" s="119"/>
      <c r="FR522" s="119"/>
      <c r="FS522" s="119"/>
      <c r="FT522" s="119"/>
      <c r="FU522" s="119"/>
      <c r="FV522" s="119"/>
      <c r="FW522" s="119"/>
      <c r="FX522" s="119"/>
      <c r="FY522" s="119"/>
      <c r="FZ522" s="119"/>
      <c r="GA522" s="119"/>
      <c r="GB522" s="119"/>
      <c r="GC522" s="119"/>
      <c r="GD522" s="119"/>
      <c r="GE522" s="119"/>
      <c r="GF522" s="119"/>
      <c r="GG522" s="119"/>
      <c r="GH522" s="119"/>
      <c r="GI522" s="119"/>
      <c r="GJ522" s="119"/>
      <c r="GK522" s="119"/>
      <c r="GL522" s="119"/>
      <c r="GM522" s="119"/>
      <c r="GN522" s="119"/>
      <c r="GO522" s="119"/>
      <c r="GP522" s="119"/>
      <c r="GQ522" s="119"/>
      <c r="GR522" s="119"/>
      <c r="GS522" s="119"/>
      <c r="GT522" s="119"/>
      <c r="GU522" s="119"/>
      <c r="GV522" s="119"/>
      <c r="GW522" s="119"/>
      <c r="GX522" s="119"/>
      <c r="GY522" s="119"/>
      <c r="GZ522" s="119"/>
      <c r="HA522" s="119"/>
      <c r="HB522" s="119"/>
      <c r="HC522" s="119"/>
      <c r="HD522" s="119"/>
      <c r="HE522" s="119"/>
      <c r="HF522" s="119"/>
      <c r="HG522" s="119"/>
      <c r="HH522" s="119"/>
      <c r="HI522" s="119"/>
      <c r="HJ522" s="119"/>
      <c r="HK522" s="119"/>
      <c r="HL522" s="119"/>
      <c r="HM522" s="119"/>
      <c r="HN522" s="119"/>
      <c r="HO522" s="119"/>
      <c r="HP522" s="119"/>
      <c r="HQ522" s="119"/>
      <c r="HR522" s="119"/>
      <c r="HS522" s="119"/>
      <c r="HT522" s="119"/>
      <c r="HU522" s="119"/>
      <c r="HV522" s="119"/>
      <c r="HW522" s="119"/>
      <c r="HX522" s="119"/>
      <c r="HY522" s="119"/>
      <c r="HZ522" s="119"/>
      <c r="IA522" s="119"/>
      <c r="IB522" s="119"/>
      <c r="IC522" s="119"/>
      <c r="ID522" s="119"/>
      <c r="IE522" s="119"/>
      <c r="IF522" s="119"/>
      <c r="IG522" s="119"/>
      <c r="IH522" s="119"/>
      <c r="II522" s="119"/>
      <c r="IJ522" s="119"/>
      <c r="IK522" s="119"/>
      <c r="IL522" s="119"/>
      <c r="IM522" s="119"/>
      <c r="IN522" s="119"/>
      <c r="IO522" s="119"/>
      <c r="IP522" s="119"/>
      <c r="IQ522" s="119"/>
      <c r="IR522" s="119"/>
      <c r="IS522" s="119"/>
      <c r="IT522" s="119"/>
      <c r="IU522" s="119"/>
      <c r="IV522" s="119"/>
      <c r="IW522" s="119"/>
      <c r="IX522" s="119"/>
      <c r="IY522" s="119"/>
      <c r="IZ522" s="119"/>
      <c r="JA522" s="119"/>
      <c r="JB522" s="119"/>
      <c r="JC522" s="119"/>
      <c r="JD522" s="119"/>
      <c r="JE522" s="119"/>
      <c r="JF522" s="119"/>
      <c r="JG522" s="119"/>
      <c r="JH522" s="119"/>
      <c r="JI522" s="119"/>
      <c r="JJ522" s="119"/>
      <c r="JK522" s="119"/>
      <c r="JL522" s="119"/>
      <c r="JM522" s="119"/>
      <c r="JN522" s="119"/>
      <c r="JO522" s="119"/>
      <c r="JP522" s="119"/>
      <c r="JQ522" s="119"/>
      <c r="JR522" s="119"/>
      <c r="JS522" s="119"/>
      <c r="JT522" s="119"/>
      <c r="JU522" s="119"/>
      <c r="JV522" s="119"/>
      <c r="JW522" s="119"/>
      <c r="JX522" s="119"/>
      <c r="JY522" s="119"/>
      <c r="JZ522" s="119"/>
      <c r="KA522" s="119"/>
      <c r="KB522" s="119"/>
      <c r="KC522" s="119"/>
      <c r="KD522" s="119"/>
      <c r="KE522" s="119"/>
      <c r="KF522" s="119"/>
      <c r="KG522" s="119"/>
      <c r="KH522" s="119"/>
      <c r="KI522" s="119"/>
      <c r="KJ522" s="119"/>
      <c r="KK522" s="119"/>
      <c r="KL522" s="119"/>
      <c r="KM522" s="119"/>
      <c r="KN522" s="119"/>
      <c r="KO522" s="119"/>
      <c r="KP522" s="119"/>
      <c r="KQ522" s="119"/>
      <c r="KR522" s="119"/>
      <c r="KS522" s="119"/>
      <c r="KT522" s="119"/>
      <c r="KU522" s="119"/>
      <c r="KV522" s="119"/>
      <c r="KW522" s="119"/>
      <c r="KX522" s="119"/>
      <c r="KY522" s="119"/>
      <c r="KZ522" s="119"/>
      <c r="LA522" s="119"/>
      <c r="LB522" s="119"/>
      <c r="LC522" s="119"/>
      <c r="LD522" s="119"/>
      <c r="LE522" s="119"/>
      <c r="LF522" s="119"/>
      <c r="LG522" s="119"/>
      <c r="LH522" s="119"/>
      <c r="LI522" s="119"/>
      <c r="LJ522" s="119"/>
      <c r="LK522" s="119"/>
      <c r="LL522" s="119"/>
      <c r="LM522" s="119"/>
      <c r="LN522" s="119"/>
      <c r="LO522" s="119"/>
      <c r="LP522" s="119"/>
      <c r="LQ522" s="119"/>
      <c r="LR522" s="119"/>
      <c r="LS522" s="119"/>
      <c r="LT522" s="119"/>
      <c r="LU522" s="119"/>
      <c r="LV522" s="119"/>
      <c r="LW522" s="119"/>
      <c r="LX522" s="119"/>
      <c r="LY522" s="119"/>
      <c r="LZ522" s="119"/>
      <c r="MA522" s="119"/>
      <c r="MB522" s="119"/>
      <c r="MC522" s="119"/>
      <c r="MD522" s="119"/>
      <c r="ME522" s="119"/>
      <c r="MF522" s="119"/>
      <c r="MG522" s="119"/>
      <c r="MH522" s="119"/>
      <c r="MI522" s="119"/>
      <c r="MJ522" s="119"/>
      <c r="MK522" s="119"/>
      <c r="ML522" s="119"/>
      <c r="MM522" s="119"/>
      <c r="MN522" s="119"/>
      <c r="MO522" s="119"/>
      <c r="MP522" s="119"/>
      <c r="MQ522" s="119"/>
      <c r="MR522" s="119"/>
      <c r="MS522" s="119"/>
      <c r="MT522" s="119"/>
      <c r="MU522" s="119"/>
      <c r="MV522" s="119"/>
      <c r="MW522" s="119"/>
      <c r="MX522" s="119"/>
      <c r="MY522" s="119"/>
      <c r="MZ522" s="119"/>
    </row>
    <row r="523" spans="1:364" s="27" customFormat="1" x14ac:dyDescent="0.25">
      <c r="A523" s="121"/>
      <c r="B523" s="124" t="e">
        <f>VLOOKUP(A523,Rules!$B$8:$C$154,2,0)</f>
        <v>#N/A</v>
      </c>
      <c r="C523" s="125">
        <f t="shared" ref="C523" si="30">SUM(I524:XX524)</f>
        <v>0</v>
      </c>
      <c r="D523" s="127"/>
      <c r="E523" s="110" t="s">
        <v>492</v>
      </c>
      <c r="F523" s="130" t="e">
        <f>VLOOKUP(A523,Table2[],10,0)</f>
        <v>#N/A</v>
      </c>
      <c r="G523" s="130"/>
      <c r="H523" s="113" t="s">
        <v>440</v>
      </c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9"/>
      <c r="T523" s="119"/>
      <c r="U523" s="119"/>
      <c r="V523" s="119"/>
      <c r="W523" s="119"/>
      <c r="X523" s="119"/>
      <c r="Y523" s="119"/>
      <c r="Z523" s="119"/>
      <c r="AA523" s="119"/>
      <c r="AB523" s="119"/>
      <c r="AC523" s="119"/>
      <c r="AD523" s="119"/>
      <c r="AE523" s="119"/>
      <c r="AF523" s="119"/>
      <c r="AG523" s="119"/>
      <c r="AH523" s="119"/>
      <c r="AI523" s="119"/>
      <c r="AJ523" s="119"/>
      <c r="AK523" s="119"/>
      <c r="AL523" s="119"/>
      <c r="AM523" s="119"/>
      <c r="AN523" s="119"/>
      <c r="AO523" s="119"/>
      <c r="AP523" s="119"/>
      <c r="AQ523" s="119"/>
      <c r="AR523" s="119"/>
      <c r="AS523" s="119"/>
      <c r="AT523" s="119"/>
      <c r="AU523" s="119"/>
      <c r="AV523" s="119"/>
      <c r="AW523" s="119"/>
      <c r="AX523" s="119"/>
      <c r="AY523" s="119"/>
      <c r="AZ523" s="119"/>
      <c r="BA523" s="119"/>
      <c r="BB523" s="119"/>
      <c r="BC523" s="119"/>
      <c r="BD523" s="119"/>
      <c r="BE523" s="119"/>
      <c r="BF523" s="119"/>
      <c r="BG523" s="119"/>
      <c r="BH523" s="119"/>
      <c r="BI523" s="119"/>
      <c r="BJ523" s="119"/>
      <c r="BK523" s="119"/>
      <c r="BL523" s="26"/>
      <c r="BM523" s="119"/>
      <c r="BN523" s="26"/>
      <c r="BO523" s="119"/>
      <c r="BP523" s="119"/>
      <c r="BQ523" s="119"/>
      <c r="BR523" s="119"/>
      <c r="BS523" s="119"/>
      <c r="BT523" s="119"/>
      <c r="BU523" s="119"/>
      <c r="BV523" s="119"/>
      <c r="BW523" s="119"/>
      <c r="BX523" s="119"/>
      <c r="BY523" s="119"/>
      <c r="BZ523" s="119"/>
      <c r="CA523" s="119"/>
      <c r="CB523" s="119"/>
      <c r="CC523" s="119"/>
      <c r="CD523" s="119"/>
      <c r="CE523" s="119"/>
      <c r="CF523" s="119"/>
      <c r="CG523" s="119"/>
      <c r="CH523" s="119"/>
      <c r="CI523" s="119"/>
      <c r="CJ523" s="119"/>
      <c r="CK523" s="119"/>
      <c r="CL523" s="119"/>
      <c r="CM523" s="119"/>
      <c r="CN523" s="119"/>
      <c r="CO523" s="119"/>
      <c r="CP523" s="119"/>
      <c r="CQ523" s="119"/>
      <c r="CR523" s="119"/>
      <c r="CS523" s="119"/>
      <c r="CT523" s="119"/>
      <c r="CU523" s="119"/>
      <c r="CV523" s="119"/>
      <c r="CW523" s="119"/>
      <c r="CX523" s="119"/>
      <c r="CY523" s="119"/>
      <c r="CZ523" s="119"/>
      <c r="DA523" s="119"/>
      <c r="DB523" s="119"/>
      <c r="DC523" s="119"/>
      <c r="DD523" s="119"/>
      <c r="DE523" s="119"/>
      <c r="DF523" s="119"/>
      <c r="DG523" s="119"/>
      <c r="DH523" s="119"/>
      <c r="DI523" s="119"/>
      <c r="DJ523" s="119"/>
      <c r="DK523" s="119"/>
      <c r="DL523" s="119"/>
      <c r="DM523" s="119"/>
      <c r="DN523" s="119"/>
      <c r="DO523" s="119"/>
      <c r="DP523" s="119"/>
      <c r="DQ523" s="119"/>
      <c r="DR523" s="119"/>
      <c r="DS523" s="119"/>
      <c r="DT523" s="119"/>
      <c r="DU523" s="119"/>
      <c r="DV523" s="119"/>
      <c r="DW523" s="119"/>
      <c r="DX523" s="119"/>
      <c r="DY523" s="119"/>
      <c r="DZ523" s="119"/>
      <c r="EA523" s="119"/>
      <c r="EB523" s="119"/>
      <c r="EC523" s="119"/>
      <c r="ED523" s="119"/>
      <c r="EE523" s="119"/>
      <c r="EF523" s="119"/>
      <c r="EG523" s="119"/>
      <c r="EH523" s="119"/>
      <c r="EI523" s="119"/>
      <c r="EJ523" s="119"/>
      <c r="EK523" s="119"/>
      <c r="EL523" s="119"/>
      <c r="EM523" s="119"/>
      <c r="EN523" s="119"/>
      <c r="EO523" s="119"/>
      <c r="EP523" s="119"/>
      <c r="EQ523" s="119"/>
      <c r="ER523" s="119"/>
      <c r="ES523" s="119"/>
      <c r="ET523" s="119"/>
      <c r="EU523" s="119"/>
      <c r="EV523" s="119"/>
      <c r="EW523" s="119"/>
      <c r="EX523" s="119"/>
      <c r="EY523" s="119"/>
      <c r="EZ523" s="119"/>
      <c r="FA523" s="119"/>
      <c r="FB523" s="119"/>
      <c r="FC523" s="119"/>
      <c r="FD523" s="119"/>
      <c r="FE523" s="119"/>
      <c r="FF523" s="119"/>
      <c r="FG523" s="119"/>
      <c r="FH523" s="119"/>
      <c r="FI523" s="119"/>
      <c r="FJ523" s="119"/>
      <c r="FK523" s="119"/>
      <c r="FL523" s="119"/>
      <c r="FM523" s="119"/>
      <c r="FN523" s="119"/>
      <c r="FO523" s="119"/>
      <c r="FP523" s="119"/>
      <c r="FQ523" s="119"/>
      <c r="FR523" s="119"/>
      <c r="FS523" s="119"/>
      <c r="FT523" s="119"/>
      <c r="FU523" s="119"/>
      <c r="FV523" s="119"/>
      <c r="FW523" s="119"/>
      <c r="FX523" s="119"/>
      <c r="FY523" s="119"/>
      <c r="FZ523" s="119"/>
      <c r="GA523" s="119"/>
      <c r="GB523" s="119"/>
      <c r="GC523" s="119"/>
      <c r="GD523" s="119"/>
      <c r="GE523" s="119"/>
      <c r="GF523" s="119"/>
      <c r="GG523" s="119"/>
      <c r="GH523" s="119"/>
      <c r="GI523" s="119"/>
      <c r="GJ523" s="119"/>
      <c r="GK523" s="119"/>
      <c r="GL523" s="119"/>
      <c r="GM523" s="119"/>
      <c r="GN523" s="119"/>
      <c r="GO523" s="119"/>
      <c r="GP523" s="119"/>
      <c r="GQ523" s="119"/>
      <c r="GR523" s="119"/>
      <c r="GS523" s="119"/>
      <c r="GT523" s="119"/>
      <c r="GU523" s="119"/>
      <c r="GV523" s="119"/>
      <c r="GW523" s="119"/>
      <c r="GX523" s="119"/>
      <c r="GY523" s="119"/>
      <c r="GZ523" s="119"/>
      <c r="HA523" s="119"/>
      <c r="HB523" s="119"/>
      <c r="HC523" s="119"/>
      <c r="HD523" s="119"/>
      <c r="HE523" s="119"/>
      <c r="HF523" s="119"/>
      <c r="HG523" s="119"/>
      <c r="HH523" s="119"/>
      <c r="HI523" s="119"/>
      <c r="HJ523" s="119"/>
      <c r="HK523" s="119"/>
      <c r="HL523" s="119"/>
      <c r="HM523" s="119"/>
      <c r="HN523" s="119"/>
      <c r="HO523" s="119"/>
      <c r="HP523" s="119"/>
      <c r="HQ523" s="119"/>
      <c r="HR523" s="119"/>
      <c r="HS523" s="119"/>
      <c r="HT523" s="119"/>
      <c r="HU523" s="119"/>
      <c r="HV523" s="119"/>
      <c r="HW523" s="119"/>
      <c r="HX523" s="119"/>
      <c r="HY523" s="119"/>
      <c r="HZ523" s="119"/>
      <c r="IA523" s="119"/>
      <c r="IB523" s="119"/>
      <c r="IC523" s="119"/>
      <c r="ID523" s="119"/>
      <c r="IE523" s="119"/>
      <c r="IF523" s="119"/>
      <c r="IG523" s="119"/>
      <c r="IH523" s="119"/>
      <c r="II523" s="119"/>
      <c r="IJ523" s="119"/>
      <c r="IK523" s="119"/>
      <c r="IL523" s="119"/>
      <c r="IM523" s="119"/>
      <c r="IN523" s="119"/>
      <c r="IO523" s="119"/>
      <c r="IP523" s="119"/>
      <c r="IQ523" s="119"/>
      <c r="IR523" s="119"/>
      <c r="IS523" s="119"/>
      <c r="IT523" s="119"/>
      <c r="IU523" s="119"/>
      <c r="IV523" s="119"/>
      <c r="IW523" s="119"/>
      <c r="IX523" s="119"/>
      <c r="IY523" s="119"/>
      <c r="IZ523" s="119"/>
      <c r="JA523" s="119"/>
      <c r="JB523" s="119"/>
      <c r="JC523" s="119"/>
      <c r="JD523" s="119"/>
      <c r="JE523" s="119"/>
      <c r="JF523" s="119"/>
      <c r="JG523" s="119"/>
      <c r="JH523" s="119"/>
      <c r="JI523" s="119"/>
      <c r="JJ523" s="119"/>
      <c r="JK523" s="119"/>
      <c r="JL523" s="119"/>
      <c r="JM523" s="119"/>
      <c r="JN523" s="119"/>
      <c r="JO523" s="119"/>
      <c r="JP523" s="119"/>
      <c r="JQ523" s="119"/>
      <c r="JR523" s="119"/>
      <c r="JS523" s="119"/>
      <c r="JT523" s="119"/>
      <c r="JU523" s="119"/>
      <c r="JV523" s="119"/>
      <c r="JW523" s="119"/>
      <c r="JX523" s="119"/>
      <c r="JY523" s="119"/>
      <c r="JZ523" s="119"/>
      <c r="KA523" s="119"/>
      <c r="KB523" s="119"/>
      <c r="KC523" s="119"/>
      <c r="KD523" s="119"/>
      <c r="KE523" s="119"/>
      <c r="KF523" s="119"/>
      <c r="KG523" s="119"/>
      <c r="KH523" s="119"/>
      <c r="KI523" s="119"/>
      <c r="KJ523" s="119"/>
      <c r="KK523" s="119"/>
      <c r="KL523" s="119"/>
      <c r="KM523" s="119"/>
      <c r="KN523" s="119"/>
      <c r="KO523" s="119"/>
      <c r="KP523" s="119"/>
      <c r="KQ523" s="119"/>
      <c r="KR523" s="119"/>
      <c r="KS523" s="119"/>
      <c r="KT523" s="119"/>
      <c r="KU523" s="119"/>
      <c r="KV523" s="119"/>
      <c r="KW523" s="119"/>
      <c r="KX523" s="119"/>
      <c r="KY523" s="119"/>
      <c r="KZ523" s="119"/>
      <c r="LA523" s="119"/>
      <c r="LB523" s="119"/>
      <c r="LC523" s="119"/>
      <c r="LD523" s="119"/>
      <c r="LE523" s="119"/>
      <c r="LF523" s="119"/>
      <c r="LG523" s="119"/>
      <c r="LH523" s="119"/>
      <c r="LI523" s="119"/>
      <c r="LJ523" s="119"/>
      <c r="LK523" s="119"/>
      <c r="LL523" s="119"/>
      <c r="LM523" s="119"/>
      <c r="LN523" s="119"/>
      <c r="LO523" s="119"/>
      <c r="LP523" s="119"/>
      <c r="LQ523" s="119"/>
      <c r="LR523" s="119"/>
      <c r="LS523" s="119"/>
      <c r="LT523" s="119"/>
      <c r="LU523" s="119"/>
      <c r="LV523" s="119"/>
      <c r="LW523" s="119"/>
      <c r="LX523" s="119"/>
      <c r="LY523" s="119"/>
      <c r="LZ523" s="119"/>
      <c r="MA523" s="119"/>
      <c r="MB523" s="119"/>
      <c r="MC523" s="119"/>
      <c r="MD523" s="119"/>
      <c r="ME523" s="119"/>
      <c r="MF523" s="119"/>
      <c r="MG523" s="119"/>
      <c r="MH523" s="119"/>
      <c r="MI523" s="119"/>
      <c r="MJ523" s="119"/>
      <c r="MK523" s="119"/>
      <c r="ML523" s="119"/>
      <c r="MM523" s="119"/>
      <c r="MN523" s="119"/>
      <c r="MO523" s="119"/>
      <c r="MP523" s="119"/>
      <c r="MQ523" s="119"/>
      <c r="MR523" s="119"/>
      <c r="MS523" s="119"/>
      <c r="MT523" s="119"/>
      <c r="MU523" s="119"/>
      <c r="MV523" s="119"/>
      <c r="MW523" s="119"/>
      <c r="MX523" s="119"/>
      <c r="MY523" s="119"/>
      <c r="MZ523" s="119"/>
    </row>
    <row r="524" spans="1:364" s="27" customFormat="1" x14ac:dyDescent="0.25">
      <c r="A524" s="122"/>
      <c r="B524" s="122"/>
      <c r="C524" s="126"/>
      <c r="D524" s="128"/>
      <c r="E524" s="109"/>
      <c r="F524" s="131"/>
      <c r="G524" s="131"/>
      <c r="H524" s="105" t="s">
        <v>439</v>
      </c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9"/>
      <c r="T524" s="119"/>
      <c r="U524" s="119"/>
      <c r="V524" s="119"/>
      <c r="W524" s="119"/>
      <c r="X524" s="119"/>
      <c r="Y524" s="119"/>
      <c r="Z524" s="119"/>
      <c r="AA524" s="119"/>
      <c r="AB524" s="119"/>
      <c r="AC524" s="119"/>
      <c r="AD524" s="119"/>
      <c r="AE524" s="119"/>
      <c r="AF524" s="119"/>
      <c r="AG524" s="119"/>
      <c r="AH524" s="119"/>
      <c r="AI524" s="119"/>
      <c r="AJ524" s="119"/>
      <c r="AK524" s="119"/>
      <c r="AL524" s="119"/>
      <c r="AM524" s="119"/>
      <c r="AN524" s="119"/>
      <c r="AO524" s="119"/>
      <c r="AP524" s="119"/>
      <c r="AQ524" s="119"/>
      <c r="AR524" s="119"/>
      <c r="AS524" s="119"/>
      <c r="AT524" s="119"/>
      <c r="AU524" s="119"/>
      <c r="AV524" s="119"/>
      <c r="AW524" s="119"/>
      <c r="AX524" s="119"/>
      <c r="AY524" s="119"/>
      <c r="AZ524" s="119"/>
      <c r="BA524" s="119"/>
      <c r="BB524" s="119"/>
      <c r="BC524" s="119"/>
      <c r="BD524" s="119"/>
      <c r="BE524" s="119"/>
      <c r="BF524" s="119"/>
      <c r="BG524" s="119"/>
      <c r="BH524" s="119"/>
      <c r="BI524" s="119"/>
      <c r="BJ524" s="119"/>
      <c r="BK524" s="119"/>
      <c r="BL524" s="26"/>
      <c r="BM524" s="119"/>
      <c r="BN524" s="26"/>
      <c r="BO524" s="119"/>
      <c r="BP524" s="119"/>
      <c r="BQ524" s="119"/>
      <c r="BR524" s="119"/>
      <c r="BS524" s="119"/>
      <c r="BT524" s="119"/>
      <c r="BU524" s="119"/>
      <c r="BV524" s="119"/>
      <c r="BW524" s="119"/>
      <c r="BX524" s="119"/>
      <c r="BY524" s="119"/>
      <c r="BZ524" s="119"/>
      <c r="CA524" s="119"/>
      <c r="CB524" s="119"/>
      <c r="CC524" s="119"/>
      <c r="CD524" s="119"/>
      <c r="CE524" s="119"/>
      <c r="CF524" s="119"/>
      <c r="CG524" s="119"/>
      <c r="CH524" s="119"/>
      <c r="CI524" s="119"/>
      <c r="CJ524" s="119"/>
      <c r="CK524" s="119"/>
      <c r="CL524" s="119"/>
      <c r="CM524" s="119"/>
      <c r="CN524" s="119"/>
      <c r="CO524" s="119"/>
      <c r="CP524" s="119"/>
      <c r="CQ524" s="119"/>
      <c r="CR524" s="119"/>
      <c r="CS524" s="119"/>
      <c r="CT524" s="119"/>
      <c r="CU524" s="119"/>
      <c r="CV524" s="119"/>
      <c r="CW524" s="119"/>
      <c r="CX524" s="119"/>
      <c r="CY524" s="119"/>
      <c r="CZ524" s="119"/>
      <c r="DA524" s="119"/>
      <c r="DB524" s="119"/>
      <c r="DC524" s="119"/>
      <c r="DD524" s="119"/>
      <c r="DE524" s="119"/>
      <c r="DF524" s="119"/>
      <c r="DG524" s="119"/>
      <c r="DH524" s="119"/>
      <c r="DI524" s="119"/>
      <c r="DJ524" s="119"/>
      <c r="DK524" s="119"/>
      <c r="DL524" s="119"/>
      <c r="DM524" s="119"/>
      <c r="DN524" s="119"/>
      <c r="DO524" s="119"/>
      <c r="DP524" s="119"/>
      <c r="DQ524" s="119"/>
      <c r="DR524" s="119"/>
      <c r="DS524" s="119"/>
      <c r="DT524" s="119"/>
      <c r="DU524" s="119"/>
      <c r="DV524" s="119"/>
      <c r="DW524" s="119"/>
      <c r="DX524" s="119"/>
      <c r="DY524" s="119"/>
      <c r="DZ524" s="119"/>
      <c r="EA524" s="119"/>
      <c r="EB524" s="119"/>
      <c r="EC524" s="119"/>
      <c r="ED524" s="119"/>
      <c r="EE524" s="119"/>
      <c r="EF524" s="119"/>
      <c r="EG524" s="119"/>
      <c r="EH524" s="119"/>
      <c r="EI524" s="119"/>
      <c r="EJ524" s="119"/>
      <c r="EK524" s="119"/>
      <c r="EL524" s="119"/>
      <c r="EM524" s="119"/>
      <c r="EN524" s="119"/>
      <c r="EO524" s="119"/>
      <c r="EP524" s="119"/>
      <c r="EQ524" s="119"/>
      <c r="ER524" s="119"/>
      <c r="ES524" s="119"/>
      <c r="ET524" s="119"/>
      <c r="EU524" s="119"/>
      <c r="EV524" s="119"/>
      <c r="EW524" s="119"/>
      <c r="EX524" s="119"/>
      <c r="EY524" s="119"/>
      <c r="EZ524" s="119"/>
      <c r="FA524" s="119"/>
      <c r="FB524" s="119"/>
      <c r="FC524" s="119"/>
      <c r="FD524" s="119"/>
      <c r="FE524" s="119"/>
      <c r="FF524" s="119"/>
      <c r="FG524" s="119"/>
      <c r="FH524" s="119"/>
      <c r="FI524" s="119"/>
      <c r="FJ524" s="119"/>
      <c r="FK524" s="119"/>
      <c r="FL524" s="119"/>
      <c r="FM524" s="119"/>
      <c r="FN524" s="119"/>
      <c r="FO524" s="119"/>
      <c r="FP524" s="119"/>
      <c r="FQ524" s="119"/>
      <c r="FR524" s="119"/>
      <c r="FS524" s="119"/>
      <c r="FT524" s="119"/>
      <c r="FU524" s="119"/>
      <c r="FV524" s="119"/>
      <c r="FW524" s="119"/>
      <c r="FX524" s="119"/>
      <c r="FY524" s="119"/>
      <c r="FZ524" s="119"/>
      <c r="GA524" s="119"/>
      <c r="GB524" s="119"/>
      <c r="GC524" s="119"/>
      <c r="GD524" s="119"/>
      <c r="GE524" s="119"/>
      <c r="GF524" s="119"/>
      <c r="GG524" s="119"/>
      <c r="GH524" s="119"/>
      <c r="GI524" s="119"/>
      <c r="GJ524" s="119"/>
      <c r="GK524" s="119"/>
      <c r="GL524" s="119"/>
      <c r="GM524" s="119"/>
      <c r="GN524" s="119"/>
      <c r="GO524" s="119"/>
      <c r="GP524" s="119"/>
      <c r="GQ524" s="119"/>
      <c r="GR524" s="119"/>
      <c r="GS524" s="119"/>
      <c r="GT524" s="119"/>
      <c r="GU524" s="119"/>
      <c r="GV524" s="119"/>
      <c r="GW524" s="119"/>
      <c r="GX524" s="119"/>
      <c r="GY524" s="119"/>
      <c r="GZ524" s="119"/>
      <c r="HA524" s="119"/>
      <c r="HB524" s="119"/>
      <c r="HC524" s="119"/>
      <c r="HD524" s="119"/>
      <c r="HE524" s="119"/>
      <c r="HF524" s="119"/>
      <c r="HG524" s="119"/>
      <c r="HH524" s="119"/>
      <c r="HI524" s="119"/>
      <c r="HJ524" s="119"/>
      <c r="HK524" s="119"/>
      <c r="HL524" s="119"/>
      <c r="HM524" s="119"/>
      <c r="HN524" s="119"/>
      <c r="HO524" s="119"/>
      <c r="HP524" s="119"/>
      <c r="HQ524" s="119"/>
      <c r="HR524" s="119"/>
      <c r="HS524" s="119"/>
      <c r="HT524" s="119"/>
      <c r="HU524" s="119"/>
      <c r="HV524" s="119"/>
      <c r="HW524" s="119"/>
      <c r="HX524" s="119"/>
      <c r="HY524" s="119"/>
      <c r="HZ524" s="119"/>
      <c r="IA524" s="119"/>
      <c r="IB524" s="119"/>
      <c r="IC524" s="119"/>
      <c r="ID524" s="119"/>
      <c r="IE524" s="119"/>
      <c r="IF524" s="119"/>
      <c r="IG524" s="119"/>
      <c r="IH524" s="119"/>
      <c r="II524" s="119"/>
      <c r="IJ524" s="119"/>
      <c r="IK524" s="119"/>
      <c r="IL524" s="119"/>
      <c r="IM524" s="119"/>
      <c r="IN524" s="119"/>
      <c r="IO524" s="119"/>
      <c r="IP524" s="119"/>
      <c r="IQ524" s="119"/>
      <c r="IR524" s="119"/>
      <c r="IS524" s="119"/>
      <c r="IT524" s="119"/>
      <c r="IU524" s="119"/>
      <c r="IV524" s="119"/>
      <c r="IW524" s="119"/>
      <c r="IX524" s="119"/>
      <c r="IY524" s="119"/>
      <c r="IZ524" s="119"/>
      <c r="JA524" s="119"/>
      <c r="JB524" s="119"/>
      <c r="JC524" s="119"/>
      <c r="JD524" s="119"/>
      <c r="JE524" s="119"/>
      <c r="JF524" s="119"/>
      <c r="JG524" s="119"/>
      <c r="JH524" s="119"/>
      <c r="JI524" s="119"/>
      <c r="JJ524" s="119"/>
      <c r="JK524" s="119"/>
      <c r="JL524" s="119"/>
      <c r="JM524" s="119"/>
      <c r="JN524" s="119"/>
      <c r="JO524" s="119"/>
      <c r="JP524" s="119"/>
      <c r="JQ524" s="119"/>
      <c r="JR524" s="119"/>
      <c r="JS524" s="119"/>
      <c r="JT524" s="119"/>
      <c r="JU524" s="119"/>
      <c r="JV524" s="119"/>
      <c r="JW524" s="119"/>
      <c r="JX524" s="119"/>
      <c r="JY524" s="119"/>
      <c r="JZ524" s="119"/>
      <c r="KA524" s="119"/>
      <c r="KB524" s="119"/>
      <c r="KC524" s="119"/>
      <c r="KD524" s="119"/>
      <c r="KE524" s="119"/>
      <c r="KF524" s="119"/>
      <c r="KG524" s="119"/>
      <c r="KH524" s="119"/>
      <c r="KI524" s="119"/>
      <c r="KJ524" s="119"/>
      <c r="KK524" s="119"/>
      <c r="KL524" s="119"/>
      <c r="KM524" s="119"/>
      <c r="KN524" s="119"/>
      <c r="KO524" s="119"/>
      <c r="KP524" s="119"/>
      <c r="KQ524" s="119"/>
      <c r="KR524" s="119"/>
      <c r="KS524" s="119"/>
      <c r="KT524" s="119"/>
      <c r="KU524" s="119"/>
      <c r="KV524" s="119"/>
      <c r="KW524" s="119"/>
      <c r="KX524" s="119"/>
      <c r="KY524" s="119"/>
      <c r="KZ524" s="119"/>
      <c r="LA524" s="119"/>
      <c r="LB524" s="119"/>
      <c r="LC524" s="119"/>
      <c r="LD524" s="119"/>
      <c r="LE524" s="119"/>
      <c r="LF524" s="119"/>
      <c r="LG524" s="119"/>
      <c r="LH524" s="119"/>
      <c r="LI524" s="119"/>
      <c r="LJ524" s="119"/>
      <c r="LK524" s="119"/>
      <c r="LL524" s="119"/>
      <c r="LM524" s="119"/>
      <c r="LN524" s="119"/>
      <c r="LO524" s="119"/>
      <c r="LP524" s="119"/>
      <c r="LQ524" s="119"/>
      <c r="LR524" s="119"/>
      <c r="LS524" s="119"/>
      <c r="LT524" s="119"/>
      <c r="LU524" s="119"/>
      <c r="LV524" s="119"/>
      <c r="LW524" s="119"/>
      <c r="LX524" s="119"/>
      <c r="LY524" s="119"/>
      <c r="LZ524" s="119"/>
      <c r="MA524" s="119"/>
      <c r="MB524" s="119"/>
      <c r="MC524" s="119"/>
      <c r="MD524" s="119"/>
      <c r="ME524" s="119"/>
      <c r="MF524" s="119"/>
      <c r="MG524" s="119"/>
      <c r="MH524" s="119"/>
      <c r="MI524" s="119"/>
      <c r="MJ524" s="119"/>
      <c r="MK524" s="119"/>
      <c r="ML524" s="119"/>
      <c r="MM524" s="119"/>
      <c r="MN524" s="119"/>
      <c r="MO524" s="119"/>
      <c r="MP524" s="119"/>
      <c r="MQ524" s="119"/>
      <c r="MR524" s="119"/>
      <c r="MS524" s="119"/>
      <c r="MT524" s="119"/>
      <c r="MU524" s="119"/>
      <c r="MV524" s="119"/>
      <c r="MW524" s="119"/>
      <c r="MX524" s="119"/>
      <c r="MY524" s="119"/>
      <c r="MZ524" s="119"/>
    </row>
    <row r="525" spans="1:364" s="27" customFormat="1" x14ac:dyDescent="0.25">
      <c r="A525" s="122"/>
      <c r="B525" s="122"/>
      <c r="C525" s="126"/>
      <c r="D525" s="128"/>
      <c r="E525" s="109" t="s">
        <v>493</v>
      </c>
      <c r="F525" s="131"/>
      <c r="G525" s="131"/>
      <c r="H525" s="106" t="s">
        <v>438</v>
      </c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19"/>
      <c r="T525" s="119"/>
      <c r="U525" s="119"/>
      <c r="V525" s="119"/>
      <c r="W525" s="119"/>
      <c r="X525" s="119"/>
      <c r="Y525" s="119"/>
      <c r="Z525" s="119"/>
      <c r="AA525" s="119"/>
      <c r="AB525" s="119"/>
      <c r="AC525" s="119"/>
      <c r="AD525" s="119"/>
      <c r="AE525" s="119"/>
      <c r="AF525" s="119"/>
      <c r="AG525" s="119"/>
      <c r="AH525" s="119"/>
      <c r="AI525" s="119"/>
      <c r="AJ525" s="119"/>
      <c r="AK525" s="119"/>
      <c r="AL525" s="119"/>
      <c r="AM525" s="119"/>
      <c r="AN525" s="119"/>
      <c r="AO525" s="119"/>
      <c r="AP525" s="119"/>
      <c r="AQ525" s="119"/>
      <c r="AR525" s="119"/>
      <c r="AS525" s="119"/>
      <c r="AT525" s="119"/>
      <c r="AU525" s="119"/>
      <c r="AV525" s="119"/>
      <c r="AW525" s="119"/>
      <c r="AX525" s="119"/>
      <c r="AY525" s="119"/>
      <c r="AZ525" s="119"/>
      <c r="BA525" s="119"/>
      <c r="BB525" s="119"/>
      <c r="BC525" s="119"/>
      <c r="BD525" s="119"/>
      <c r="BE525" s="119"/>
      <c r="BF525" s="119"/>
      <c r="BG525" s="119"/>
      <c r="BH525" s="119"/>
      <c r="BI525" s="119"/>
      <c r="BJ525" s="119"/>
      <c r="BK525" s="119"/>
      <c r="BL525" s="26"/>
      <c r="BM525" s="119"/>
      <c r="BN525" s="119"/>
      <c r="BO525" s="119"/>
      <c r="BP525" s="119"/>
      <c r="BQ525" s="119"/>
      <c r="BR525" s="119"/>
      <c r="BS525" s="119"/>
      <c r="BT525" s="119"/>
      <c r="BU525" s="119"/>
      <c r="BV525" s="119"/>
      <c r="BW525" s="119"/>
      <c r="BX525" s="119"/>
      <c r="BY525" s="119"/>
      <c r="BZ525" s="119"/>
      <c r="CA525" s="119"/>
      <c r="CB525" s="119"/>
      <c r="CC525" s="119"/>
      <c r="CD525" s="119"/>
      <c r="CE525" s="119"/>
      <c r="CF525" s="119"/>
      <c r="CG525" s="119"/>
      <c r="CH525" s="119"/>
      <c r="CI525" s="119"/>
      <c r="CJ525" s="119"/>
      <c r="CK525" s="119"/>
      <c r="CL525" s="119"/>
      <c r="CM525" s="119"/>
      <c r="CN525" s="119"/>
      <c r="CO525" s="119"/>
      <c r="CP525" s="119"/>
      <c r="CQ525" s="119"/>
      <c r="CR525" s="119"/>
      <c r="CS525" s="119"/>
      <c r="CT525" s="119"/>
      <c r="CU525" s="119"/>
      <c r="CV525" s="119"/>
      <c r="CW525" s="119"/>
      <c r="CX525" s="119"/>
      <c r="CY525" s="119"/>
      <c r="CZ525" s="119"/>
      <c r="DA525" s="119"/>
      <c r="DB525" s="119"/>
      <c r="DC525" s="119"/>
      <c r="DD525" s="119"/>
      <c r="DE525" s="119"/>
      <c r="DF525" s="119"/>
      <c r="DG525" s="119"/>
      <c r="DH525" s="119"/>
      <c r="DI525" s="119"/>
      <c r="DJ525" s="119"/>
      <c r="DK525" s="119"/>
      <c r="DL525" s="119"/>
      <c r="DM525" s="119"/>
      <c r="DN525" s="119"/>
      <c r="DO525" s="119"/>
      <c r="DP525" s="119"/>
      <c r="DQ525" s="119"/>
      <c r="DR525" s="119"/>
      <c r="DS525" s="119"/>
      <c r="DT525" s="119"/>
      <c r="DU525" s="119"/>
      <c r="DV525" s="119"/>
      <c r="DW525" s="119"/>
      <c r="DX525" s="119"/>
      <c r="DY525" s="119"/>
      <c r="DZ525" s="119"/>
      <c r="EA525" s="119"/>
      <c r="EB525" s="119"/>
      <c r="EC525" s="119"/>
      <c r="ED525" s="119"/>
      <c r="EE525" s="119"/>
      <c r="EF525" s="119"/>
      <c r="EG525" s="119"/>
      <c r="EH525" s="119"/>
      <c r="EI525" s="119"/>
      <c r="EJ525" s="119"/>
      <c r="EK525" s="119"/>
      <c r="EL525" s="119"/>
      <c r="EM525" s="119"/>
      <c r="EN525" s="119"/>
      <c r="EO525" s="119"/>
      <c r="EP525" s="119"/>
      <c r="EQ525" s="119"/>
      <c r="ER525" s="119"/>
      <c r="ES525" s="119"/>
      <c r="ET525" s="119"/>
      <c r="EU525" s="119"/>
      <c r="EV525" s="119"/>
      <c r="EW525" s="119"/>
      <c r="EX525" s="119"/>
      <c r="EY525" s="119"/>
      <c r="EZ525" s="119"/>
      <c r="FA525" s="119"/>
      <c r="FB525" s="119"/>
      <c r="FC525" s="119"/>
      <c r="FD525" s="119"/>
      <c r="FE525" s="119"/>
      <c r="FF525" s="119"/>
      <c r="FG525" s="119"/>
      <c r="FH525" s="119"/>
      <c r="FI525" s="119"/>
      <c r="FJ525" s="119"/>
      <c r="FK525" s="119"/>
      <c r="FL525" s="119"/>
      <c r="FM525" s="119"/>
      <c r="FN525" s="119"/>
      <c r="FO525" s="119"/>
      <c r="FP525" s="119"/>
      <c r="FQ525" s="119"/>
      <c r="FR525" s="119"/>
      <c r="FS525" s="119"/>
      <c r="FT525" s="119"/>
      <c r="FU525" s="119"/>
      <c r="FV525" s="119"/>
      <c r="FW525" s="119"/>
      <c r="FX525" s="119"/>
      <c r="FY525" s="119"/>
      <c r="FZ525" s="119"/>
      <c r="GA525" s="119"/>
      <c r="GB525" s="119"/>
      <c r="GC525" s="119"/>
      <c r="GD525" s="119"/>
      <c r="GE525" s="119"/>
      <c r="GF525" s="119"/>
      <c r="GG525" s="119"/>
      <c r="GH525" s="119"/>
      <c r="GI525" s="119"/>
      <c r="GJ525" s="119"/>
      <c r="GK525" s="119"/>
      <c r="GL525" s="119"/>
      <c r="GM525" s="119"/>
      <c r="GN525" s="119"/>
      <c r="GO525" s="119"/>
      <c r="GP525" s="119"/>
      <c r="GQ525" s="119"/>
      <c r="GR525" s="119"/>
      <c r="GS525" s="119"/>
      <c r="GT525" s="119"/>
      <c r="GU525" s="119"/>
      <c r="GV525" s="119"/>
      <c r="GW525" s="119"/>
      <c r="GX525" s="119"/>
      <c r="GY525" s="119"/>
      <c r="GZ525" s="119"/>
      <c r="HA525" s="119"/>
      <c r="HB525" s="119"/>
      <c r="HC525" s="119"/>
      <c r="HD525" s="119"/>
      <c r="HE525" s="119"/>
      <c r="HF525" s="119"/>
      <c r="HG525" s="119"/>
      <c r="HH525" s="119"/>
      <c r="HI525" s="119"/>
      <c r="HJ525" s="119"/>
      <c r="HK525" s="119"/>
      <c r="HL525" s="119"/>
      <c r="HM525" s="119"/>
      <c r="HN525" s="119"/>
      <c r="HO525" s="119"/>
      <c r="HP525" s="119"/>
      <c r="HQ525" s="119"/>
      <c r="HR525" s="119"/>
      <c r="HS525" s="119"/>
      <c r="HT525" s="119"/>
      <c r="HU525" s="119"/>
      <c r="HV525" s="119"/>
      <c r="HW525" s="119"/>
      <c r="HX525" s="119"/>
      <c r="HY525" s="119"/>
      <c r="HZ525" s="119"/>
      <c r="IA525" s="119"/>
      <c r="IB525" s="119"/>
      <c r="IC525" s="119"/>
      <c r="ID525" s="119"/>
      <c r="IE525" s="119"/>
      <c r="IF525" s="119"/>
      <c r="IG525" s="119"/>
      <c r="IH525" s="119"/>
      <c r="II525" s="119"/>
      <c r="IJ525" s="119"/>
      <c r="IK525" s="119"/>
      <c r="IL525" s="119"/>
      <c r="IM525" s="119"/>
      <c r="IN525" s="119"/>
      <c r="IO525" s="119"/>
      <c r="IP525" s="119"/>
      <c r="IQ525" s="119"/>
      <c r="IR525" s="119"/>
      <c r="IS525" s="119"/>
      <c r="IT525" s="119"/>
      <c r="IU525" s="119"/>
      <c r="IV525" s="119"/>
      <c r="IW525" s="119"/>
      <c r="IX525" s="119"/>
      <c r="IY525" s="119"/>
      <c r="IZ525" s="119"/>
      <c r="JA525" s="119"/>
      <c r="JB525" s="119"/>
      <c r="JC525" s="119"/>
      <c r="JD525" s="119"/>
      <c r="JE525" s="119"/>
      <c r="JF525" s="119"/>
      <c r="JG525" s="119"/>
      <c r="JH525" s="119"/>
      <c r="JI525" s="119"/>
      <c r="JJ525" s="119"/>
      <c r="JK525" s="119"/>
      <c r="JL525" s="119"/>
      <c r="JM525" s="119"/>
      <c r="JN525" s="119"/>
      <c r="JO525" s="119"/>
      <c r="JP525" s="119"/>
      <c r="JQ525" s="119"/>
      <c r="JR525" s="119"/>
      <c r="JS525" s="119"/>
      <c r="JT525" s="119"/>
      <c r="JU525" s="119"/>
      <c r="JV525" s="119"/>
      <c r="JW525" s="119"/>
      <c r="JX525" s="119"/>
      <c r="JY525" s="119"/>
      <c r="JZ525" s="119"/>
      <c r="KA525" s="119"/>
      <c r="KB525" s="119"/>
      <c r="KC525" s="119"/>
      <c r="KD525" s="119"/>
      <c r="KE525" s="119"/>
      <c r="KF525" s="119"/>
      <c r="KG525" s="119"/>
      <c r="KH525" s="119"/>
      <c r="KI525" s="119"/>
      <c r="KJ525" s="119"/>
      <c r="KK525" s="119"/>
      <c r="KL525" s="119"/>
      <c r="KM525" s="119"/>
      <c r="KN525" s="119"/>
      <c r="KO525" s="119"/>
      <c r="KP525" s="119"/>
      <c r="KQ525" s="119"/>
      <c r="KR525" s="119"/>
      <c r="KS525" s="119"/>
      <c r="KT525" s="119"/>
      <c r="KU525" s="119"/>
      <c r="KV525" s="119"/>
      <c r="KW525" s="119"/>
      <c r="KX525" s="119"/>
      <c r="KY525" s="119"/>
      <c r="KZ525" s="119"/>
      <c r="LA525" s="119"/>
      <c r="LB525" s="119"/>
      <c r="LC525" s="119"/>
      <c r="LD525" s="119"/>
      <c r="LE525" s="119"/>
      <c r="LF525" s="119"/>
      <c r="LG525" s="119"/>
      <c r="LH525" s="119"/>
      <c r="LI525" s="119"/>
      <c r="LJ525" s="119"/>
      <c r="LK525" s="119"/>
      <c r="LL525" s="119"/>
      <c r="LM525" s="119"/>
      <c r="LN525" s="119"/>
      <c r="LO525" s="119"/>
      <c r="LP525" s="119"/>
      <c r="LQ525" s="119"/>
      <c r="LR525" s="119"/>
      <c r="LS525" s="119"/>
      <c r="LT525" s="119"/>
      <c r="LU525" s="119"/>
      <c r="LV525" s="119"/>
      <c r="LW525" s="119"/>
      <c r="LX525" s="119"/>
      <c r="LY525" s="119"/>
      <c r="LZ525" s="119"/>
      <c r="MA525" s="119"/>
      <c r="MB525" s="119"/>
      <c r="MC525" s="119"/>
      <c r="MD525" s="119"/>
      <c r="ME525" s="119"/>
      <c r="MF525" s="119"/>
      <c r="MG525" s="119"/>
      <c r="MH525" s="119"/>
      <c r="MI525" s="119"/>
      <c r="MJ525" s="119"/>
      <c r="MK525" s="119"/>
      <c r="ML525" s="119"/>
      <c r="MM525" s="119"/>
      <c r="MN525" s="119"/>
      <c r="MO525" s="119"/>
      <c r="MP525" s="119"/>
      <c r="MQ525" s="119"/>
      <c r="MR525" s="119"/>
      <c r="MS525" s="119"/>
      <c r="MT525" s="119"/>
      <c r="MU525" s="119"/>
      <c r="MV525" s="119"/>
      <c r="MW525" s="119"/>
      <c r="MX525" s="119"/>
      <c r="MY525" s="119"/>
      <c r="MZ525" s="119"/>
    </row>
    <row r="526" spans="1:364" s="27" customFormat="1" x14ac:dyDescent="0.25">
      <c r="A526" s="123"/>
      <c r="B526" s="123"/>
      <c r="C526" s="126"/>
      <c r="D526" s="129"/>
      <c r="E526" s="111"/>
      <c r="F526" s="132"/>
      <c r="G526" s="132"/>
      <c r="H526" s="107" t="s">
        <v>149</v>
      </c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19"/>
      <c r="T526" s="119"/>
      <c r="U526" s="119"/>
      <c r="V526" s="119"/>
      <c r="W526" s="119"/>
      <c r="X526" s="119"/>
      <c r="Y526" s="119"/>
      <c r="Z526" s="119"/>
      <c r="AA526" s="119"/>
      <c r="AB526" s="119"/>
      <c r="AC526" s="119"/>
      <c r="AD526" s="119"/>
      <c r="AE526" s="119"/>
      <c r="AF526" s="119"/>
      <c r="AG526" s="119"/>
      <c r="AH526" s="119"/>
      <c r="AI526" s="119"/>
      <c r="AJ526" s="119"/>
      <c r="AK526" s="119"/>
      <c r="AL526" s="119"/>
      <c r="AM526" s="119"/>
      <c r="AN526" s="119"/>
      <c r="AO526" s="119"/>
      <c r="AP526" s="119"/>
      <c r="AQ526" s="119"/>
      <c r="AR526" s="119"/>
      <c r="AS526" s="119"/>
      <c r="AT526" s="119"/>
      <c r="AU526" s="119"/>
      <c r="AV526" s="119"/>
      <c r="AW526" s="119"/>
      <c r="AX526" s="119"/>
      <c r="AY526" s="119"/>
      <c r="AZ526" s="119"/>
      <c r="BA526" s="119"/>
      <c r="BB526" s="119"/>
      <c r="BC526" s="119"/>
      <c r="BD526" s="119"/>
      <c r="BE526" s="119"/>
      <c r="BF526" s="119"/>
      <c r="BG526" s="119"/>
      <c r="BH526" s="119"/>
      <c r="BI526" s="119"/>
      <c r="BJ526" s="119"/>
      <c r="BK526" s="119"/>
      <c r="BL526" s="26"/>
      <c r="BM526" s="119"/>
      <c r="BN526" s="119"/>
      <c r="BO526" s="119"/>
      <c r="BP526" s="119"/>
      <c r="BQ526" s="119"/>
      <c r="BR526" s="119"/>
      <c r="BS526" s="119"/>
      <c r="BT526" s="119"/>
      <c r="BU526" s="119"/>
      <c r="BV526" s="119"/>
      <c r="BW526" s="119"/>
      <c r="BX526" s="119"/>
      <c r="BY526" s="119"/>
      <c r="BZ526" s="119"/>
      <c r="CA526" s="119"/>
      <c r="CB526" s="119"/>
      <c r="CC526" s="119"/>
      <c r="CD526" s="119"/>
      <c r="CE526" s="119"/>
      <c r="CF526" s="119"/>
      <c r="CG526" s="119"/>
      <c r="CH526" s="119"/>
      <c r="CI526" s="119"/>
      <c r="CJ526" s="119"/>
      <c r="CK526" s="119"/>
      <c r="CL526" s="119"/>
      <c r="CM526" s="119"/>
      <c r="CN526" s="119"/>
      <c r="CO526" s="119"/>
      <c r="CP526" s="119"/>
      <c r="CQ526" s="119"/>
      <c r="CR526" s="119"/>
      <c r="CS526" s="119"/>
      <c r="CT526" s="119"/>
      <c r="CU526" s="119"/>
      <c r="CV526" s="119"/>
      <c r="CW526" s="119"/>
      <c r="CX526" s="119"/>
      <c r="CY526" s="119"/>
      <c r="CZ526" s="119"/>
      <c r="DA526" s="119"/>
      <c r="DB526" s="119"/>
      <c r="DC526" s="119"/>
      <c r="DD526" s="119"/>
      <c r="DE526" s="119"/>
      <c r="DF526" s="119"/>
      <c r="DG526" s="119"/>
      <c r="DH526" s="119"/>
      <c r="DI526" s="119"/>
      <c r="DJ526" s="119"/>
      <c r="DK526" s="119"/>
      <c r="DL526" s="119"/>
      <c r="DM526" s="119"/>
      <c r="DN526" s="119"/>
      <c r="DO526" s="119"/>
      <c r="DP526" s="119"/>
      <c r="DQ526" s="119"/>
      <c r="DR526" s="119"/>
      <c r="DS526" s="119"/>
      <c r="DT526" s="119"/>
      <c r="DU526" s="119"/>
      <c r="DV526" s="119"/>
      <c r="DW526" s="119"/>
      <c r="DX526" s="119"/>
      <c r="DY526" s="119"/>
      <c r="DZ526" s="119"/>
      <c r="EA526" s="119"/>
      <c r="EB526" s="119"/>
      <c r="EC526" s="119"/>
      <c r="ED526" s="119"/>
      <c r="EE526" s="119"/>
      <c r="EF526" s="119"/>
      <c r="EG526" s="119"/>
      <c r="EH526" s="119"/>
      <c r="EI526" s="119"/>
      <c r="EJ526" s="119"/>
      <c r="EK526" s="119"/>
      <c r="EL526" s="119"/>
      <c r="EM526" s="119"/>
      <c r="EN526" s="119"/>
      <c r="EO526" s="119"/>
      <c r="EP526" s="119"/>
      <c r="EQ526" s="119"/>
      <c r="ER526" s="119"/>
      <c r="ES526" s="119"/>
      <c r="ET526" s="119"/>
      <c r="EU526" s="119"/>
      <c r="EV526" s="119"/>
      <c r="EW526" s="119"/>
      <c r="EX526" s="119"/>
      <c r="EY526" s="119"/>
      <c r="EZ526" s="119"/>
      <c r="FA526" s="119"/>
      <c r="FB526" s="119"/>
      <c r="FC526" s="119"/>
      <c r="FD526" s="119"/>
      <c r="FE526" s="119"/>
      <c r="FF526" s="119"/>
      <c r="FG526" s="119"/>
      <c r="FH526" s="119"/>
      <c r="FI526" s="119"/>
      <c r="FJ526" s="119"/>
      <c r="FK526" s="119"/>
      <c r="FL526" s="119"/>
      <c r="FM526" s="119"/>
      <c r="FN526" s="119"/>
      <c r="FO526" s="119"/>
      <c r="FP526" s="119"/>
      <c r="FQ526" s="119"/>
      <c r="FR526" s="119"/>
      <c r="FS526" s="119"/>
      <c r="FT526" s="119"/>
      <c r="FU526" s="119"/>
      <c r="FV526" s="119"/>
      <c r="FW526" s="119"/>
      <c r="FX526" s="119"/>
      <c r="FY526" s="119"/>
      <c r="FZ526" s="119"/>
      <c r="GA526" s="119"/>
      <c r="GB526" s="119"/>
      <c r="GC526" s="119"/>
      <c r="GD526" s="119"/>
      <c r="GE526" s="119"/>
      <c r="GF526" s="119"/>
      <c r="GG526" s="119"/>
      <c r="GH526" s="119"/>
      <c r="GI526" s="119"/>
      <c r="GJ526" s="119"/>
      <c r="GK526" s="119"/>
      <c r="GL526" s="119"/>
      <c r="GM526" s="119"/>
      <c r="GN526" s="119"/>
      <c r="GO526" s="119"/>
      <c r="GP526" s="119"/>
      <c r="GQ526" s="119"/>
      <c r="GR526" s="119"/>
      <c r="GS526" s="119"/>
      <c r="GT526" s="119"/>
      <c r="GU526" s="119"/>
      <c r="GV526" s="119"/>
      <c r="GW526" s="119"/>
      <c r="GX526" s="119"/>
      <c r="GY526" s="119"/>
      <c r="GZ526" s="119"/>
      <c r="HA526" s="119"/>
      <c r="HB526" s="119"/>
      <c r="HC526" s="119"/>
      <c r="HD526" s="119"/>
      <c r="HE526" s="119"/>
      <c r="HF526" s="119"/>
      <c r="HG526" s="119"/>
      <c r="HH526" s="119"/>
      <c r="HI526" s="119"/>
      <c r="HJ526" s="119"/>
      <c r="HK526" s="119"/>
      <c r="HL526" s="119"/>
      <c r="HM526" s="119"/>
      <c r="HN526" s="119"/>
      <c r="HO526" s="119"/>
      <c r="HP526" s="119"/>
      <c r="HQ526" s="119"/>
      <c r="HR526" s="119"/>
      <c r="HS526" s="119"/>
      <c r="HT526" s="119"/>
      <c r="HU526" s="119"/>
      <c r="HV526" s="119"/>
      <c r="HW526" s="119"/>
      <c r="HX526" s="119"/>
      <c r="HY526" s="119"/>
      <c r="HZ526" s="119"/>
      <c r="IA526" s="119"/>
      <c r="IB526" s="119"/>
      <c r="IC526" s="119"/>
      <c r="ID526" s="119"/>
      <c r="IE526" s="119"/>
      <c r="IF526" s="119"/>
      <c r="IG526" s="119"/>
      <c r="IH526" s="119"/>
      <c r="II526" s="119"/>
      <c r="IJ526" s="119"/>
      <c r="IK526" s="119"/>
      <c r="IL526" s="119"/>
      <c r="IM526" s="119"/>
      <c r="IN526" s="119"/>
      <c r="IO526" s="119"/>
      <c r="IP526" s="119"/>
      <c r="IQ526" s="119"/>
      <c r="IR526" s="119"/>
      <c r="IS526" s="119"/>
      <c r="IT526" s="119"/>
      <c r="IU526" s="119"/>
      <c r="IV526" s="119"/>
      <c r="IW526" s="119"/>
      <c r="IX526" s="119"/>
      <c r="IY526" s="119"/>
      <c r="IZ526" s="119"/>
      <c r="JA526" s="119"/>
      <c r="JB526" s="119"/>
      <c r="JC526" s="119"/>
      <c r="JD526" s="119"/>
      <c r="JE526" s="119"/>
      <c r="JF526" s="119"/>
      <c r="JG526" s="119"/>
      <c r="JH526" s="119"/>
      <c r="JI526" s="119"/>
      <c r="JJ526" s="119"/>
      <c r="JK526" s="119"/>
      <c r="JL526" s="119"/>
      <c r="JM526" s="119"/>
      <c r="JN526" s="119"/>
      <c r="JO526" s="119"/>
      <c r="JP526" s="119"/>
      <c r="JQ526" s="119"/>
      <c r="JR526" s="119"/>
      <c r="JS526" s="119"/>
      <c r="JT526" s="119"/>
      <c r="JU526" s="119"/>
      <c r="JV526" s="119"/>
      <c r="JW526" s="119"/>
      <c r="JX526" s="119"/>
      <c r="JY526" s="119"/>
      <c r="JZ526" s="119"/>
      <c r="KA526" s="119"/>
      <c r="KB526" s="119"/>
      <c r="KC526" s="119"/>
      <c r="KD526" s="119"/>
      <c r="KE526" s="119"/>
      <c r="KF526" s="119"/>
      <c r="KG526" s="119"/>
      <c r="KH526" s="119"/>
      <c r="KI526" s="119"/>
      <c r="KJ526" s="119"/>
      <c r="KK526" s="119"/>
      <c r="KL526" s="119"/>
      <c r="KM526" s="119"/>
      <c r="KN526" s="119"/>
      <c r="KO526" s="119"/>
      <c r="KP526" s="119"/>
      <c r="KQ526" s="119"/>
      <c r="KR526" s="119"/>
      <c r="KS526" s="119"/>
      <c r="KT526" s="119"/>
      <c r="KU526" s="119"/>
      <c r="KV526" s="119"/>
      <c r="KW526" s="119"/>
      <c r="KX526" s="119"/>
      <c r="KY526" s="119"/>
      <c r="KZ526" s="119"/>
      <c r="LA526" s="119"/>
      <c r="LB526" s="119"/>
      <c r="LC526" s="119"/>
      <c r="LD526" s="119"/>
      <c r="LE526" s="119"/>
      <c r="LF526" s="119"/>
      <c r="LG526" s="119"/>
      <c r="LH526" s="119"/>
      <c r="LI526" s="119"/>
      <c r="LJ526" s="119"/>
      <c r="LK526" s="119"/>
      <c r="LL526" s="119"/>
      <c r="LM526" s="119"/>
      <c r="LN526" s="119"/>
      <c r="LO526" s="119"/>
      <c r="LP526" s="119"/>
      <c r="LQ526" s="119"/>
      <c r="LR526" s="119"/>
      <c r="LS526" s="119"/>
      <c r="LT526" s="119"/>
      <c r="LU526" s="119"/>
      <c r="LV526" s="119"/>
      <c r="LW526" s="119"/>
      <c r="LX526" s="119"/>
      <c r="LY526" s="119"/>
      <c r="LZ526" s="119"/>
      <c r="MA526" s="119"/>
      <c r="MB526" s="119"/>
      <c r="MC526" s="119"/>
      <c r="MD526" s="119"/>
      <c r="ME526" s="119"/>
      <c r="MF526" s="119"/>
      <c r="MG526" s="119"/>
      <c r="MH526" s="119"/>
      <c r="MI526" s="119"/>
      <c r="MJ526" s="119"/>
      <c r="MK526" s="119"/>
      <c r="ML526" s="119"/>
      <c r="MM526" s="119"/>
      <c r="MN526" s="119"/>
      <c r="MO526" s="119"/>
      <c r="MP526" s="119"/>
      <c r="MQ526" s="119"/>
      <c r="MR526" s="119"/>
      <c r="MS526" s="119"/>
      <c r="MT526" s="119"/>
      <c r="MU526" s="119"/>
      <c r="MV526" s="119"/>
      <c r="MW526" s="119"/>
      <c r="MX526" s="119"/>
      <c r="MY526" s="119"/>
      <c r="MZ526" s="119"/>
    </row>
    <row r="527" spans="1:364" x14ac:dyDescent="0.25">
      <c r="I527" s="46"/>
      <c r="J527" s="26"/>
      <c r="K527" s="26"/>
      <c r="L527" s="26"/>
      <c r="M527" s="26"/>
      <c r="N527" s="26"/>
      <c r="O527" s="26"/>
      <c r="P527" s="26"/>
      <c r="Q527" s="26"/>
      <c r="R527" s="26"/>
    </row>
    <row r="528" spans="1:364" x14ac:dyDescent="0.25">
      <c r="I528" s="46"/>
      <c r="J528" s="26"/>
      <c r="K528" s="26"/>
      <c r="L528" s="26"/>
      <c r="M528" s="26"/>
      <c r="N528" s="26"/>
      <c r="O528" s="26"/>
      <c r="P528" s="26"/>
      <c r="Q528" s="26"/>
      <c r="R528" s="26"/>
    </row>
    <row r="529" spans="9:18" x14ac:dyDescent="0.25">
      <c r="I529" s="46"/>
      <c r="J529" s="26"/>
      <c r="K529" s="26"/>
      <c r="L529" s="26"/>
      <c r="M529" s="26"/>
      <c r="N529" s="26"/>
      <c r="O529" s="26"/>
      <c r="P529" s="26"/>
      <c r="Q529" s="26"/>
      <c r="R529" s="26"/>
    </row>
    <row r="530" spans="9:18" x14ac:dyDescent="0.25">
      <c r="I530" s="46"/>
      <c r="J530" s="26"/>
      <c r="K530" s="26"/>
      <c r="L530" s="26"/>
      <c r="M530" s="26"/>
      <c r="N530" s="26"/>
      <c r="O530" s="26"/>
      <c r="P530" s="26"/>
      <c r="Q530" s="26"/>
      <c r="R530" s="26"/>
    </row>
    <row r="531" spans="9:18" x14ac:dyDescent="0.25">
      <c r="I531" s="46"/>
      <c r="J531" s="26"/>
      <c r="K531" s="26"/>
      <c r="L531" s="26"/>
      <c r="M531" s="26"/>
      <c r="N531" s="26"/>
      <c r="O531" s="26"/>
      <c r="P531" s="26"/>
      <c r="Q531" s="26"/>
      <c r="R531" s="26"/>
    </row>
    <row r="532" spans="9:18" x14ac:dyDescent="0.25">
      <c r="I532" s="46"/>
      <c r="J532" s="26"/>
      <c r="K532" s="26"/>
      <c r="L532" s="26"/>
      <c r="M532" s="26"/>
      <c r="N532" s="26"/>
      <c r="O532" s="26"/>
      <c r="P532" s="26"/>
      <c r="Q532" s="26"/>
      <c r="R532" s="26"/>
    </row>
    <row r="533" spans="9:18" x14ac:dyDescent="0.25">
      <c r="I533" s="46"/>
      <c r="J533" s="26"/>
      <c r="K533" s="26"/>
      <c r="L533" s="26"/>
      <c r="M533" s="26"/>
      <c r="N533" s="26"/>
      <c r="O533" s="26"/>
      <c r="P533" s="26"/>
      <c r="Q533" s="26"/>
      <c r="R533" s="26"/>
    </row>
    <row r="534" spans="9:18" x14ac:dyDescent="0.25">
      <c r="I534" s="46"/>
      <c r="J534" s="26"/>
      <c r="K534" s="26"/>
      <c r="L534" s="26"/>
      <c r="M534" s="26"/>
      <c r="N534" s="26"/>
      <c r="O534" s="26"/>
      <c r="P534" s="26"/>
      <c r="Q534" s="26"/>
      <c r="R534" s="26"/>
    </row>
    <row r="535" spans="9:18" x14ac:dyDescent="0.25">
      <c r="I535" s="46"/>
      <c r="J535" s="26"/>
      <c r="K535" s="26"/>
      <c r="L535" s="26"/>
      <c r="M535" s="26"/>
      <c r="N535" s="26"/>
      <c r="O535" s="26"/>
      <c r="P535" s="26"/>
      <c r="Q535" s="26"/>
      <c r="R535" s="26"/>
    </row>
    <row r="536" spans="9:18" x14ac:dyDescent="0.25">
      <c r="I536" s="46"/>
      <c r="J536" s="26"/>
      <c r="K536" s="26"/>
      <c r="L536" s="26"/>
      <c r="M536" s="26"/>
      <c r="N536" s="26"/>
      <c r="O536" s="26"/>
      <c r="P536" s="26"/>
      <c r="Q536" s="26"/>
      <c r="R536" s="26"/>
    </row>
    <row r="537" spans="9:18" x14ac:dyDescent="0.25">
      <c r="I537" s="46"/>
      <c r="J537" s="26"/>
      <c r="K537" s="26"/>
      <c r="L537" s="26"/>
      <c r="M537" s="26"/>
      <c r="N537" s="26"/>
      <c r="O537" s="26"/>
      <c r="P537" s="26"/>
      <c r="Q537" s="26"/>
      <c r="R537" s="26"/>
    </row>
    <row r="538" spans="9:18" x14ac:dyDescent="0.25">
      <c r="I538" s="46"/>
      <c r="J538" s="26"/>
      <c r="K538" s="26"/>
      <c r="L538" s="26"/>
      <c r="M538" s="26"/>
      <c r="N538" s="26"/>
      <c r="O538" s="26"/>
      <c r="P538" s="26"/>
      <c r="Q538" s="26"/>
      <c r="R538" s="26"/>
    </row>
    <row r="539" spans="9:18" x14ac:dyDescent="0.25">
      <c r="I539" s="46"/>
      <c r="J539" s="26"/>
      <c r="K539" s="26"/>
      <c r="L539" s="26"/>
      <c r="M539" s="26"/>
      <c r="N539" s="26"/>
      <c r="O539" s="26"/>
      <c r="P539" s="26"/>
      <c r="Q539" s="26"/>
      <c r="R539" s="26"/>
    </row>
    <row r="540" spans="9:18" x14ac:dyDescent="0.25">
      <c r="I540" s="46"/>
      <c r="J540" s="26"/>
      <c r="K540" s="26"/>
      <c r="L540" s="26"/>
      <c r="M540" s="26"/>
      <c r="N540" s="26"/>
      <c r="O540" s="26"/>
      <c r="P540" s="26"/>
      <c r="Q540" s="26"/>
      <c r="R540" s="26"/>
    </row>
    <row r="541" spans="9:18" x14ac:dyDescent="0.25">
      <c r="I541" s="46"/>
      <c r="J541" s="26"/>
      <c r="K541" s="26"/>
      <c r="L541" s="26"/>
      <c r="M541" s="26"/>
      <c r="N541" s="26"/>
      <c r="O541" s="26"/>
      <c r="P541" s="26"/>
      <c r="Q541" s="26"/>
      <c r="R541" s="26"/>
    </row>
    <row r="542" spans="9:18" x14ac:dyDescent="0.25">
      <c r="I542" s="46"/>
      <c r="J542" s="26"/>
      <c r="K542" s="26"/>
      <c r="L542" s="26"/>
      <c r="M542" s="26"/>
      <c r="N542" s="26"/>
      <c r="O542" s="26"/>
      <c r="P542" s="26"/>
      <c r="Q542" s="26"/>
      <c r="R542" s="26"/>
    </row>
    <row r="543" spans="9:18" x14ac:dyDescent="0.25">
      <c r="I543" s="46"/>
      <c r="J543" s="26"/>
      <c r="K543" s="26"/>
      <c r="L543" s="26"/>
      <c r="M543" s="26"/>
      <c r="N543" s="26"/>
      <c r="O543" s="26"/>
      <c r="P543" s="26"/>
      <c r="Q543" s="26"/>
      <c r="R543" s="26"/>
    </row>
    <row r="544" spans="9:18" x14ac:dyDescent="0.25">
      <c r="I544" s="46"/>
      <c r="J544" s="26"/>
      <c r="K544" s="26"/>
      <c r="L544" s="26"/>
      <c r="M544" s="26"/>
      <c r="N544" s="26"/>
      <c r="O544" s="26"/>
      <c r="P544" s="26"/>
      <c r="Q544" s="26"/>
      <c r="R544" s="26"/>
    </row>
    <row r="545" spans="9:18" x14ac:dyDescent="0.25">
      <c r="I545" s="46"/>
      <c r="J545" s="26"/>
      <c r="K545" s="26"/>
      <c r="L545" s="26"/>
      <c r="M545" s="26"/>
      <c r="N545" s="26"/>
      <c r="O545" s="26"/>
      <c r="P545" s="26"/>
      <c r="Q545" s="26"/>
      <c r="R545" s="26"/>
    </row>
    <row r="546" spans="9:18" x14ac:dyDescent="0.25">
      <c r="I546" s="46"/>
      <c r="J546" s="26"/>
      <c r="K546" s="26"/>
      <c r="L546" s="26"/>
      <c r="M546" s="26"/>
      <c r="N546" s="26"/>
      <c r="O546" s="26"/>
      <c r="P546" s="26"/>
      <c r="Q546" s="26"/>
      <c r="R546" s="26"/>
    </row>
    <row r="547" spans="9:18" x14ac:dyDescent="0.25">
      <c r="I547" s="46"/>
      <c r="J547" s="26"/>
      <c r="K547" s="26"/>
      <c r="L547" s="26"/>
      <c r="M547" s="26"/>
      <c r="N547" s="26"/>
      <c r="O547" s="26"/>
      <c r="P547" s="26"/>
      <c r="Q547" s="26"/>
      <c r="R547" s="26"/>
    </row>
    <row r="548" spans="9:18" x14ac:dyDescent="0.25">
      <c r="I548" s="46"/>
      <c r="J548" s="26"/>
      <c r="K548" s="26"/>
      <c r="L548" s="26"/>
      <c r="M548" s="26"/>
      <c r="N548" s="26"/>
      <c r="O548" s="26"/>
      <c r="P548" s="26"/>
      <c r="Q548" s="26"/>
      <c r="R548" s="26"/>
    </row>
    <row r="549" spans="9:18" x14ac:dyDescent="0.25">
      <c r="I549" s="46"/>
      <c r="J549" s="26"/>
      <c r="K549" s="26"/>
      <c r="L549" s="26"/>
      <c r="M549" s="26"/>
      <c r="N549" s="26"/>
      <c r="O549" s="26"/>
      <c r="P549" s="26"/>
      <c r="Q549" s="26"/>
      <c r="R549" s="26"/>
    </row>
    <row r="550" spans="9:18" x14ac:dyDescent="0.25">
      <c r="I550" s="46"/>
      <c r="J550" s="26"/>
      <c r="K550" s="26"/>
      <c r="L550" s="26"/>
      <c r="M550" s="26"/>
      <c r="N550" s="26"/>
      <c r="O550" s="26"/>
      <c r="P550" s="26"/>
      <c r="Q550" s="26"/>
      <c r="R550" s="26"/>
    </row>
    <row r="551" spans="9:18" x14ac:dyDescent="0.25">
      <c r="I551" s="46"/>
      <c r="J551" s="26"/>
      <c r="K551" s="26"/>
      <c r="L551" s="26"/>
      <c r="M551" s="26"/>
      <c r="N551" s="26"/>
      <c r="O551" s="26"/>
      <c r="P551" s="26"/>
      <c r="Q551" s="26"/>
      <c r="R551" s="26"/>
    </row>
    <row r="552" spans="9:18" x14ac:dyDescent="0.25">
      <c r="I552" s="46"/>
      <c r="J552" s="26"/>
      <c r="K552" s="26"/>
      <c r="L552" s="26"/>
      <c r="M552" s="26"/>
      <c r="N552" s="26"/>
      <c r="O552" s="26"/>
      <c r="P552" s="26"/>
      <c r="Q552" s="26"/>
      <c r="R552" s="26"/>
    </row>
    <row r="553" spans="9:18" x14ac:dyDescent="0.25">
      <c r="I553" s="46"/>
      <c r="J553" s="26"/>
      <c r="K553" s="26"/>
      <c r="L553" s="26"/>
      <c r="M553" s="26"/>
      <c r="N553" s="26"/>
      <c r="O553" s="26"/>
      <c r="P553" s="26"/>
      <c r="Q553" s="26"/>
      <c r="R553" s="26"/>
    </row>
    <row r="554" spans="9:18" x14ac:dyDescent="0.25">
      <c r="I554" s="46"/>
      <c r="J554" s="26"/>
      <c r="K554" s="26"/>
      <c r="L554" s="26"/>
      <c r="M554" s="26"/>
      <c r="N554" s="26"/>
      <c r="O554" s="26"/>
      <c r="P554" s="26"/>
      <c r="Q554" s="26"/>
      <c r="R554" s="26"/>
    </row>
    <row r="555" spans="9:18" x14ac:dyDescent="0.25">
      <c r="I555" s="46"/>
      <c r="J555" s="26"/>
      <c r="K555" s="26"/>
      <c r="L555" s="26"/>
      <c r="M555" s="26"/>
      <c r="N555" s="26"/>
      <c r="O555" s="26"/>
      <c r="P555" s="26"/>
      <c r="Q555" s="26"/>
      <c r="R555" s="26"/>
    </row>
    <row r="556" spans="9:18" x14ac:dyDescent="0.25">
      <c r="I556" s="46"/>
      <c r="J556" s="26"/>
      <c r="K556" s="26"/>
      <c r="L556" s="26"/>
      <c r="M556" s="26"/>
      <c r="N556" s="26"/>
      <c r="O556" s="26"/>
      <c r="P556" s="26"/>
      <c r="Q556" s="26"/>
      <c r="R556" s="26"/>
    </row>
    <row r="557" spans="9:18" x14ac:dyDescent="0.25">
      <c r="I557" s="46"/>
      <c r="J557" s="26"/>
      <c r="K557" s="26"/>
      <c r="L557" s="26"/>
      <c r="M557" s="26"/>
      <c r="N557" s="26"/>
      <c r="O557" s="26"/>
      <c r="P557" s="26"/>
      <c r="Q557" s="26"/>
      <c r="R557" s="26"/>
    </row>
    <row r="558" spans="9:18" x14ac:dyDescent="0.25">
      <c r="I558" s="46"/>
      <c r="J558" s="26"/>
      <c r="K558" s="26"/>
      <c r="L558" s="26"/>
      <c r="M558" s="26"/>
      <c r="N558" s="26"/>
      <c r="O558" s="26"/>
      <c r="P558" s="26"/>
      <c r="Q558" s="26"/>
      <c r="R558" s="26"/>
    </row>
    <row r="559" spans="9:18" x14ac:dyDescent="0.25">
      <c r="I559" s="46"/>
      <c r="J559" s="26"/>
      <c r="K559" s="26"/>
      <c r="L559" s="26"/>
      <c r="M559" s="26"/>
      <c r="N559" s="26"/>
      <c r="O559" s="26"/>
      <c r="P559" s="26"/>
      <c r="Q559" s="26"/>
      <c r="R559" s="26"/>
    </row>
    <row r="560" spans="9:18" x14ac:dyDescent="0.25">
      <c r="I560" s="46"/>
      <c r="J560" s="26"/>
      <c r="K560" s="26"/>
      <c r="L560" s="26"/>
      <c r="M560" s="26"/>
      <c r="N560" s="26"/>
      <c r="O560" s="26"/>
      <c r="P560" s="26"/>
      <c r="Q560" s="26"/>
      <c r="R560" s="26"/>
    </row>
    <row r="561" spans="9:18" x14ac:dyDescent="0.25">
      <c r="I561" s="46"/>
      <c r="J561" s="26"/>
      <c r="K561" s="26"/>
      <c r="L561" s="26"/>
      <c r="M561" s="26"/>
      <c r="N561" s="26"/>
      <c r="O561" s="26"/>
      <c r="P561" s="26"/>
      <c r="Q561" s="26"/>
      <c r="R561" s="26"/>
    </row>
    <row r="562" spans="9:18" x14ac:dyDescent="0.25">
      <c r="I562" s="46"/>
      <c r="J562" s="26"/>
      <c r="K562" s="26"/>
      <c r="L562" s="26"/>
      <c r="M562" s="26"/>
      <c r="N562" s="26"/>
      <c r="O562" s="26"/>
      <c r="P562" s="26"/>
      <c r="Q562" s="26"/>
      <c r="R562" s="26"/>
    </row>
    <row r="563" spans="9:18" x14ac:dyDescent="0.25">
      <c r="I563" s="46"/>
      <c r="J563" s="26"/>
      <c r="K563" s="26"/>
      <c r="L563" s="26"/>
      <c r="M563" s="26"/>
      <c r="N563" s="26"/>
      <c r="O563" s="26"/>
      <c r="P563" s="26"/>
      <c r="Q563" s="26"/>
      <c r="R563" s="26"/>
    </row>
    <row r="564" spans="9:18" x14ac:dyDescent="0.25">
      <c r="I564" s="46"/>
      <c r="J564" s="26"/>
      <c r="K564" s="26"/>
      <c r="L564" s="26"/>
      <c r="M564" s="26"/>
      <c r="N564" s="26"/>
      <c r="O564" s="26"/>
      <c r="P564" s="26"/>
      <c r="Q564" s="26"/>
      <c r="R564" s="26"/>
    </row>
    <row r="565" spans="9:18" x14ac:dyDescent="0.25">
      <c r="I565" s="46"/>
      <c r="J565" s="26"/>
      <c r="K565" s="26"/>
      <c r="L565" s="26"/>
      <c r="M565" s="26"/>
      <c r="N565" s="26"/>
      <c r="O565" s="26"/>
      <c r="P565" s="26"/>
      <c r="Q565" s="26"/>
      <c r="R565" s="26"/>
    </row>
    <row r="566" spans="9:18" x14ac:dyDescent="0.25">
      <c r="I566" s="46"/>
      <c r="J566" s="26"/>
      <c r="K566" s="26"/>
      <c r="L566" s="26"/>
      <c r="M566" s="26"/>
      <c r="N566" s="26"/>
      <c r="O566" s="26"/>
      <c r="P566" s="26"/>
      <c r="Q566" s="26"/>
      <c r="R566" s="26"/>
    </row>
    <row r="567" spans="9:18" x14ac:dyDescent="0.25">
      <c r="I567" s="46"/>
      <c r="J567" s="26"/>
      <c r="K567" s="26"/>
      <c r="L567" s="26"/>
      <c r="M567" s="26"/>
      <c r="N567" s="26"/>
      <c r="O567" s="26"/>
      <c r="P567" s="26"/>
      <c r="Q567" s="26"/>
      <c r="R567" s="26"/>
    </row>
    <row r="568" spans="9:18" x14ac:dyDescent="0.25">
      <c r="I568" s="46"/>
      <c r="J568" s="26"/>
      <c r="K568" s="26"/>
      <c r="L568" s="26"/>
      <c r="M568" s="26"/>
      <c r="N568" s="26"/>
      <c r="O568" s="26"/>
      <c r="P568" s="26"/>
      <c r="Q568" s="26"/>
      <c r="R568" s="26"/>
    </row>
    <row r="569" spans="9:18" x14ac:dyDescent="0.25">
      <c r="I569" s="46"/>
      <c r="J569" s="26"/>
      <c r="K569" s="26"/>
      <c r="L569" s="26"/>
      <c r="M569" s="26"/>
      <c r="N569" s="26"/>
      <c r="O569" s="26"/>
      <c r="P569" s="26"/>
      <c r="Q569" s="26"/>
      <c r="R569" s="26"/>
    </row>
    <row r="570" spans="9:18" x14ac:dyDescent="0.25">
      <c r="I570" s="46"/>
      <c r="J570" s="26"/>
      <c r="K570" s="26"/>
      <c r="L570" s="26"/>
      <c r="M570" s="26"/>
      <c r="N570" s="26"/>
      <c r="O570" s="26"/>
      <c r="P570" s="26"/>
      <c r="Q570" s="26"/>
      <c r="R570" s="26"/>
    </row>
    <row r="571" spans="9:18" x14ac:dyDescent="0.25">
      <c r="I571" s="46"/>
      <c r="J571" s="26"/>
      <c r="K571" s="26"/>
      <c r="L571" s="26"/>
      <c r="M571" s="26"/>
      <c r="N571" s="26"/>
      <c r="O571" s="26"/>
      <c r="P571" s="26"/>
      <c r="Q571" s="26"/>
      <c r="R571" s="26"/>
    </row>
    <row r="572" spans="9:18" x14ac:dyDescent="0.25">
      <c r="I572" s="46"/>
      <c r="J572" s="26"/>
      <c r="K572" s="26"/>
      <c r="L572" s="26"/>
      <c r="M572" s="26"/>
      <c r="N572" s="26"/>
      <c r="O572" s="26"/>
      <c r="P572" s="26"/>
      <c r="Q572" s="26"/>
      <c r="R572" s="26"/>
    </row>
    <row r="573" spans="9:18" x14ac:dyDescent="0.25">
      <c r="I573" s="46"/>
      <c r="J573" s="26"/>
      <c r="K573" s="26"/>
      <c r="L573" s="26"/>
      <c r="M573" s="26"/>
      <c r="N573" s="26"/>
      <c r="O573" s="26"/>
      <c r="P573" s="26"/>
      <c r="Q573" s="26"/>
      <c r="R573" s="26"/>
    </row>
    <row r="574" spans="9:18" x14ac:dyDescent="0.25">
      <c r="I574" s="46"/>
      <c r="J574" s="26"/>
      <c r="K574" s="26"/>
      <c r="L574" s="26"/>
      <c r="M574" s="26"/>
      <c r="N574" s="26"/>
      <c r="O574" s="26"/>
      <c r="P574" s="26"/>
      <c r="Q574" s="26"/>
      <c r="R574" s="26"/>
    </row>
    <row r="575" spans="9:18" x14ac:dyDescent="0.25">
      <c r="I575" s="46"/>
      <c r="J575" s="26"/>
      <c r="K575" s="26"/>
      <c r="L575" s="26"/>
      <c r="M575" s="26"/>
      <c r="N575" s="26"/>
      <c r="O575" s="26"/>
      <c r="P575" s="26"/>
      <c r="Q575" s="26"/>
      <c r="R575" s="26"/>
    </row>
    <row r="576" spans="9:18" x14ac:dyDescent="0.25">
      <c r="I576" s="46"/>
      <c r="J576" s="26"/>
      <c r="K576" s="26"/>
      <c r="L576" s="26"/>
      <c r="M576" s="26"/>
      <c r="N576" s="26"/>
      <c r="O576" s="26"/>
      <c r="P576" s="26"/>
      <c r="Q576" s="26"/>
      <c r="R576" s="26"/>
    </row>
    <row r="577" spans="9:18" x14ac:dyDescent="0.25">
      <c r="I577" s="46"/>
      <c r="J577" s="26"/>
      <c r="K577" s="26"/>
      <c r="L577" s="26"/>
      <c r="M577" s="26"/>
      <c r="N577" s="26"/>
      <c r="O577" s="26"/>
      <c r="P577" s="26"/>
      <c r="Q577" s="26"/>
      <c r="R577" s="26"/>
    </row>
    <row r="578" spans="9:18" x14ac:dyDescent="0.25">
      <c r="I578" s="46"/>
      <c r="J578" s="26"/>
      <c r="K578" s="26"/>
      <c r="L578" s="26"/>
      <c r="M578" s="26"/>
      <c r="N578" s="26"/>
      <c r="O578" s="26"/>
      <c r="P578" s="26"/>
      <c r="Q578" s="26"/>
      <c r="R578" s="26"/>
    </row>
    <row r="579" spans="9:18" x14ac:dyDescent="0.25">
      <c r="I579" s="46"/>
      <c r="J579" s="26"/>
      <c r="K579" s="26"/>
      <c r="L579" s="26"/>
      <c r="M579" s="26"/>
      <c r="N579" s="26"/>
      <c r="O579" s="26"/>
      <c r="P579" s="26"/>
      <c r="Q579" s="26"/>
      <c r="R579" s="26"/>
    </row>
    <row r="580" spans="9:18" x14ac:dyDescent="0.25">
      <c r="I580" s="46"/>
      <c r="J580" s="26"/>
      <c r="K580" s="26"/>
      <c r="L580" s="26"/>
      <c r="M580" s="26"/>
      <c r="N580" s="26"/>
      <c r="O580" s="26"/>
      <c r="P580" s="26"/>
      <c r="Q580" s="26"/>
      <c r="R580" s="26"/>
    </row>
    <row r="581" spans="9:18" x14ac:dyDescent="0.25">
      <c r="I581" s="46"/>
      <c r="J581" s="26"/>
      <c r="K581" s="26"/>
      <c r="L581" s="26"/>
      <c r="M581" s="26"/>
      <c r="N581" s="26"/>
      <c r="O581" s="26"/>
      <c r="P581" s="26"/>
      <c r="Q581" s="26"/>
      <c r="R581" s="26"/>
    </row>
    <row r="582" spans="9:18" x14ac:dyDescent="0.25">
      <c r="I582" s="46"/>
      <c r="J582" s="26"/>
      <c r="K582" s="26"/>
      <c r="L582" s="26"/>
      <c r="M582" s="26"/>
      <c r="N582" s="26"/>
      <c r="O582" s="26"/>
      <c r="P582" s="26"/>
      <c r="Q582" s="26"/>
      <c r="R582" s="26"/>
    </row>
    <row r="583" spans="9:18" x14ac:dyDescent="0.25">
      <c r="I583" s="46"/>
      <c r="J583" s="26"/>
      <c r="K583" s="26"/>
      <c r="L583" s="26"/>
      <c r="M583" s="26"/>
      <c r="N583" s="26"/>
      <c r="O583" s="26"/>
      <c r="P583" s="26"/>
      <c r="Q583" s="26"/>
      <c r="R583" s="26"/>
    </row>
    <row r="584" spans="9:18" x14ac:dyDescent="0.25">
      <c r="I584" s="46"/>
      <c r="J584" s="26"/>
      <c r="K584" s="26"/>
      <c r="L584" s="26"/>
      <c r="M584" s="26"/>
      <c r="N584" s="26"/>
      <c r="O584" s="26"/>
      <c r="P584" s="26"/>
      <c r="Q584" s="26"/>
      <c r="R584" s="26"/>
    </row>
    <row r="585" spans="9:18" x14ac:dyDescent="0.25">
      <c r="I585" s="46"/>
      <c r="J585" s="26"/>
      <c r="K585" s="26"/>
      <c r="L585" s="26"/>
      <c r="M585" s="26"/>
      <c r="N585" s="26"/>
      <c r="O585" s="26"/>
      <c r="P585" s="26"/>
      <c r="Q585" s="26"/>
      <c r="R585" s="26"/>
    </row>
    <row r="586" spans="9:18" x14ac:dyDescent="0.25">
      <c r="I586" s="46"/>
      <c r="J586" s="26"/>
      <c r="K586" s="26"/>
      <c r="L586" s="26"/>
      <c r="M586" s="26"/>
      <c r="N586" s="26"/>
      <c r="O586" s="26"/>
      <c r="P586" s="26"/>
      <c r="Q586" s="26"/>
      <c r="R586" s="26"/>
    </row>
    <row r="587" spans="9:18" x14ac:dyDescent="0.25">
      <c r="I587" s="46"/>
      <c r="J587" s="26"/>
      <c r="K587" s="26"/>
      <c r="L587" s="26"/>
      <c r="M587" s="26"/>
      <c r="N587" s="26"/>
      <c r="O587" s="26"/>
      <c r="P587" s="26"/>
      <c r="Q587" s="26"/>
      <c r="R587" s="26"/>
    </row>
    <row r="588" spans="9:18" x14ac:dyDescent="0.25">
      <c r="I588" s="46"/>
      <c r="J588" s="26"/>
      <c r="K588" s="26"/>
      <c r="L588" s="26"/>
      <c r="M588" s="26"/>
      <c r="N588" s="26"/>
      <c r="O588" s="26"/>
      <c r="P588" s="26"/>
      <c r="Q588" s="26"/>
      <c r="R588" s="26"/>
    </row>
    <row r="589" spans="9:18" x14ac:dyDescent="0.25">
      <c r="I589" s="46"/>
      <c r="J589" s="26"/>
      <c r="K589" s="26"/>
      <c r="L589" s="26"/>
      <c r="M589" s="26"/>
      <c r="N589" s="26"/>
      <c r="O589" s="26"/>
      <c r="P589" s="26"/>
      <c r="Q589" s="26"/>
      <c r="R589" s="26"/>
    </row>
    <row r="590" spans="9:18" x14ac:dyDescent="0.25">
      <c r="I590" s="46"/>
      <c r="J590" s="26"/>
      <c r="K590" s="26"/>
      <c r="L590" s="26"/>
      <c r="M590" s="26"/>
      <c r="N590" s="26"/>
      <c r="O590" s="26"/>
      <c r="P590" s="26"/>
      <c r="Q590" s="26"/>
      <c r="R590" s="26"/>
    </row>
    <row r="591" spans="9:18" x14ac:dyDescent="0.25">
      <c r="I591" s="46"/>
      <c r="J591" s="26"/>
      <c r="K591" s="26"/>
      <c r="L591" s="26"/>
      <c r="M591" s="26"/>
      <c r="N591" s="26"/>
      <c r="O591" s="26"/>
      <c r="P591" s="26"/>
      <c r="Q591" s="26"/>
      <c r="R591" s="26"/>
    </row>
    <row r="592" spans="9:18" x14ac:dyDescent="0.25">
      <c r="I592" s="46"/>
      <c r="J592" s="26"/>
      <c r="K592" s="26"/>
      <c r="L592" s="26"/>
      <c r="M592" s="26"/>
      <c r="N592" s="26"/>
      <c r="O592" s="26"/>
      <c r="P592" s="26"/>
      <c r="Q592" s="26"/>
      <c r="R592" s="26"/>
    </row>
    <row r="593" spans="9:18" x14ac:dyDescent="0.25">
      <c r="I593" s="46"/>
      <c r="J593" s="26"/>
      <c r="K593" s="26"/>
      <c r="L593" s="26"/>
      <c r="M593" s="26"/>
      <c r="N593" s="26"/>
      <c r="O593" s="26"/>
      <c r="P593" s="26"/>
      <c r="Q593" s="26"/>
      <c r="R593" s="26"/>
    </row>
    <row r="594" spans="9:18" x14ac:dyDescent="0.25">
      <c r="I594" s="46"/>
      <c r="J594" s="26"/>
      <c r="K594" s="26"/>
      <c r="L594" s="26"/>
      <c r="M594" s="26"/>
      <c r="N594" s="26"/>
      <c r="O594" s="26"/>
      <c r="P594" s="26"/>
      <c r="Q594" s="26"/>
      <c r="R594" s="26"/>
    </row>
    <row r="595" spans="9:18" x14ac:dyDescent="0.25">
      <c r="I595" s="46"/>
      <c r="J595" s="26"/>
      <c r="K595" s="26"/>
      <c r="L595" s="26"/>
      <c r="M595" s="26"/>
      <c r="N595" s="26"/>
      <c r="O595" s="26"/>
      <c r="P595" s="26"/>
      <c r="Q595" s="26"/>
      <c r="R595" s="26"/>
    </row>
    <row r="596" spans="9:18" x14ac:dyDescent="0.25">
      <c r="I596" s="46"/>
      <c r="J596" s="26"/>
      <c r="K596" s="26"/>
      <c r="L596" s="26"/>
      <c r="M596" s="26"/>
      <c r="N596" s="26"/>
      <c r="O596" s="26"/>
      <c r="P596" s="26"/>
      <c r="Q596" s="26"/>
      <c r="R596" s="26"/>
    </row>
    <row r="597" spans="9:18" x14ac:dyDescent="0.25">
      <c r="I597" s="46"/>
      <c r="J597" s="26"/>
      <c r="K597" s="26"/>
      <c r="L597" s="26"/>
      <c r="M597" s="26"/>
      <c r="N597" s="26"/>
      <c r="O597" s="26"/>
      <c r="P597" s="26"/>
      <c r="Q597" s="26"/>
      <c r="R597" s="26"/>
    </row>
    <row r="598" spans="9:18" x14ac:dyDescent="0.25">
      <c r="I598" s="46"/>
      <c r="J598" s="26"/>
      <c r="K598" s="26"/>
      <c r="L598" s="26"/>
      <c r="M598" s="26"/>
      <c r="N598" s="26"/>
      <c r="O598" s="26"/>
      <c r="P598" s="26"/>
      <c r="Q598" s="26"/>
      <c r="R598" s="26"/>
    </row>
    <row r="599" spans="9:18" x14ac:dyDescent="0.25">
      <c r="I599" s="46"/>
      <c r="J599" s="26"/>
      <c r="K599" s="26"/>
      <c r="L599" s="26"/>
      <c r="M599" s="26"/>
      <c r="N599" s="26"/>
      <c r="O599" s="26"/>
      <c r="P599" s="26"/>
      <c r="Q599" s="26"/>
      <c r="R599" s="26"/>
    </row>
    <row r="600" spans="9:18" x14ac:dyDescent="0.25">
      <c r="I600" s="46"/>
      <c r="J600" s="26"/>
      <c r="K600" s="26"/>
      <c r="L600" s="26"/>
      <c r="M600" s="26"/>
      <c r="N600" s="26"/>
      <c r="O600" s="26"/>
      <c r="P600" s="26"/>
      <c r="Q600" s="26"/>
      <c r="R600" s="26"/>
    </row>
    <row r="601" spans="9:18" x14ac:dyDescent="0.25">
      <c r="I601" s="46"/>
      <c r="J601" s="26"/>
      <c r="K601" s="26"/>
      <c r="L601" s="26"/>
      <c r="M601" s="26"/>
      <c r="N601" s="26"/>
      <c r="O601" s="26"/>
      <c r="P601" s="26"/>
      <c r="Q601" s="26"/>
      <c r="R601" s="26"/>
    </row>
    <row r="602" spans="9:18" x14ac:dyDescent="0.25">
      <c r="I602" s="46"/>
      <c r="J602" s="26"/>
      <c r="K602" s="26"/>
      <c r="L602" s="26"/>
      <c r="M602" s="26"/>
      <c r="N602" s="26"/>
      <c r="O602" s="26"/>
      <c r="P602" s="26"/>
      <c r="Q602" s="26"/>
      <c r="R602" s="26"/>
    </row>
    <row r="603" spans="9:18" x14ac:dyDescent="0.25">
      <c r="I603" s="46"/>
      <c r="J603" s="26"/>
      <c r="K603" s="26"/>
      <c r="L603" s="26"/>
      <c r="M603" s="26"/>
      <c r="N603" s="26"/>
      <c r="O603" s="26"/>
      <c r="P603" s="26"/>
      <c r="Q603" s="26"/>
      <c r="R603" s="26"/>
    </row>
    <row r="604" spans="9:18" x14ac:dyDescent="0.25">
      <c r="I604" s="46"/>
      <c r="J604" s="26"/>
      <c r="K604" s="26"/>
      <c r="L604" s="26"/>
      <c r="M604" s="26"/>
      <c r="N604" s="26"/>
      <c r="O604" s="26"/>
      <c r="P604" s="26"/>
      <c r="Q604" s="26"/>
      <c r="R604" s="26"/>
    </row>
    <row r="605" spans="9:18" x14ac:dyDescent="0.25">
      <c r="I605" s="46"/>
      <c r="J605" s="26"/>
      <c r="K605" s="26"/>
      <c r="L605" s="26"/>
      <c r="M605" s="26"/>
      <c r="N605" s="26"/>
      <c r="O605" s="26"/>
      <c r="P605" s="26"/>
      <c r="Q605" s="26"/>
      <c r="R605" s="26"/>
    </row>
    <row r="606" spans="9:18" x14ac:dyDescent="0.25">
      <c r="I606" s="46"/>
      <c r="J606" s="26"/>
      <c r="K606" s="26"/>
      <c r="L606" s="26"/>
      <c r="M606" s="26"/>
      <c r="N606" s="26"/>
      <c r="O606" s="26"/>
      <c r="P606" s="26"/>
      <c r="Q606" s="26"/>
      <c r="R606" s="26"/>
    </row>
    <row r="607" spans="9:18" x14ac:dyDescent="0.25">
      <c r="I607" s="46"/>
      <c r="J607" s="26"/>
      <c r="K607" s="26"/>
      <c r="L607" s="26"/>
      <c r="M607" s="26"/>
      <c r="N607" s="26"/>
      <c r="O607" s="26"/>
      <c r="P607" s="26"/>
      <c r="Q607" s="26"/>
      <c r="R607" s="26"/>
    </row>
    <row r="608" spans="9:18" x14ac:dyDescent="0.25">
      <c r="I608" s="46"/>
      <c r="J608" s="26"/>
      <c r="K608" s="26"/>
      <c r="L608" s="26"/>
      <c r="M608" s="26"/>
      <c r="N608" s="26"/>
      <c r="O608" s="26"/>
      <c r="P608" s="26"/>
      <c r="Q608" s="26"/>
      <c r="R608" s="26"/>
    </row>
    <row r="609" spans="9:18" x14ac:dyDescent="0.25">
      <c r="I609" s="46"/>
      <c r="J609" s="26"/>
      <c r="K609" s="26"/>
      <c r="L609" s="26"/>
      <c r="M609" s="26"/>
      <c r="N609" s="26"/>
      <c r="O609" s="26"/>
      <c r="P609" s="26"/>
      <c r="Q609" s="26"/>
      <c r="R609" s="26"/>
    </row>
    <row r="610" spans="9:18" x14ac:dyDescent="0.25">
      <c r="I610" s="46"/>
      <c r="J610" s="26"/>
      <c r="K610" s="26"/>
      <c r="L610" s="26"/>
      <c r="M610" s="26"/>
      <c r="N610" s="26"/>
      <c r="O610" s="26"/>
      <c r="P610" s="26"/>
      <c r="Q610" s="26"/>
      <c r="R610" s="26"/>
    </row>
    <row r="611" spans="9:18" x14ac:dyDescent="0.25">
      <c r="I611" s="46"/>
      <c r="J611" s="26"/>
      <c r="K611" s="26"/>
      <c r="L611" s="26"/>
      <c r="M611" s="26"/>
      <c r="N611" s="26"/>
      <c r="O611" s="26"/>
      <c r="P611" s="26"/>
      <c r="Q611" s="26"/>
      <c r="R611" s="26"/>
    </row>
    <row r="612" spans="9:18" x14ac:dyDescent="0.25">
      <c r="I612" s="46"/>
      <c r="J612" s="26"/>
      <c r="K612" s="26"/>
      <c r="L612" s="26"/>
      <c r="M612" s="26"/>
      <c r="N612" s="26"/>
      <c r="O612" s="26"/>
      <c r="P612" s="26"/>
      <c r="Q612" s="26"/>
      <c r="R612" s="26"/>
    </row>
    <row r="613" spans="9:18" x14ac:dyDescent="0.25">
      <c r="I613" s="46"/>
      <c r="J613" s="26"/>
      <c r="K613" s="26"/>
      <c r="L613" s="26"/>
      <c r="M613" s="26"/>
      <c r="N613" s="26"/>
      <c r="O613" s="26"/>
      <c r="P613" s="26"/>
      <c r="Q613" s="26"/>
      <c r="R613" s="26"/>
    </row>
    <row r="614" spans="9:18" x14ac:dyDescent="0.25">
      <c r="I614" s="46"/>
      <c r="J614" s="26"/>
      <c r="K614" s="26"/>
      <c r="L614" s="26"/>
      <c r="M614" s="26"/>
      <c r="N614" s="26"/>
      <c r="O614" s="26"/>
      <c r="P614" s="26"/>
      <c r="Q614" s="26"/>
      <c r="R614" s="26"/>
    </row>
    <row r="615" spans="9:18" x14ac:dyDescent="0.25">
      <c r="I615" s="46"/>
      <c r="J615" s="26"/>
      <c r="K615" s="26"/>
      <c r="L615" s="26"/>
      <c r="M615" s="26"/>
      <c r="N615" s="26"/>
      <c r="O615" s="26"/>
      <c r="P615" s="26"/>
      <c r="Q615" s="26"/>
      <c r="R615" s="26"/>
    </row>
    <row r="616" spans="9:18" x14ac:dyDescent="0.25">
      <c r="I616" s="46"/>
      <c r="J616" s="26"/>
      <c r="K616" s="26"/>
      <c r="L616" s="26"/>
      <c r="M616" s="26"/>
      <c r="N616" s="26"/>
      <c r="O616" s="26"/>
      <c r="P616" s="26"/>
      <c r="Q616" s="26"/>
      <c r="R616" s="26"/>
    </row>
    <row r="617" spans="9:18" x14ac:dyDescent="0.25">
      <c r="I617" s="46"/>
      <c r="J617" s="26"/>
      <c r="K617" s="26"/>
      <c r="L617" s="26"/>
      <c r="M617" s="26"/>
      <c r="N617" s="26"/>
      <c r="O617" s="26"/>
      <c r="P617" s="26"/>
      <c r="Q617" s="26"/>
      <c r="R617" s="26"/>
    </row>
    <row r="618" spans="9:18" x14ac:dyDescent="0.25">
      <c r="I618" s="46"/>
      <c r="J618" s="26"/>
      <c r="K618" s="26"/>
      <c r="L618" s="26"/>
      <c r="M618" s="26"/>
      <c r="N618" s="26"/>
      <c r="O618" s="26"/>
      <c r="P618" s="26"/>
      <c r="Q618" s="26"/>
      <c r="R618" s="26"/>
    </row>
    <row r="619" spans="9:18" x14ac:dyDescent="0.25">
      <c r="I619" s="46"/>
      <c r="J619" s="26"/>
      <c r="K619" s="26"/>
      <c r="L619" s="26"/>
      <c r="M619" s="26"/>
      <c r="N619" s="26"/>
      <c r="O619" s="26"/>
      <c r="P619" s="26"/>
      <c r="Q619" s="26"/>
      <c r="R619" s="26"/>
    </row>
    <row r="620" spans="9:18" x14ac:dyDescent="0.25">
      <c r="I620" s="46"/>
      <c r="J620" s="26"/>
      <c r="K620" s="26"/>
      <c r="L620" s="26"/>
      <c r="M620" s="26"/>
      <c r="N620" s="26"/>
      <c r="O620" s="26"/>
      <c r="P620" s="26"/>
      <c r="Q620" s="26"/>
      <c r="R620" s="26"/>
    </row>
    <row r="621" spans="9:18" x14ac:dyDescent="0.25">
      <c r="I621" s="46"/>
      <c r="J621" s="26"/>
      <c r="K621" s="26"/>
      <c r="L621" s="26"/>
      <c r="M621" s="26"/>
      <c r="N621" s="26"/>
      <c r="O621" s="26"/>
      <c r="P621" s="26"/>
      <c r="Q621" s="26"/>
      <c r="R621" s="26"/>
    </row>
    <row r="622" spans="9:18" x14ac:dyDescent="0.25">
      <c r="I622" s="46"/>
      <c r="J622" s="26"/>
      <c r="K622" s="26"/>
      <c r="L622" s="26"/>
      <c r="M622" s="26"/>
      <c r="N622" s="26"/>
      <c r="O622" s="26"/>
      <c r="P622" s="26"/>
      <c r="Q622" s="26"/>
      <c r="R622" s="26"/>
    </row>
    <row r="623" spans="9:18" x14ac:dyDescent="0.25">
      <c r="I623" s="46"/>
      <c r="J623" s="26"/>
      <c r="K623" s="26"/>
      <c r="L623" s="26"/>
      <c r="M623" s="26"/>
      <c r="N623" s="26"/>
      <c r="O623" s="26"/>
      <c r="P623" s="26"/>
      <c r="Q623" s="26"/>
      <c r="R623" s="26"/>
    </row>
    <row r="624" spans="9:18" x14ac:dyDescent="0.25">
      <c r="I624" s="46"/>
      <c r="J624" s="26"/>
      <c r="K624" s="26"/>
      <c r="L624" s="26"/>
      <c r="M624" s="26"/>
      <c r="N624" s="26"/>
      <c r="O624" s="26"/>
      <c r="P624" s="26"/>
      <c r="Q624" s="26"/>
      <c r="R624" s="26"/>
    </row>
    <row r="625" spans="9:18" x14ac:dyDescent="0.25">
      <c r="I625" s="46"/>
      <c r="J625" s="26"/>
      <c r="K625" s="26"/>
      <c r="L625" s="26"/>
      <c r="M625" s="26"/>
      <c r="N625" s="26"/>
      <c r="O625" s="26"/>
      <c r="P625" s="26"/>
      <c r="Q625" s="26"/>
      <c r="R625" s="26"/>
    </row>
    <row r="626" spans="9:18" x14ac:dyDescent="0.25">
      <c r="I626" s="46"/>
      <c r="J626" s="26"/>
      <c r="K626" s="26"/>
      <c r="L626" s="26"/>
      <c r="M626" s="26"/>
      <c r="N626" s="26"/>
      <c r="O626" s="26"/>
      <c r="P626" s="26"/>
      <c r="Q626" s="26"/>
      <c r="R626" s="26"/>
    </row>
    <row r="627" spans="9:18" x14ac:dyDescent="0.25">
      <c r="I627" s="46"/>
      <c r="J627" s="26"/>
      <c r="K627" s="26"/>
      <c r="L627" s="26"/>
      <c r="M627" s="26"/>
      <c r="N627" s="26"/>
      <c r="O627" s="26"/>
      <c r="P627" s="26"/>
      <c r="Q627" s="26"/>
      <c r="R627" s="26"/>
    </row>
    <row r="628" spans="9:18" x14ac:dyDescent="0.25">
      <c r="I628" s="46"/>
      <c r="J628" s="26"/>
      <c r="K628" s="26"/>
      <c r="L628" s="26"/>
      <c r="M628" s="26"/>
      <c r="N628" s="26"/>
      <c r="O628" s="26"/>
      <c r="P628" s="26"/>
      <c r="Q628" s="26"/>
      <c r="R628" s="26"/>
    </row>
    <row r="629" spans="9:18" x14ac:dyDescent="0.25">
      <c r="I629" s="46"/>
      <c r="J629" s="26"/>
      <c r="K629" s="26"/>
      <c r="L629" s="26"/>
      <c r="M629" s="26"/>
      <c r="N629" s="26"/>
      <c r="O629" s="26"/>
      <c r="P629" s="26"/>
      <c r="Q629" s="26"/>
      <c r="R629" s="26"/>
    </row>
    <row r="630" spans="9:18" x14ac:dyDescent="0.25">
      <c r="I630" s="46"/>
      <c r="J630" s="26"/>
      <c r="K630" s="26"/>
      <c r="L630" s="26"/>
      <c r="M630" s="26"/>
      <c r="N630" s="26"/>
      <c r="O630" s="26"/>
      <c r="P630" s="26"/>
      <c r="Q630" s="26"/>
      <c r="R630" s="26"/>
    </row>
    <row r="631" spans="9:18" x14ac:dyDescent="0.25">
      <c r="I631" s="46"/>
      <c r="J631" s="26"/>
      <c r="K631" s="26"/>
      <c r="L631" s="26"/>
      <c r="M631" s="26"/>
      <c r="N631" s="26"/>
      <c r="O631" s="26"/>
      <c r="P631" s="26"/>
      <c r="Q631" s="26"/>
      <c r="R631" s="26"/>
    </row>
    <row r="632" spans="9:18" x14ac:dyDescent="0.25">
      <c r="I632" s="46"/>
      <c r="J632" s="26"/>
      <c r="K632" s="26"/>
      <c r="L632" s="26"/>
      <c r="M632" s="26"/>
      <c r="N632" s="26"/>
      <c r="O632" s="26"/>
      <c r="P632" s="26"/>
      <c r="Q632" s="26"/>
      <c r="R632" s="26"/>
    </row>
    <row r="633" spans="9:18" x14ac:dyDescent="0.25">
      <c r="I633" s="46"/>
      <c r="J633" s="26"/>
      <c r="K633" s="26"/>
      <c r="L633" s="26"/>
      <c r="M633" s="26"/>
      <c r="N633" s="26"/>
      <c r="O633" s="26"/>
      <c r="P633" s="26"/>
      <c r="Q633" s="26"/>
      <c r="R633" s="26"/>
    </row>
    <row r="634" spans="9:18" x14ac:dyDescent="0.25">
      <c r="I634" s="46"/>
      <c r="J634" s="26"/>
      <c r="K634" s="26"/>
      <c r="L634" s="26"/>
      <c r="M634" s="26"/>
      <c r="N634" s="26"/>
      <c r="O634" s="26"/>
      <c r="P634" s="26"/>
      <c r="Q634" s="26"/>
      <c r="R634" s="26"/>
    </row>
    <row r="635" spans="9:18" x14ac:dyDescent="0.25">
      <c r="I635" s="46"/>
      <c r="J635" s="26"/>
      <c r="K635" s="26"/>
      <c r="L635" s="26"/>
      <c r="M635" s="26"/>
      <c r="N635" s="26"/>
      <c r="O635" s="26"/>
      <c r="P635" s="26"/>
      <c r="Q635" s="26"/>
      <c r="R635" s="26"/>
    </row>
    <row r="636" spans="9:18" x14ac:dyDescent="0.25">
      <c r="I636" s="46"/>
      <c r="J636" s="26"/>
      <c r="K636" s="26"/>
      <c r="L636" s="26"/>
      <c r="M636" s="26"/>
      <c r="N636" s="26"/>
      <c r="O636" s="26"/>
      <c r="P636" s="26"/>
      <c r="Q636" s="26"/>
      <c r="R636" s="26"/>
    </row>
    <row r="637" spans="9:18" x14ac:dyDescent="0.25">
      <c r="I637" s="46"/>
      <c r="J637" s="26"/>
      <c r="K637" s="26"/>
      <c r="L637" s="26"/>
      <c r="M637" s="26"/>
      <c r="N637" s="26"/>
      <c r="O637" s="26"/>
      <c r="P637" s="26"/>
      <c r="Q637" s="26"/>
      <c r="R637" s="26"/>
    </row>
    <row r="638" spans="9:18" x14ac:dyDescent="0.25">
      <c r="I638" s="46"/>
      <c r="J638" s="26"/>
      <c r="K638" s="26"/>
      <c r="L638" s="26"/>
      <c r="M638" s="26"/>
      <c r="N638" s="26"/>
      <c r="O638" s="26"/>
      <c r="P638" s="26"/>
      <c r="Q638" s="26"/>
      <c r="R638" s="26"/>
    </row>
    <row r="639" spans="9:18" x14ac:dyDescent="0.25">
      <c r="I639" s="46"/>
      <c r="J639" s="26"/>
      <c r="K639" s="26"/>
      <c r="L639" s="26"/>
      <c r="M639" s="26"/>
      <c r="N639" s="26"/>
      <c r="O639" s="26"/>
      <c r="P639" s="26"/>
      <c r="Q639" s="26"/>
      <c r="R639" s="26"/>
    </row>
    <row r="640" spans="9:18" x14ac:dyDescent="0.25">
      <c r="I640" s="46"/>
      <c r="J640" s="26"/>
      <c r="K640" s="26"/>
      <c r="L640" s="26"/>
      <c r="M640" s="26"/>
      <c r="N640" s="26"/>
      <c r="O640" s="26"/>
      <c r="P640" s="26"/>
      <c r="Q640" s="26"/>
      <c r="R640" s="26"/>
    </row>
    <row r="641" spans="9:18" x14ac:dyDescent="0.25">
      <c r="I641" s="46"/>
      <c r="J641" s="26"/>
      <c r="K641" s="26"/>
      <c r="L641" s="26"/>
      <c r="M641" s="26"/>
      <c r="N641" s="26"/>
      <c r="O641" s="26"/>
      <c r="P641" s="26"/>
      <c r="Q641" s="26"/>
      <c r="R641" s="26"/>
    </row>
    <row r="642" spans="9:18" x14ac:dyDescent="0.25">
      <c r="I642" s="46"/>
      <c r="J642" s="26"/>
      <c r="K642" s="26"/>
      <c r="L642" s="26"/>
      <c r="M642" s="26"/>
      <c r="N642" s="26"/>
      <c r="O642" s="26"/>
      <c r="P642" s="26"/>
      <c r="Q642" s="26"/>
      <c r="R642" s="26"/>
    </row>
    <row r="643" spans="9:18" x14ac:dyDescent="0.25">
      <c r="I643" s="46"/>
      <c r="J643" s="26"/>
      <c r="K643" s="26"/>
      <c r="L643" s="26"/>
      <c r="M643" s="26"/>
      <c r="N643" s="26"/>
      <c r="O643" s="26"/>
      <c r="P643" s="26"/>
      <c r="Q643" s="26"/>
      <c r="R643" s="26"/>
    </row>
    <row r="644" spans="9:18" x14ac:dyDescent="0.25">
      <c r="I644" s="46"/>
      <c r="J644" s="26"/>
      <c r="K644" s="26"/>
      <c r="L644" s="26"/>
      <c r="M644" s="26"/>
      <c r="N644" s="26"/>
      <c r="O644" s="26"/>
      <c r="P644" s="26"/>
      <c r="Q644" s="26"/>
      <c r="R644" s="26"/>
    </row>
    <row r="645" spans="9:18" x14ac:dyDescent="0.25">
      <c r="I645" s="46"/>
      <c r="J645" s="26"/>
      <c r="K645" s="26"/>
      <c r="L645" s="26"/>
      <c r="M645" s="26"/>
      <c r="N645" s="26"/>
      <c r="O645" s="26"/>
      <c r="P645" s="26"/>
      <c r="Q645" s="26"/>
      <c r="R645" s="26"/>
    </row>
    <row r="646" spans="9:18" x14ac:dyDescent="0.25">
      <c r="I646" s="46"/>
      <c r="J646" s="26"/>
      <c r="K646" s="26"/>
      <c r="L646" s="26"/>
      <c r="M646" s="26"/>
      <c r="N646" s="26"/>
      <c r="O646" s="26"/>
      <c r="P646" s="26"/>
      <c r="Q646" s="26"/>
      <c r="R646" s="26"/>
    </row>
    <row r="647" spans="9:18" x14ac:dyDescent="0.25">
      <c r="I647" s="46"/>
      <c r="J647" s="26"/>
      <c r="K647" s="26"/>
      <c r="L647" s="26"/>
      <c r="M647" s="26"/>
      <c r="N647" s="26"/>
      <c r="O647" s="26"/>
      <c r="P647" s="26"/>
      <c r="Q647" s="26"/>
      <c r="R647" s="26"/>
    </row>
    <row r="648" spans="9:18" x14ac:dyDescent="0.25">
      <c r="I648" s="46"/>
      <c r="J648" s="26"/>
      <c r="K648" s="26"/>
      <c r="L648" s="26"/>
      <c r="M648" s="26"/>
      <c r="N648" s="26"/>
      <c r="O648" s="26"/>
      <c r="P648" s="26"/>
      <c r="Q648" s="26"/>
      <c r="R648" s="26"/>
    </row>
    <row r="649" spans="9:18" x14ac:dyDescent="0.25">
      <c r="I649" s="46"/>
      <c r="J649" s="26"/>
      <c r="K649" s="26"/>
      <c r="L649" s="26"/>
      <c r="M649" s="26"/>
      <c r="N649" s="26"/>
      <c r="O649" s="26"/>
      <c r="P649" s="26"/>
      <c r="Q649" s="26"/>
      <c r="R649" s="26"/>
    </row>
    <row r="650" spans="9:18" x14ac:dyDescent="0.25">
      <c r="I650" s="46"/>
      <c r="J650" s="26"/>
      <c r="K650" s="26"/>
      <c r="L650" s="26"/>
      <c r="M650" s="26"/>
      <c r="N650" s="26"/>
      <c r="O650" s="26"/>
      <c r="P650" s="26"/>
      <c r="Q650" s="26"/>
      <c r="R650" s="26"/>
    </row>
    <row r="651" spans="9:18" x14ac:dyDescent="0.25">
      <c r="I651" s="46"/>
      <c r="J651" s="26"/>
      <c r="K651" s="26"/>
      <c r="L651" s="26"/>
      <c r="M651" s="26"/>
      <c r="N651" s="26"/>
      <c r="O651" s="26"/>
      <c r="P651" s="26"/>
      <c r="Q651" s="26"/>
      <c r="R651" s="26"/>
    </row>
    <row r="652" spans="9:18" x14ac:dyDescent="0.25">
      <c r="I652" s="46"/>
      <c r="J652" s="26"/>
      <c r="K652" s="26"/>
      <c r="L652" s="26"/>
      <c r="M652" s="26"/>
      <c r="N652" s="26"/>
      <c r="O652" s="26"/>
      <c r="P652" s="26"/>
      <c r="Q652" s="26"/>
      <c r="R652" s="26"/>
    </row>
    <row r="653" spans="9:18" x14ac:dyDescent="0.25">
      <c r="I653" s="46"/>
      <c r="J653" s="26"/>
      <c r="K653" s="26"/>
      <c r="L653" s="26"/>
      <c r="M653" s="26"/>
      <c r="N653" s="26"/>
      <c r="O653" s="26"/>
      <c r="P653" s="26"/>
      <c r="Q653" s="26"/>
      <c r="R653" s="26"/>
    </row>
    <row r="654" spans="9:18" x14ac:dyDescent="0.25">
      <c r="I654" s="46"/>
      <c r="J654" s="26"/>
      <c r="K654" s="26"/>
      <c r="L654" s="26"/>
      <c r="M654" s="26"/>
      <c r="N654" s="26"/>
      <c r="O654" s="26"/>
      <c r="P654" s="26"/>
      <c r="Q654" s="26"/>
      <c r="R654" s="26"/>
    </row>
    <row r="655" spans="9:18" x14ac:dyDescent="0.25">
      <c r="I655" s="46"/>
      <c r="J655" s="26"/>
      <c r="K655" s="26"/>
      <c r="L655" s="26"/>
      <c r="M655" s="26"/>
      <c r="N655" s="26"/>
      <c r="O655" s="26"/>
      <c r="P655" s="26"/>
      <c r="Q655" s="26"/>
      <c r="R655" s="26"/>
    </row>
    <row r="656" spans="9:18" x14ac:dyDescent="0.25">
      <c r="I656" s="46"/>
      <c r="J656" s="26"/>
      <c r="K656" s="26"/>
      <c r="L656" s="26"/>
      <c r="M656" s="26"/>
      <c r="N656" s="26"/>
      <c r="O656" s="26"/>
      <c r="P656" s="26"/>
      <c r="Q656" s="26"/>
      <c r="R656" s="26"/>
    </row>
    <row r="657" spans="9:18" x14ac:dyDescent="0.25">
      <c r="I657" s="46"/>
      <c r="J657" s="26"/>
      <c r="K657" s="26"/>
      <c r="L657" s="26"/>
      <c r="M657" s="26"/>
      <c r="N657" s="26"/>
      <c r="O657" s="26"/>
      <c r="P657" s="26"/>
      <c r="Q657" s="26"/>
      <c r="R657" s="26"/>
    </row>
    <row r="658" spans="9:18" x14ac:dyDescent="0.25">
      <c r="I658" s="46"/>
      <c r="J658" s="26"/>
      <c r="K658" s="26"/>
      <c r="L658" s="26"/>
      <c r="M658" s="26"/>
      <c r="N658" s="26"/>
      <c r="O658" s="26"/>
      <c r="P658" s="26"/>
      <c r="Q658" s="26"/>
      <c r="R658" s="26"/>
    </row>
    <row r="659" spans="9:18" x14ac:dyDescent="0.25">
      <c r="I659" s="46"/>
      <c r="J659" s="26"/>
      <c r="K659" s="26"/>
      <c r="L659" s="26"/>
      <c r="M659" s="26"/>
      <c r="N659" s="26"/>
      <c r="O659" s="26"/>
      <c r="P659" s="26"/>
      <c r="Q659" s="26"/>
      <c r="R659" s="26"/>
    </row>
    <row r="660" spans="9:18" x14ac:dyDescent="0.25">
      <c r="I660" s="46"/>
      <c r="J660" s="26"/>
      <c r="K660" s="26"/>
      <c r="L660" s="26"/>
      <c r="M660" s="26"/>
      <c r="N660" s="26"/>
      <c r="O660" s="26"/>
      <c r="P660" s="26"/>
      <c r="Q660" s="26"/>
      <c r="R660" s="26"/>
    </row>
    <row r="661" spans="9:18" x14ac:dyDescent="0.25">
      <c r="I661" s="46"/>
      <c r="J661" s="26"/>
      <c r="K661" s="26"/>
      <c r="L661" s="26"/>
      <c r="M661" s="26"/>
      <c r="N661" s="26"/>
      <c r="O661" s="26"/>
      <c r="P661" s="26"/>
      <c r="Q661" s="26"/>
      <c r="R661" s="26"/>
    </row>
    <row r="662" spans="9:18" x14ac:dyDescent="0.25">
      <c r="I662" s="46"/>
      <c r="J662" s="26"/>
      <c r="K662" s="26"/>
      <c r="L662" s="26"/>
      <c r="M662" s="26"/>
      <c r="N662" s="26"/>
      <c r="O662" s="26"/>
      <c r="P662" s="26"/>
      <c r="Q662" s="26"/>
      <c r="R662" s="26"/>
    </row>
    <row r="663" spans="9:18" x14ac:dyDescent="0.25">
      <c r="I663" s="46"/>
      <c r="J663" s="26"/>
      <c r="K663" s="26"/>
      <c r="L663" s="26"/>
      <c r="M663" s="26"/>
      <c r="N663" s="26"/>
      <c r="O663" s="26"/>
      <c r="P663" s="26"/>
      <c r="Q663" s="26"/>
      <c r="R663" s="26"/>
    </row>
    <row r="664" spans="9:18" x14ac:dyDescent="0.25">
      <c r="I664" s="46"/>
      <c r="J664" s="26"/>
      <c r="K664" s="26"/>
      <c r="L664" s="26"/>
      <c r="M664" s="26"/>
      <c r="N664" s="26"/>
      <c r="O664" s="26"/>
      <c r="P664" s="26"/>
      <c r="Q664" s="26"/>
      <c r="R664" s="26"/>
    </row>
    <row r="665" spans="9:18" x14ac:dyDescent="0.25">
      <c r="I665" s="46"/>
      <c r="J665" s="26"/>
      <c r="K665" s="26"/>
      <c r="L665" s="26"/>
      <c r="M665" s="26"/>
      <c r="N665" s="26"/>
      <c r="O665" s="26"/>
      <c r="P665" s="26"/>
      <c r="Q665" s="26"/>
      <c r="R665" s="26"/>
    </row>
    <row r="666" spans="9:18" x14ac:dyDescent="0.25">
      <c r="I666" s="46"/>
      <c r="J666" s="26"/>
      <c r="K666" s="26"/>
      <c r="L666" s="26"/>
      <c r="M666" s="26"/>
      <c r="N666" s="26"/>
      <c r="O666" s="26"/>
      <c r="P666" s="26"/>
      <c r="Q666" s="26"/>
      <c r="R666" s="26"/>
    </row>
    <row r="667" spans="9:18" x14ac:dyDescent="0.25">
      <c r="I667" s="46"/>
      <c r="J667" s="26"/>
      <c r="K667" s="26"/>
      <c r="L667" s="26"/>
      <c r="M667" s="26"/>
      <c r="N667" s="26"/>
      <c r="O667" s="26"/>
      <c r="P667" s="26"/>
      <c r="Q667" s="26"/>
      <c r="R667" s="26"/>
    </row>
    <row r="668" spans="9:18" x14ac:dyDescent="0.25">
      <c r="I668" s="46"/>
      <c r="J668" s="26"/>
      <c r="K668" s="26"/>
      <c r="L668" s="26"/>
      <c r="M668" s="26"/>
      <c r="N668" s="26"/>
      <c r="O668" s="26"/>
      <c r="P668" s="26"/>
      <c r="Q668" s="26"/>
      <c r="R668" s="26"/>
    </row>
    <row r="669" spans="9:18" x14ac:dyDescent="0.25">
      <c r="I669" s="46"/>
      <c r="J669" s="26"/>
      <c r="K669" s="26"/>
      <c r="L669" s="26"/>
      <c r="M669" s="26"/>
      <c r="N669" s="26"/>
      <c r="O669" s="26"/>
      <c r="P669" s="26"/>
      <c r="Q669" s="26"/>
      <c r="R669" s="26"/>
    </row>
    <row r="670" spans="9:18" x14ac:dyDescent="0.25">
      <c r="I670" s="46"/>
      <c r="J670" s="26"/>
      <c r="K670" s="26"/>
      <c r="L670" s="26"/>
      <c r="M670" s="26"/>
      <c r="N670" s="26"/>
      <c r="O670" s="26"/>
      <c r="P670" s="26"/>
      <c r="Q670" s="26"/>
      <c r="R670" s="26"/>
    </row>
    <row r="671" spans="9:18" x14ac:dyDescent="0.25">
      <c r="I671" s="46"/>
      <c r="J671" s="26"/>
      <c r="K671" s="26"/>
      <c r="L671" s="26"/>
      <c r="M671" s="26"/>
      <c r="N671" s="26"/>
      <c r="O671" s="26"/>
      <c r="P671" s="26"/>
      <c r="Q671" s="26"/>
      <c r="R671" s="26"/>
    </row>
    <row r="672" spans="9:18" x14ac:dyDescent="0.25">
      <c r="I672" s="46"/>
      <c r="J672" s="26"/>
      <c r="K672" s="26"/>
      <c r="L672" s="26"/>
      <c r="M672" s="26"/>
      <c r="N672" s="26"/>
      <c r="O672" s="26"/>
      <c r="P672" s="26"/>
      <c r="Q672" s="26"/>
      <c r="R672" s="26"/>
    </row>
    <row r="673" spans="9:18" x14ac:dyDescent="0.25">
      <c r="I673" s="46"/>
      <c r="J673" s="26"/>
      <c r="K673" s="26"/>
      <c r="L673" s="26"/>
      <c r="M673" s="26"/>
      <c r="N673" s="26"/>
      <c r="O673" s="26"/>
      <c r="P673" s="26"/>
      <c r="Q673" s="26"/>
      <c r="R673" s="26"/>
    </row>
    <row r="674" spans="9:18" x14ac:dyDescent="0.25">
      <c r="I674" s="46"/>
      <c r="J674" s="26"/>
      <c r="K674" s="26"/>
      <c r="L674" s="26"/>
      <c r="M674" s="26"/>
      <c r="N674" s="26"/>
      <c r="O674" s="26"/>
      <c r="P674" s="26"/>
      <c r="Q674" s="26"/>
      <c r="R674" s="26"/>
    </row>
    <row r="675" spans="9:18" x14ac:dyDescent="0.25">
      <c r="I675" s="46"/>
      <c r="J675" s="26"/>
      <c r="K675" s="26"/>
      <c r="L675" s="26"/>
      <c r="M675" s="26"/>
      <c r="N675" s="26"/>
      <c r="O675" s="26"/>
      <c r="P675" s="26"/>
      <c r="Q675" s="26"/>
      <c r="R675" s="26"/>
    </row>
    <row r="676" spans="9:18" x14ac:dyDescent="0.25">
      <c r="I676" s="46"/>
      <c r="J676" s="26"/>
      <c r="K676" s="26"/>
      <c r="L676" s="26"/>
      <c r="M676" s="26"/>
      <c r="N676" s="26"/>
      <c r="O676" s="26"/>
      <c r="P676" s="26"/>
      <c r="Q676" s="26"/>
      <c r="R676" s="26"/>
    </row>
    <row r="677" spans="9:18" x14ac:dyDescent="0.25">
      <c r="I677" s="46"/>
      <c r="J677" s="26"/>
      <c r="K677" s="26"/>
      <c r="L677" s="26"/>
      <c r="M677" s="26"/>
      <c r="N677" s="26"/>
      <c r="O677" s="26"/>
      <c r="P677" s="26"/>
      <c r="Q677" s="26"/>
      <c r="R677" s="26"/>
    </row>
    <row r="678" spans="9:18" x14ac:dyDescent="0.25">
      <c r="I678" s="46"/>
      <c r="J678" s="26"/>
      <c r="K678" s="26"/>
      <c r="L678" s="26"/>
      <c r="M678" s="26"/>
      <c r="N678" s="26"/>
      <c r="O678" s="26"/>
      <c r="P678" s="26"/>
      <c r="Q678" s="26"/>
      <c r="R678" s="26"/>
    </row>
    <row r="679" spans="9:18" x14ac:dyDescent="0.25">
      <c r="I679" s="46"/>
      <c r="J679" s="26"/>
      <c r="K679" s="26"/>
      <c r="L679" s="26"/>
      <c r="M679" s="26"/>
      <c r="N679" s="26"/>
      <c r="O679" s="26"/>
      <c r="P679" s="26"/>
      <c r="Q679" s="26"/>
      <c r="R679" s="26"/>
    </row>
    <row r="680" spans="9:18" x14ac:dyDescent="0.25">
      <c r="I680" s="46"/>
      <c r="J680" s="26"/>
      <c r="K680" s="26"/>
      <c r="L680" s="26"/>
      <c r="M680" s="26"/>
      <c r="N680" s="26"/>
      <c r="O680" s="26"/>
      <c r="P680" s="26"/>
      <c r="Q680" s="26"/>
      <c r="R680" s="26"/>
    </row>
    <row r="681" spans="9:18" x14ac:dyDescent="0.25">
      <c r="I681" s="46"/>
      <c r="J681" s="26"/>
      <c r="K681" s="26"/>
      <c r="L681" s="26"/>
      <c r="M681" s="26"/>
      <c r="N681" s="26"/>
      <c r="O681" s="26"/>
      <c r="P681" s="26"/>
      <c r="Q681" s="26"/>
      <c r="R681" s="26"/>
    </row>
    <row r="682" spans="9:18" x14ac:dyDescent="0.25">
      <c r="I682" s="46"/>
      <c r="J682" s="26"/>
      <c r="K682" s="26"/>
      <c r="L682" s="26"/>
      <c r="M682" s="26"/>
      <c r="N682" s="26"/>
      <c r="O682" s="26"/>
      <c r="P682" s="26"/>
      <c r="Q682" s="26"/>
      <c r="R682" s="26"/>
    </row>
    <row r="683" spans="9:18" x14ac:dyDescent="0.25">
      <c r="I683" s="46"/>
      <c r="J683" s="26"/>
      <c r="K683" s="26"/>
      <c r="L683" s="26"/>
      <c r="M683" s="26"/>
      <c r="N683" s="26"/>
      <c r="O683" s="26"/>
      <c r="P683" s="26"/>
      <c r="Q683" s="26"/>
      <c r="R683" s="26"/>
    </row>
    <row r="684" spans="9:18" x14ac:dyDescent="0.25">
      <c r="I684" s="46"/>
      <c r="J684" s="26"/>
      <c r="K684" s="26"/>
      <c r="L684" s="26"/>
      <c r="M684" s="26"/>
      <c r="N684" s="26"/>
      <c r="O684" s="26"/>
      <c r="P684" s="26"/>
      <c r="Q684" s="26"/>
      <c r="R684" s="26"/>
    </row>
    <row r="685" spans="9:18" x14ac:dyDescent="0.25">
      <c r="I685" s="46"/>
      <c r="J685" s="26"/>
      <c r="K685" s="26"/>
      <c r="L685" s="26"/>
      <c r="M685" s="26"/>
      <c r="N685" s="26"/>
      <c r="O685" s="26"/>
      <c r="P685" s="26"/>
      <c r="Q685" s="26"/>
      <c r="R685" s="26"/>
    </row>
    <row r="686" spans="9:18" x14ac:dyDescent="0.25">
      <c r="I686" s="46"/>
      <c r="J686" s="26"/>
      <c r="K686" s="26"/>
      <c r="L686" s="26"/>
      <c r="M686" s="26"/>
      <c r="N686" s="26"/>
      <c r="O686" s="26"/>
      <c r="P686" s="26"/>
      <c r="Q686" s="26"/>
      <c r="R686" s="26"/>
    </row>
    <row r="687" spans="9:18" x14ac:dyDescent="0.25">
      <c r="I687" s="46"/>
      <c r="J687" s="26"/>
      <c r="K687" s="26"/>
      <c r="L687" s="26"/>
      <c r="M687" s="26"/>
      <c r="N687" s="26"/>
      <c r="O687" s="26"/>
      <c r="P687" s="26"/>
      <c r="Q687" s="26"/>
      <c r="R687" s="26"/>
    </row>
    <row r="688" spans="9:18" x14ac:dyDescent="0.25">
      <c r="I688" s="46"/>
      <c r="J688" s="26"/>
      <c r="K688" s="26"/>
      <c r="L688" s="26"/>
      <c r="M688" s="26"/>
      <c r="N688" s="26"/>
      <c r="O688" s="26"/>
      <c r="P688" s="26"/>
      <c r="Q688" s="26"/>
      <c r="R688" s="26"/>
    </row>
    <row r="689" spans="9:18" x14ac:dyDescent="0.25">
      <c r="I689" s="46"/>
      <c r="J689" s="26"/>
      <c r="K689" s="26"/>
      <c r="L689" s="26"/>
      <c r="M689" s="26"/>
      <c r="N689" s="26"/>
      <c r="O689" s="26"/>
      <c r="P689" s="26"/>
      <c r="Q689" s="26"/>
      <c r="R689" s="26"/>
    </row>
    <row r="690" spans="9:18" x14ac:dyDescent="0.25">
      <c r="I690" s="46"/>
      <c r="J690" s="26"/>
      <c r="K690" s="26"/>
      <c r="L690" s="26"/>
      <c r="M690" s="26"/>
      <c r="N690" s="26"/>
      <c r="O690" s="26"/>
      <c r="P690" s="26"/>
      <c r="Q690" s="26"/>
      <c r="R690" s="26"/>
    </row>
    <row r="691" spans="9:18" x14ac:dyDescent="0.25">
      <c r="I691" s="46"/>
      <c r="J691" s="26"/>
      <c r="K691" s="26"/>
      <c r="L691" s="26"/>
      <c r="M691" s="26"/>
      <c r="N691" s="26"/>
      <c r="O691" s="26"/>
      <c r="P691" s="26"/>
      <c r="Q691" s="26"/>
      <c r="R691" s="26"/>
    </row>
    <row r="692" spans="9:18" x14ac:dyDescent="0.25">
      <c r="I692" s="46"/>
      <c r="J692" s="26"/>
      <c r="K692" s="26"/>
      <c r="L692" s="26"/>
      <c r="M692" s="26"/>
      <c r="N692" s="26"/>
      <c r="O692" s="26"/>
      <c r="P692" s="26"/>
      <c r="Q692" s="26"/>
      <c r="R692" s="26"/>
    </row>
    <row r="693" spans="9:18" x14ac:dyDescent="0.25">
      <c r="I693" s="46"/>
      <c r="J693" s="26"/>
      <c r="K693" s="26"/>
      <c r="L693" s="26"/>
      <c r="M693" s="26"/>
      <c r="N693" s="26"/>
      <c r="O693" s="26"/>
      <c r="P693" s="26"/>
      <c r="Q693" s="26"/>
      <c r="R693" s="26"/>
    </row>
    <row r="694" spans="9:18" x14ac:dyDescent="0.25">
      <c r="I694" s="46"/>
      <c r="J694" s="26"/>
      <c r="K694" s="26"/>
      <c r="L694" s="26"/>
      <c r="M694" s="26"/>
      <c r="N694" s="26"/>
      <c r="O694" s="26"/>
      <c r="P694" s="26"/>
      <c r="Q694" s="26"/>
      <c r="R694" s="26"/>
    </row>
    <row r="695" spans="9:18" x14ac:dyDescent="0.25">
      <c r="I695" s="46"/>
      <c r="J695" s="26"/>
      <c r="K695" s="26"/>
      <c r="L695" s="26"/>
      <c r="M695" s="26"/>
      <c r="N695" s="26"/>
      <c r="O695" s="26"/>
      <c r="P695" s="26"/>
      <c r="Q695" s="26"/>
      <c r="R695" s="26"/>
    </row>
    <row r="696" spans="9:18" x14ac:dyDescent="0.25">
      <c r="I696" s="46"/>
      <c r="J696" s="26"/>
      <c r="K696" s="26"/>
      <c r="L696" s="26"/>
      <c r="M696" s="26"/>
      <c r="N696" s="26"/>
      <c r="O696" s="26"/>
      <c r="P696" s="26"/>
      <c r="Q696" s="26"/>
      <c r="R696" s="26"/>
    </row>
    <row r="697" spans="9:18" x14ac:dyDescent="0.25">
      <c r="I697" s="46"/>
      <c r="J697" s="26"/>
      <c r="K697" s="26"/>
      <c r="L697" s="26"/>
      <c r="M697" s="26"/>
      <c r="N697" s="26"/>
      <c r="O697" s="26"/>
      <c r="P697" s="26"/>
      <c r="Q697" s="26"/>
      <c r="R697" s="26"/>
    </row>
    <row r="698" spans="9:18" x14ac:dyDescent="0.25">
      <c r="I698" s="46"/>
      <c r="J698" s="26"/>
      <c r="K698" s="26"/>
      <c r="L698" s="26"/>
      <c r="M698" s="26"/>
      <c r="N698" s="26"/>
      <c r="O698" s="26"/>
      <c r="P698" s="26"/>
      <c r="Q698" s="26"/>
      <c r="R698" s="26"/>
    </row>
    <row r="699" spans="9:18" x14ac:dyDescent="0.25">
      <c r="I699" s="46"/>
      <c r="J699" s="26"/>
      <c r="K699" s="26"/>
      <c r="L699" s="26"/>
      <c r="M699" s="26"/>
      <c r="N699" s="26"/>
      <c r="O699" s="26"/>
      <c r="P699" s="26"/>
      <c r="Q699" s="26"/>
      <c r="R699" s="26"/>
    </row>
    <row r="700" spans="9:18" x14ac:dyDescent="0.25">
      <c r="I700" s="46"/>
      <c r="J700" s="26"/>
      <c r="K700" s="26"/>
      <c r="L700" s="26"/>
      <c r="M700" s="26"/>
      <c r="N700" s="26"/>
      <c r="O700" s="26"/>
      <c r="P700" s="26"/>
      <c r="Q700" s="26"/>
      <c r="R700" s="26"/>
    </row>
    <row r="701" spans="9:18" x14ac:dyDescent="0.25">
      <c r="I701" s="46"/>
      <c r="J701" s="26"/>
      <c r="K701" s="26"/>
      <c r="L701" s="26"/>
      <c r="M701" s="26"/>
      <c r="N701" s="26"/>
      <c r="O701" s="26"/>
      <c r="P701" s="26"/>
      <c r="Q701" s="26"/>
      <c r="R701" s="26"/>
    </row>
    <row r="702" spans="9:18" x14ac:dyDescent="0.25">
      <c r="I702" s="46"/>
      <c r="J702" s="26"/>
      <c r="K702" s="26"/>
      <c r="L702" s="26"/>
      <c r="M702" s="26"/>
      <c r="N702" s="26"/>
      <c r="O702" s="26"/>
      <c r="P702" s="26"/>
      <c r="Q702" s="26"/>
      <c r="R702" s="26"/>
    </row>
    <row r="703" spans="9:18" x14ac:dyDescent="0.25">
      <c r="I703" s="46"/>
      <c r="J703" s="26"/>
      <c r="K703" s="26"/>
      <c r="L703" s="26"/>
      <c r="M703" s="26"/>
      <c r="N703" s="26"/>
      <c r="O703" s="26"/>
      <c r="P703" s="26"/>
      <c r="Q703" s="26"/>
      <c r="R703" s="26"/>
    </row>
    <row r="704" spans="9:18" x14ac:dyDescent="0.25">
      <c r="I704" s="46"/>
      <c r="J704" s="26"/>
      <c r="K704" s="26"/>
      <c r="L704" s="26"/>
      <c r="M704" s="26"/>
      <c r="N704" s="26"/>
      <c r="O704" s="26"/>
      <c r="P704" s="26"/>
      <c r="Q704" s="26"/>
      <c r="R704" s="26"/>
    </row>
    <row r="705" spans="9:18" x14ac:dyDescent="0.25">
      <c r="I705" s="46"/>
      <c r="J705" s="26"/>
      <c r="K705" s="26"/>
      <c r="L705" s="26"/>
      <c r="M705" s="26"/>
      <c r="N705" s="26"/>
      <c r="O705" s="26"/>
      <c r="P705" s="26"/>
      <c r="Q705" s="26"/>
      <c r="R705" s="26"/>
    </row>
    <row r="706" spans="9:18" x14ac:dyDescent="0.25">
      <c r="I706" s="46"/>
      <c r="J706" s="26"/>
      <c r="K706" s="26"/>
      <c r="L706" s="26"/>
      <c r="M706" s="26"/>
      <c r="N706" s="26"/>
      <c r="O706" s="26"/>
      <c r="P706" s="26"/>
      <c r="Q706" s="26"/>
      <c r="R706" s="26"/>
    </row>
    <row r="707" spans="9:18" x14ac:dyDescent="0.25">
      <c r="I707" s="46"/>
      <c r="J707" s="26"/>
      <c r="K707" s="26"/>
      <c r="L707" s="26"/>
      <c r="M707" s="26"/>
      <c r="N707" s="26"/>
      <c r="O707" s="26"/>
      <c r="P707" s="26"/>
      <c r="Q707" s="26"/>
      <c r="R707" s="26"/>
    </row>
    <row r="708" spans="9:18" x14ac:dyDescent="0.25">
      <c r="I708" s="46"/>
      <c r="J708" s="26"/>
      <c r="K708" s="26"/>
      <c r="L708" s="26"/>
      <c r="M708" s="26"/>
      <c r="N708" s="26"/>
      <c r="O708" s="26"/>
      <c r="P708" s="26"/>
      <c r="Q708" s="26"/>
      <c r="R708" s="26"/>
    </row>
    <row r="709" spans="9:18" x14ac:dyDescent="0.25">
      <c r="I709" s="46"/>
      <c r="J709" s="26"/>
      <c r="K709" s="26"/>
      <c r="L709" s="26"/>
      <c r="M709" s="26"/>
      <c r="N709" s="26"/>
      <c r="O709" s="26"/>
      <c r="P709" s="26"/>
      <c r="Q709" s="26"/>
      <c r="R709" s="26"/>
    </row>
    <row r="710" spans="9:18" x14ac:dyDescent="0.25">
      <c r="I710" s="46"/>
      <c r="J710" s="26"/>
      <c r="K710" s="26"/>
      <c r="L710" s="26"/>
      <c r="M710" s="26"/>
      <c r="N710" s="26"/>
      <c r="O710" s="26"/>
      <c r="P710" s="26"/>
      <c r="Q710" s="26"/>
      <c r="R710" s="26"/>
    </row>
    <row r="711" spans="9:18" x14ac:dyDescent="0.25">
      <c r="I711" s="46"/>
      <c r="J711" s="26"/>
      <c r="K711" s="26"/>
      <c r="L711" s="26"/>
      <c r="M711" s="26"/>
      <c r="N711" s="26"/>
      <c r="O711" s="26"/>
      <c r="P711" s="26"/>
      <c r="Q711" s="26"/>
      <c r="R711" s="26"/>
    </row>
    <row r="712" spans="9:18" x14ac:dyDescent="0.25">
      <c r="I712" s="46"/>
      <c r="J712" s="26"/>
      <c r="K712" s="26"/>
      <c r="L712" s="26"/>
      <c r="M712" s="26"/>
      <c r="N712" s="26"/>
      <c r="O712" s="26"/>
      <c r="P712" s="26"/>
      <c r="Q712" s="26"/>
      <c r="R712" s="26"/>
    </row>
    <row r="713" spans="9:18" x14ac:dyDescent="0.25">
      <c r="I713" s="46"/>
      <c r="J713" s="26"/>
      <c r="K713" s="26"/>
      <c r="L713" s="26"/>
      <c r="M713" s="26"/>
      <c r="N713" s="26"/>
      <c r="O713" s="26"/>
      <c r="P713" s="26"/>
      <c r="Q713" s="26"/>
      <c r="R713" s="26"/>
    </row>
    <row r="714" spans="9:18" x14ac:dyDescent="0.25">
      <c r="I714" s="46"/>
      <c r="J714" s="26"/>
      <c r="K714" s="26"/>
      <c r="L714" s="26"/>
      <c r="M714" s="26"/>
      <c r="N714" s="26"/>
      <c r="O714" s="26"/>
      <c r="P714" s="26"/>
      <c r="Q714" s="26"/>
      <c r="R714" s="26"/>
    </row>
    <row r="715" spans="9:18" x14ac:dyDescent="0.25">
      <c r="I715" s="46"/>
      <c r="J715" s="26"/>
      <c r="K715" s="26"/>
      <c r="L715" s="26"/>
      <c r="M715" s="26"/>
      <c r="N715" s="26"/>
      <c r="O715" s="26"/>
      <c r="P715" s="26"/>
      <c r="Q715" s="26"/>
      <c r="R715" s="26"/>
    </row>
    <row r="716" spans="9:18" x14ac:dyDescent="0.25">
      <c r="I716" s="46"/>
      <c r="J716" s="26"/>
      <c r="K716" s="26"/>
      <c r="L716" s="26"/>
      <c r="M716" s="26"/>
      <c r="N716" s="26"/>
      <c r="O716" s="26"/>
      <c r="P716" s="26"/>
      <c r="Q716" s="26"/>
      <c r="R716" s="26"/>
    </row>
    <row r="717" spans="9:18" x14ac:dyDescent="0.25">
      <c r="I717" s="46"/>
      <c r="J717" s="26"/>
      <c r="K717" s="26"/>
      <c r="L717" s="26"/>
      <c r="M717" s="26"/>
      <c r="N717" s="26"/>
      <c r="O717" s="26"/>
      <c r="P717" s="26"/>
      <c r="Q717" s="26"/>
      <c r="R717" s="26"/>
    </row>
    <row r="718" spans="9:18" x14ac:dyDescent="0.25">
      <c r="I718" s="46"/>
      <c r="J718" s="26"/>
      <c r="K718" s="26"/>
      <c r="L718" s="26"/>
      <c r="M718" s="26"/>
      <c r="N718" s="26"/>
      <c r="O718" s="26"/>
      <c r="P718" s="26"/>
      <c r="Q718" s="26"/>
      <c r="R718" s="26"/>
    </row>
    <row r="719" spans="9:18" x14ac:dyDescent="0.25">
      <c r="I719" s="46"/>
      <c r="J719" s="26"/>
      <c r="K719" s="26"/>
      <c r="L719" s="26"/>
      <c r="M719" s="26"/>
      <c r="N719" s="26"/>
      <c r="O719" s="26"/>
      <c r="P719" s="26"/>
      <c r="Q719" s="26"/>
      <c r="R719" s="26"/>
    </row>
    <row r="720" spans="9:18" x14ac:dyDescent="0.25">
      <c r="I720" s="46"/>
      <c r="J720" s="26"/>
      <c r="K720" s="26"/>
      <c r="L720" s="26"/>
      <c r="M720" s="26"/>
      <c r="N720" s="26"/>
      <c r="O720" s="26"/>
      <c r="P720" s="26"/>
      <c r="Q720" s="26"/>
      <c r="R720" s="26"/>
    </row>
    <row r="721" spans="9:18" x14ac:dyDescent="0.25">
      <c r="I721" s="46"/>
      <c r="J721" s="26"/>
      <c r="K721" s="26"/>
      <c r="L721" s="26"/>
      <c r="M721" s="26"/>
      <c r="N721" s="26"/>
      <c r="O721" s="26"/>
      <c r="P721" s="26"/>
      <c r="Q721" s="26"/>
      <c r="R721" s="26"/>
    </row>
    <row r="722" spans="9:18" x14ac:dyDescent="0.25">
      <c r="I722" s="46"/>
      <c r="J722" s="26"/>
      <c r="K722" s="26"/>
      <c r="L722" s="26"/>
      <c r="M722" s="26"/>
      <c r="N722" s="26"/>
      <c r="O722" s="26"/>
      <c r="P722" s="26"/>
      <c r="Q722" s="26"/>
      <c r="R722" s="26"/>
    </row>
    <row r="723" spans="9:18" x14ac:dyDescent="0.25">
      <c r="I723" s="46"/>
      <c r="J723" s="26"/>
      <c r="K723" s="26"/>
      <c r="L723" s="26"/>
      <c r="M723" s="26"/>
      <c r="N723" s="26"/>
      <c r="O723" s="26"/>
      <c r="P723" s="26"/>
      <c r="Q723" s="26"/>
      <c r="R723" s="26"/>
    </row>
    <row r="724" spans="9:18" x14ac:dyDescent="0.25">
      <c r="I724" s="46"/>
      <c r="J724" s="26"/>
      <c r="K724" s="26"/>
      <c r="L724" s="26"/>
      <c r="M724" s="26"/>
      <c r="N724" s="26"/>
      <c r="O724" s="26"/>
      <c r="P724" s="26"/>
      <c r="Q724" s="26"/>
      <c r="R724" s="26"/>
    </row>
    <row r="725" spans="9:18" x14ac:dyDescent="0.25">
      <c r="I725" s="46"/>
      <c r="J725" s="26"/>
      <c r="K725" s="26"/>
      <c r="L725" s="26"/>
      <c r="M725" s="26"/>
      <c r="N725" s="26"/>
      <c r="O725" s="26"/>
      <c r="P725" s="26"/>
      <c r="Q725" s="26"/>
      <c r="R725" s="26"/>
    </row>
    <row r="726" spans="9:18" x14ac:dyDescent="0.25">
      <c r="I726" s="46"/>
      <c r="J726" s="26"/>
      <c r="K726" s="26"/>
      <c r="L726" s="26"/>
      <c r="M726" s="26"/>
      <c r="N726" s="26"/>
      <c r="O726" s="26"/>
      <c r="P726" s="26"/>
      <c r="Q726" s="26"/>
      <c r="R726" s="26"/>
    </row>
    <row r="727" spans="9:18" x14ac:dyDescent="0.25">
      <c r="I727" s="46"/>
      <c r="J727" s="26"/>
      <c r="K727" s="26"/>
      <c r="L727" s="26"/>
      <c r="M727" s="26"/>
      <c r="N727" s="26"/>
      <c r="O727" s="26"/>
      <c r="P727" s="26"/>
      <c r="Q727" s="26"/>
      <c r="R727" s="26"/>
    </row>
    <row r="728" spans="9:18" x14ac:dyDescent="0.25">
      <c r="I728" s="46"/>
      <c r="J728" s="26"/>
      <c r="K728" s="26"/>
      <c r="L728" s="26"/>
      <c r="M728" s="26"/>
      <c r="N728" s="26"/>
      <c r="O728" s="26"/>
      <c r="P728" s="26"/>
      <c r="Q728" s="26"/>
      <c r="R728" s="26"/>
    </row>
    <row r="729" spans="9:18" x14ac:dyDescent="0.25">
      <c r="I729" s="46"/>
      <c r="J729" s="26"/>
      <c r="K729" s="26"/>
      <c r="L729" s="26"/>
      <c r="M729" s="26"/>
      <c r="N729" s="26"/>
      <c r="O729" s="26"/>
      <c r="P729" s="26"/>
      <c r="Q729" s="26"/>
      <c r="R729" s="26"/>
    </row>
    <row r="730" spans="9:18" x14ac:dyDescent="0.25">
      <c r="I730" s="46"/>
      <c r="J730" s="26"/>
      <c r="K730" s="26"/>
      <c r="L730" s="26"/>
      <c r="M730" s="26"/>
      <c r="N730" s="26"/>
      <c r="O730" s="26"/>
      <c r="P730" s="26"/>
      <c r="Q730" s="26"/>
      <c r="R730" s="26"/>
    </row>
    <row r="731" spans="9:18" x14ac:dyDescent="0.25">
      <c r="I731" s="46"/>
      <c r="J731" s="26"/>
      <c r="K731" s="26"/>
      <c r="L731" s="26"/>
      <c r="M731" s="26"/>
      <c r="N731" s="26"/>
      <c r="O731" s="26"/>
      <c r="P731" s="26"/>
      <c r="Q731" s="26"/>
      <c r="R731" s="26"/>
    </row>
    <row r="732" spans="9:18" x14ac:dyDescent="0.25">
      <c r="I732" s="46"/>
      <c r="J732" s="26"/>
      <c r="K732" s="26"/>
      <c r="L732" s="26"/>
      <c r="M732" s="26"/>
      <c r="N732" s="26"/>
      <c r="O732" s="26"/>
      <c r="P732" s="26"/>
      <c r="Q732" s="26"/>
      <c r="R732" s="26"/>
    </row>
    <row r="733" spans="9:18" x14ac:dyDescent="0.25">
      <c r="I733" s="46"/>
      <c r="J733" s="26"/>
      <c r="K733" s="26"/>
      <c r="L733" s="26"/>
      <c r="M733" s="26"/>
      <c r="N733" s="26"/>
      <c r="O733" s="26"/>
      <c r="P733" s="26"/>
      <c r="Q733" s="26"/>
      <c r="R733" s="26"/>
    </row>
    <row r="734" spans="9:18" x14ac:dyDescent="0.25">
      <c r="I734" s="46"/>
      <c r="J734" s="26"/>
      <c r="K734" s="26"/>
      <c r="L734" s="26"/>
      <c r="M734" s="26"/>
      <c r="N734" s="26"/>
      <c r="O734" s="26"/>
      <c r="P734" s="26"/>
      <c r="Q734" s="26"/>
      <c r="R734" s="26"/>
    </row>
    <row r="735" spans="9:18" x14ac:dyDescent="0.25">
      <c r="I735" s="46"/>
      <c r="J735" s="26"/>
      <c r="K735" s="26"/>
      <c r="L735" s="26"/>
      <c r="M735" s="26"/>
      <c r="N735" s="26"/>
      <c r="O735" s="26"/>
      <c r="P735" s="26"/>
      <c r="Q735" s="26"/>
      <c r="R735" s="26"/>
    </row>
    <row r="736" spans="9:18" x14ac:dyDescent="0.25">
      <c r="I736" s="46"/>
      <c r="J736" s="26"/>
      <c r="K736" s="26"/>
      <c r="L736" s="26"/>
      <c r="M736" s="26"/>
      <c r="N736" s="26"/>
      <c r="O736" s="26"/>
      <c r="P736" s="26"/>
      <c r="Q736" s="26"/>
      <c r="R736" s="26"/>
    </row>
    <row r="737" spans="9:18" x14ac:dyDescent="0.25">
      <c r="I737" s="46"/>
      <c r="J737" s="26"/>
      <c r="K737" s="26"/>
      <c r="L737" s="26"/>
      <c r="M737" s="26"/>
      <c r="N737" s="26"/>
      <c r="O737" s="26"/>
      <c r="P737" s="26"/>
      <c r="Q737" s="26"/>
      <c r="R737" s="26"/>
    </row>
    <row r="738" spans="9:18" x14ac:dyDescent="0.25">
      <c r="I738" s="46"/>
      <c r="J738" s="26"/>
      <c r="K738" s="26"/>
      <c r="L738" s="26"/>
      <c r="M738" s="26"/>
      <c r="N738" s="26"/>
      <c r="O738" s="26"/>
      <c r="P738" s="26"/>
      <c r="Q738" s="26"/>
      <c r="R738" s="26"/>
    </row>
    <row r="739" spans="9:18" x14ac:dyDescent="0.25">
      <c r="I739" s="46"/>
      <c r="J739" s="26"/>
      <c r="K739" s="26"/>
      <c r="L739" s="26"/>
      <c r="M739" s="26"/>
      <c r="N739" s="26"/>
      <c r="O739" s="26"/>
      <c r="P739" s="26"/>
      <c r="Q739" s="26"/>
      <c r="R739" s="26"/>
    </row>
    <row r="740" spans="9:18" x14ac:dyDescent="0.25">
      <c r="I740" s="46"/>
      <c r="J740" s="26"/>
      <c r="K740" s="26"/>
      <c r="L740" s="26"/>
      <c r="M740" s="26"/>
      <c r="N740" s="26"/>
      <c r="O740" s="26"/>
      <c r="P740" s="26"/>
      <c r="Q740" s="26"/>
      <c r="R740" s="26"/>
    </row>
    <row r="741" spans="9:18" x14ac:dyDescent="0.25">
      <c r="I741" s="46"/>
      <c r="J741" s="26"/>
      <c r="K741" s="26"/>
      <c r="L741" s="26"/>
      <c r="M741" s="26"/>
      <c r="N741" s="26"/>
      <c r="O741" s="26"/>
      <c r="P741" s="26"/>
      <c r="Q741" s="26"/>
      <c r="R741" s="26"/>
    </row>
    <row r="742" spans="9:18" x14ac:dyDescent="0.25">
      <c r="I742" s="46"/>
      <c r="J742" s="26"/>
      <c r="K742" s="26"/>
      <c r="L742" s="26"/>
      <c r="M742" s="26"/>
      <c r="N742" s="26"/>
      <c r="O742" s="26"/>
      <c r="P742" s="26"/>
      <c r="Q742" s="26"/>
      <c r="R742" s="26"/>
    </row>
    <row r="743" spans="9:18" x14ac:dyDescent="0.25">
      <c r="I743" s="46"/>
      <c r="J743" s="26"/>
      <c r="K743" s="26"/>
      <c r="L743" s="26"/>
      <c r="M743" s="26"/>
      <c r="N743" s="26"/>
      <c r="O743" s="26"/>
      <c r="P743" s="26"/>
      <c r="Q743" s="26"/>
      <c r="R743" s="26"/>
    </row>
    <row r="744" spans="9:18" x14ac:dyDescent="0.25">
      <c r="I744" s="46"/>
      <c r="J744" s="26"/>
      <c r="K744" s="26"/>
      <c r="L744" s="26"/>
      <c r="M744" s="26"/>
      <c r="N744" s="26"/>
      <c r="O744" s="26"/>
      <c r="P744" s="26"/>
      <c r="Q744" s="26"/>
      <c r="R744" s="26"/>
    </row>
    <row r="745" spans="9:18" x14ac:dyDescent="0.25">
      <c r="I745" s="46"/>
      <c r="J745" s="26"/>
      <c r="K745" s="26"/>
      <c r="L745" s="26"/>
      <c r="M745" s="26"/>
      <c r="N745" s="26"/>
      <c r="O745" s="26"/>
      <c r="P745" s="26"/>
      <c r="Q745" s="26"/>
      <c r="R745" s="26"/>
    </row>
    <row r="746" spans="9:18" x14ac:dyDescent="0.25">
      <c r="I746" s="46"/>
      <c r="J746" s="26"/>
      <c r="K746" s="26"/>
      <c r="L746" s="26"/>
      <c r="M746" s="26"/>
      <c r="N746" s="26"/>
      <c r="O746" s="26"/>
      <c r="P746" s="26"/>
      <c r="Q746" s="26"/>
      <c r="R746" s="26"/>
    </row>
    <row r="747" spans="9:18" x14ac:dyDescent="0.25">
      <c r="I747" s="46"/>
      <c r="J747" s="26"/>
      <c r="K747" s="26"/>
      <c r="L747" s="26"/>
      <c r="M747" s="26"/>
      <c r="N747" s="26"/>
      <c r="O747" s="26"/>
      <c r="P747" s="26"/>
      <c r="Q747" s="26"/>
      <c r="R747" s="26"/>
    </row>
    <row r="748" spans="9:18" x14ac:dyDescent="0.25">
      <c r="I748" s="46"/>
      <c r="J748" s="26"/>
      <c r="K748" s="26"/>
      <c r="L748" s="26"/>
      <c r="M748" s="26"/>
      <c r="N748" s="26"/>
      <c r="O748" s="26"/>
      <c r="P748" s="26"/>
      <c r="Q748" s="26"/>
      <c r="R748" s="26"/>
    </row>
    <row r="749" spans="9:18" x14ac:dyDescent="0.25">
      <c r="I749" s="46"/>
      <c r="J749" s="26"/>
      <c r="K749" s="26"/>
      <c r="L749" s="26"/>
      <c r="M749" s="26"/>
      <c r="N749" s="26"/>
      <c r="O749" s="26"/>
      <c r="P749" s="26"/>
      <c r="Q749" s="26"/>
      <c r="R749" s="26"/>
    </row>
    <row r="750" spans="9:18" x14ac:dyDescent="0.25">
      <c r="I750" s="46"/>
      <c r="J750" s="26"/>
      <c r="K750" s="26"/>
      <c r="L750" s="26"/>
      <c r="M750" s="26"/>
      <c r="N750" s="26"/>
      <c r="O750" s="26"/>
      <c r="P750" s="26"/>
      <c r="Q750" s="26"/>
      <c r="R750" s="26"/>
    </row>
    <row r="751" spans="9:18" x14ac:dyDescent="0.25">
      <c r="I751" s="46"/>
      <c r="J751" s="26"/>
      <c r="K751" s="26"/>
      <c r="L751" s="26"/>
      <c r="M751" s="26"/>
      <c r="N751" s="26"/>
      <c r="O751" s="26"/>
      <c r="P751" s="26"/>
      <c r="Q751" s="26"/>
      <c r="R751" s="26"/>
    </row>
    <row r="752" spans="9:18" x14ac:dyDescent="0.25">
      <c r="I752" s="46"/>
      <c r="J752" s="26"/>
      <c r="K752" s="26"/>
      <c r="L752" s="26"/>
      <c r="M752" s="26"/>
      <c r="N752" s="26"/>
      <c r="O752" s="26"/>
      <c r="P752" s="26"/>
      <c r="Q752" s="26"/>
      <c r="R752" s="26"/>
    </row>
    <row r="753" spans="9:18" x14ac:dyDescent="0.25">
      <c r="I753" s="46"/>
      <c r="J753" s="26"/>
      <c r="K753" s="26"/>
      <c r="L753" s="26"/>
      <c r="M753" s="26"/>
      <c r="N753" s="26"/>
      <c r="O753" s="26"/>
      <c r="P753" s="26"/>
      <c r="Q753" s="26"/>
      <c r="R753" s="26"/>
    </row>
    <row r="754" spans="9:18" x14ac:dyDescent="0.25">
      <c r="I754" s="46"/>
      <c r="J754" s="26"/>
      <c r="K754" s="26"/>
      <c r="L754" s="26"/>
      <c r="M754" s="26"/>
      <c r="N754" s="26"/>
      <c r="O754" s="26"/>
      <c r="P754" s="26"/>
      <c r="Q754" s="26"/>
      <c r="R754" s="26"/>
    </row>
    <row r="755" spans="9:18" x14ac:dyDescent="0.25">
      <c r="I755" s="46"/>
      <c r="J755" s="26"/>
      <c r="K755" s="26"/>
      <c r="L755" s="26"/>
      <c r="M755" s="26"/>
      <c r="N755" s="26"/>
      <c r="O755" s="26"/>
      <c r="P755" s="26"/>
      <c r="Q755" s="26"/>
      <c r="R755" s="26"/>
    </row>
    <row r="756" spans="9:18" x14ac:dyDescent="0.25">
      <c r="I756" s="46"/>
      <c r="J756" s="26"/>
      <c r="K756" s="26"/>
      <c r="L756" s="26"/>
      <c r="M756" s="26"/>
      <c r="N756" s="26"/>
      <c r="O756" s="26"/>
      <c r="P756" s="26"/>
      <c r="Q756" s="26"/>
      <c r="R756" s="26"/>
    </row>
    <row r="757" spans="9:18" x14ac:dyDescent="0.25">
      <c r="I757" s="46"/>
      <c r="J757" s="26"/>
      <c r="K757" s="26"/>
      <c r="L757" s="26"/>
      <c r="M757" s="26"/>
      <c r="N757" s="26"/>
      <c r="O757" s="26"/>
      <c r="P757" s="26"/>
      <c r="Q757" s="26"/>
      <c r="R757" s="26"/>
    </row>
    <row r="758" spans="9:18" x14ac:dyDescent="0.25">
      <c r="I758" s="46"/>
      <c r="J758" s="26"/>
      <c r="K758" s="26"/>
      <c r="L758" s="26"/>
      <c r="M758" s="26"/>
      <c r="N758" s="26"/>
      <c r="O758" s="26"/>
      <c r="P758" s="26"/>
      <c r="Q758" s="26"/>
      <c r="R758" s="26"/>
    </row>
    <row r="759" spans="9:18" x14ac:dyDescent="0.25">
      <c r="I759" s="46"/>
      <c r="J759" s="26"/>
      <c r="K759" s="26"/>
      <c r="L759" s="26"/>
      <c r="M759" s="26"/>
      <c r="N759" s="26"/>
      <c r="O759" s="26"/>
      <c r="P759" s="26"/>
      <c r="Q759" s="26"/>
      <c r="R759" s="26"/>
    </row>
    <row r="760" spans="9:18" x14ac:dyDescent="0.25">
      <c r="I760" s="46"/>
      <c r="J760" s="26"/>
      <c r="K760" s="26"/>
      <c r="L760" s="26"/>
      <c r="M760" s="26"/>
      <c r="N760" s="26"/>
      <c r="O760" s="26"/>
      <c r="P760" s="26"/>
      <c r="Q760" s="26"/>
      <c r="R760" s="26"/>
    </row>
    <row r="761" spans="9:18" x14ac:dyDescent="0.25">
      <c r="I761" s="46"/>
      <c r="J761" s="26"/>
      <c r="K761" s="26"/>
      <c r="L761" s="26"/>
      <c r="M761" s="26"/>
      <c r="N761" s="26"/>
      <c r="O761" s="26"/>
      <c r="P761" s="26"/>
      <c r="Q761" s="26"/>
      <c r="R761" s="26"/>
    </row>
    <row r="762" spans="9:18" x14ac:dyDescent="0.25">
      <c r="I762" s="46"/>
      <c r="J762" s="26"/>
      <c r="K762" s="26"/>
      <c r="L762" s="26"/>
      <c r="M762" s="26"/>
      <c r="N762" s="26"/>
      <c r="O762" s="26"/>
      <c r="P762" s="26"/>
      <c r="Q762" s="26"/>
      <c r="R762" s="26"/>
    </row>
    <row r="763" spans="9:18" x14ac:dyDescent="0.25">
      <c r="I763" s="46"/>
      <c r="J763" s="26"/>
      <c r="K763" s="26"/>
      <c r="L763" s="26"/>
      <c r="M763" s="26"/>
      <c r="N763" s="26"/>
      <c r="O763" s="26"/>
      <c r="P763" s="26"/>
      <c r="Q763" s="26"/>
      <c r="R763" s="26"/>
    </row>
    <row r="764" spans="9:18" x14ac:dyDescent="0.25">
      <c r="I764" s="46"/>
      <c r="J764" s="26"/>
      <c r="K764" s="26"/>
      <c r="L764" s="26"/>
      <c r="M764" s="26"/>
      <c r="N764" s="26"/>
      <c r="O764" s="26"/>
      <c r="P764" s="26"/>
      <c r="Q764" s="26"/>
      <c r="R764" s="26"/>
    </row>
    <row r="765" spans="9:18" x14ac:dyDescent="0.25">
      <c r="I765" s="46"/>
      <c r="J765" s="26"/>
      <c r="K765" s="26"/>
      <c r="L765" s="26"/>
      <c r="M765" s="26"/>
      <c r="N765" s="26"/>
      <c r="O765" s="26"/>
      <c r="P765" s="26"/>
      <c r="Q765" s="26"/>
      <c r="R765" s="26"/>
    </row>
    <row r="766" spans="9:18" x14ac:dyDescent="0.25">
      <c r="I766" s="46"/>
      <c r="J766" s="26"/>
      <c r="K766" s="26"/>
      <c r="L766" s="26"/>
      <c r="M766" s="26"/>
      <c r="N766" s="26"/>
      <c r="O766" s="26"/>
      <c r="P766" s="26"/>
      <c r="Q766" s="26"/>
      <c r="R766" s="26"/>
    </row>
    <row r="767" spans="9:18" x14ac:dyDescent="0.25">
      <c r="I767" s="46"/>
      <c r="J767" s="26"/>
      <c r="K767" s="26"/>
      <c r="L767" s="26"/>
      <c r="M767" s="26"/>
      <c r="N767" s="26"/>
      <c r="O767" s="26"/>
      <c r="P767" s="26"/>
      <c r="Q767" s="26"/>
      <c r="R767" s="26"/>
    </row>
    <row r="768" spans="9:18" x14ac:dyDescent="0.25">
      <c r="I768" s="46"/>
      <c r="J768" s="26"/>
      <c r="K768" s="26"/>
      <c r="L768" s="26"/>
      <c r="M768" s="26"/>
      <c r="N768" s="26"/>
      <c r="O768" s="26"/>
      <c r="P768" s="26"/>
      <c r="Q768" s="26"/>
      <c r="R768" s="26"/>
    </row>
    <row r="769" spans="9:18" x14ac:dyDescent="0.25">
      <c r="I769" s="46"/>
      <c r="J769" s="26"/>
      <c r="K769" s="26"/>
      <c r="L769" s="26"/>
      <c r="M769" s="26"/>
      <c r="N769" s="26"/>
      <c r="O769" s="26"/>
      <c r="P769" s="26"/>
      <c r="Q769" s="26"/>
      <c r="R769" s="26"/>
    </row>
    <row r="770" spans="9:18" x14ac:dyDescent="0.25">
      <c r="I770" s="46"/>
      <c r="J770" s="26"/>
      <c r="K770" s="26"/>
      <c r="L770" s="26"/>
      <c r="M770" s="26"/>
      <c r="N770" s="26"/>
      <c r="O770" s="26"/>
      <c r="P770" s="26"/>
      <c r="Q770" s="26"/>
      <c r="R770" s="26"/>
    </row>
    <row r="771" spans="9:18" x14ac:dyDescent="0.25">
      <c r="I771" s="46"/>
      <c r="J771" s="26"/>
      <c r="K771" s="26"/>
      <c r="L771" s="26"/>
      <c r="M771" s="26"/>
      <c r="N771" s="26"/>
      <c r="O771" s="26"/>
      <c r="P771" s="26"/>
      <c r="Q771" s="26"/>
      <c r="R771" s="26"/>
    </row>
    <row r="772" spans="9:18" x14ac:dyDescent="0.25">
      <c r="I772" s="46"/>
      <c r="J772" s="26"/>
      <c r="K772" s="26"/>
      <c r="L772" s="26"/>
      <c r="M772" s="26"/>
      <c r="N772" s="26"/>
      <c r="O772" s="26"/>
      <c r="P772" s="26"/>
      <c r="Q772" s="26"/>
      <c r="R772" s="26"/>
    </row>
    <row r="773" spans="9:18" x14ac:dyDescent="0.25">
      <c r="I773" s="46"/>
      <c r="J773" s="26"/>
      <c r="K773" s="26"/>
      <c r="L773" s="26"/>
      <c r="M773" s="26"/>
      <c r="N773" s="26"/>
      <c r="O773" s="26"/>
      <c r="P773" s="26"/>
      <c r="Q773" s="26"/>
      <c r="R773" s="26"/>
    </row>
    <row r="774" spans="9:18" x14ac:dyDescent="0.25">
      <c r="I774" s="46"/>
      <c r="J774" s="26"/>
      <c r="K774" s="26"/>
      <c r="L774" s="26"/>
      <c r="M774" s="26"/>
      <c r="N774" s="26"/>
      <c r="O774" s="26"/>
      <c r="P774" s="26"/>
      <c r="Q774" s="26"/>
      <c r="R774" s="26"/>
    </row>
    <row r="775" spans="9:18" x14ac:dyDescent="0.25">
      <c r="I775" s="46"/>
      <c r="J775" s="26"/>
      <c r="K775" s="26"/>
      <c r="L775" s="26"/>
      <c r="M775" s="26"/>
      <c r="N775" s="26"/>
      <c r="O775" s="26"/>
      <c r="P775" s="26"/>
      <c r="Q775" s="26"/>
      <c r="R775" s="26"/>
    </row>
    <row r="776" spans="9:18" x14ac:dyDescent="0.25">
      <c r="I776" s="46"/>
      <c r="J776" s="26"/>
      <c r="K776" s="26"/>
      <c r="L776" s="26"/>
      <c r="M776" s="26"/>
      <c r="N776" s="26"/>
      <c r="O776" s="26"/>
      <c r="P776" s="26"/>
      <c r="Q776" s="26"/>
      <c r="R776" s="26"/>
    </row>
    <row r="777" spans="9:18" x14ac:dyDescent="0.25">
      <c r="I777" s="46"/>
      <c r="J777" s="26"/>
      <c r="K777" s="26"/>
      <c r="L777" s="26"/>
      <c r="M777" s="26"/>
      <c r="N777" s="26"/>
      <c r="O777" s="26"/>
      <c r="P777" s="26"/>
      <c r="Q777" s="26"/>
      <c r="R777" s="26"/>
    </row>
    <row r="778" spans="9:18" x14ac:dyDescent="0.25">
      <c r="I778" s="46"/>
      <c r="J778" s="26"/>
      <c r="K778" s="26"/>
      <c r="L778" s="26"/>
      <c r="M778" s="26"/>
      <c r="N778" s="26"/>
      <c r="O778" s="26"/>
      <c r="P778" s="26"/>
      <c r="Q778" s="26"/>
      <c r="R778" s="26"/>
    </row>
    <row r="779" spans="9:18" x14ac:dyDescent="0.25">
      <c r="I779" s="46"/>
      <c r="J779" s="26"/>
      <c r="K779" s="26"/>
      <c r="L779" s="26"/>
      <c r="M779" s="26"/>
      <c r="N779" s="26"/>
      <c r="O779" s="26"/>
      <c r="P779" s="26"/>
      <c r="Q779" s="26"/>
      <c r="R779" s="26"/>
    </row>
    <row r="780" spans="9:18" x14ac:dyDescent="0.25">
      <c r="I780" s="46"/>
      <c r="J780" s="26"/>
      <c r="K780" s="26"/>
      <c r="L780" s="26"/>
      <c r="M780" s="26"/>
      <c r="N780" s="26"/>
      <c r="O780" s="26"/>
      <c r="P780" s="26"/>
      <c r="Q780" s="26"/>
      <c r="R780" s="26"/>
    </row>
    <row r="781" spans="9:18" x14ac:dyDescent="0.25">
      <c r="I781" s="46"/>
      <c r="J781" s="26"/>
      <c r="K781" s="26"/>
      <c r="L781" s="26"/>
      <c r="M781" s="26"/>
      <c r="N781" s="26"/>
      <c r="O781" s="26"/>
      <c r="P781" s="26"/>
      <c r="Q781" s="26"/>
      <c r="R781" s="26"/>
    </row>
    <row r="782" spans="9:18" x14ac:dyDescent="0.25">
      <c r="I782" s="46"/>
      <c r="J782" s="26"/>
      <c r="K782" s="26"/>
      <c r="L782" s="26"/>
      <c r="M782" s="26"/>
      <c r="N782" s="26"/>
      <c r="O782" s="26"/>
      <c r="P782" s="26"/>
      <c r="Q782" s="26"/>
      <c r="R782" s="26"/>
    </row>
    <row r="783" spans="9:18" x14ac:dyDescent="0.25">
      <c r="I783" s="46"/>
      <c r="J783" s="26"/>
      <c r="K783" s="26"/>
      <c r="L783" s="26"/>
      <c r="M783" s="26"/>
      <c r="N783" s="26"/>
      <c r="O783" s="26"/>
      <c r="P783" s="26"/>
      <c r="Q783" s="26"/>
      <c r="R783" s="26"/>
    </row>
    <row r="784" spans="9:18" x14ac:dyDescent="0.25">
      <c r="I784" s="46"/>
      <c r="J784" s="26"/>
      <c r="K784" s="26"/>
      <c r="L784" s="26"/>
      <c r="M784" s="26"/>
      <c r="N784" s="26"/>
      <c r="O784" s="26"/>
      <c r="P784" s="26"/>
      <c r="Q784" s="26"/>
      <c r="R784" s="26"/>
    </row>
    <row r="785" spans="9:18" x14ac:dyDescent="0.25">
      <c r="I785" s="46"/>
      <c r="J785" s="26"/>
      <c r="K785" s="26"/>
      <c r="L785" s="26"/>
      <c r="M785" s="26"/>
      <c r="N785" s="26"/>
      <c r="O785" s="26"/>
      <c r="P785" s="26"/>
      <c r="Q785" s="26"/>
      <c r="R785" s="26"/>
    </row>
    <row r="786" spans="9:18" x14ac:dyDescent="0.25">
      <c r="I786" s="46"/>
      <c r="J786" s="26"/>
      <c r="K786" s="26"/>
      <c r="L786" s="26"/>
      <c r="M786" s="26"/>
      <c r="N786" s="26"/>
      <c r="O786" s="26"/>
      <c r="P786" s="26"/>
      <c r="Q786" s="26"/>
      <c r="R786" s="26"/>
    </row>
    <row r="787" spans="9:18" x14ac:dyDescent="0.25">
      <c r="I787" s="46"/>
      <c r="J787" s="26"/>
      <c r="K787" s="26"/>
      <c r="L787" s="26"/>
      <c r="M787" s="26"/>
      <c r="N787" s="26"/>
      <c r="O787" s="26"/>
      <c r="P787" s="26"/>
      <c r="Q787" s="26"/>
      <c r="R787" s="26"/>
    </row>
    <row r="788" spans="9:18" x14ac:dyDescent="0.25">
      <c r="I788" s="46"/>
      <c r="J788" s="26"/>
      <c r="K788" s="26"/>
      <c r="L788" s="26"/>
      <c r="M788" s="26"/>
      <c r="N788" s="26"/>
      <c r="O788" s="26"/>
      <c r="P788" s="26"/>
      <c r="Q788" s="26"/>
      <c r="R788" s="26"/>
    </row>
    <row r="789" spans="9:18" x14ac:dyDescent="0.25">
      <c r="I789" s="46"/>
      <c r="J789" s="26"/>
      <c r="K789" s="26"/>
      <c r="L789" s="26"/>
      <c r="M789" s="26"/>
      <c r="N789" s="26"/>
      <c r="O789" s="26"/>
      <c r="P789" s="26"/>
      <c r="Q789" s="26"/>
      <c r="R789" s="26"/>
    </row>
    <row r="790" spans="9:18" x14ac:dyDescent="0.25">
      <c r="I790" s="46"/>
      <c r="J790" s="26"/>
      <c r="K790" s="26"/>
      <c r="L790" s="26"/>
      <c r="M790" s="26"/>
      <c r="N790" s="26"/>
      <c r="O790" s="26"/>
      <c r="P790" s="26"/>
      <c r="Q790" s="26"/>
      <c r="R790" s="26"/>
    </row>
    <row r="791" spans="9:18" x14ac:dyDescent="0.25">
      <c r="I791" s="46"/>
      <c r="J791" s="26"/>
      <c r="K791" s="26"/>
      <c r="L791" s="26"/>
      <c r="M791" s="26"/>
      <c r="N791" s="26"/>
      <c r="O791" s="26"/>
      <c r="P791" s="26"/>
      <c r="Q791" s="26"/>
      <c r="R791" s="26"/>
    </row>
    <row r="792" spans="9:18" x14ac:dyDescent="0.25">
      <c r="I792" s="46"/>
      <c r="J792" s="26"/>
      <c r="K792" s="26"/>
      <c r="L792" s="26"/>
      <c r="M792" s="26"/>
      <c r="N792" s="26"/>
      <c r="O792" s="26"/>
      <c r="P792" s="26"/>
      <c r="Q792" s="26"/>
      <c r="R792" s="26"/>
    </row>
    <row r="793" spans="9:18" x14ac:dyDescent="0.25">
      <c r="I793" s="46"/>
      <c r="J793" s="26"/>
      <c r="K793" s="26"/>
      <c r="L793" s="26"/>
      <c r="M793" s="26"/>
      <c r="N793" s="26"/>
      <c r="O793" s="26"/>
      <c r="P793" s="26"/>
      <c r="Q793" s="26"/>
      <c r="R793" s="26"/>
    </row>
    <row r="794" spans="9:18" x14ac:dyDescent="0.25">
      <c r="I794" s="46"/>
      <c r="J794" s="26"/>
      <c r="K794" s="26"/>
      <c r="L794" s="26"/>
      <c r="M794" s="26"/>
      <c r="N794" s="26"/>
      <c r="O794" s="26"/>
      <c r="P794" s="26"/>
      <c r="Q794" s="26"/>
      <c r="R794" s="26"/>
    </row>
    <row r="795" spans="9:18" x14ac:dyDescent="0.25">
      <c r="I795" s="46"/>
      <c r="J795" s="26"/>
      <c r="K795" s="26"/>
      <c r="L795" s="26"/>
      <c r="M795" s="26"/>
      <c r="N795" s="26"/>
      <c r="O795" s="26"/>
      <c r="P795" s="26"/>
      <c r="Q795" s="26"/>
      <c r="R795" s="26"/>
    </row>
    <row r="796" spans="9:18" x14ac:dyDescent="0.25">
      <c r="I796" s="46"/>
      <c r="J796" s="26"/>
      <c r="K796" s="26"/>
      <c r="L796" s="26"/>
      <c r="M796" s="26"/>
      <c r="N796" s="26"/>
      <c r="O796" s="26"/>
      <c r="P796" s="26"/>
      <c r="Q796" s="26"/>
      <c r="R796" s="26"/>
    </row>
    <row r="797" spans="9:18" x14ac:dyDescent="0.25">
      <c r="I797" s="46"/>
      <c r="J797" s="26"/>
      <c r="K797" s="26"/>
      <c r="L797" s="26"/>
      <c r="M797" s="26"/>
      <c r="N797" s="26"/>
      <c r="O797" s="26"/>
      <c r="P797" s="26"/>
      <c r="Q797" s="26"/>
      <c r="R797" s="26"/>
    </row>
    <row r="798" spans="9:18" x14ac:dyDescent="0.25">
      <c r="I798" s="46"/>
      <c r="J798" s="26"/>
      <c r="K798" s="26"/>
      <c r="L798" s="26"/>
      <c r="M798" s="26"/>
      <c r="N798" s="26"/>
      <c r="O798" s="26"/>
      <c r="P798" s="26"/>
      <c r="Q798" s="26"/>
      <c r="R798" s="26"/>
    </row>
    <row r="799" spans="9:18" x14ac:dyDescent="0.25">
      <c r="I799" s="46"/>
      <c r="J799" s="26"/>
      <c r="K799" s="26"/>
      <c r="L799" s="26"/>
      <c r="M799" s="26"/>
      <c r="N799" s="26"/>
      <c r="O799" s="26"/>
      <c r="P799" s="26"/>
      <c r="Q799" s="26"/>
      <c r="R799" s="26"/>
    </row>
    <row r="800" spans="9:18" x14ac:dyDescent="0.25">
      <c r="I800" s="46"/>
      <c r="J800" s="26"/>
      <c r="K800" s="26"/>
      <c r="L800" s="26"/>
      <c r="M800" s="26"/>
      <c r="N800" s="26"/>
      <c r="O800" s="26"/>
      <c r="P800" s="26"/>
      <c r="Q800" s="26"/>
      <c r="R800" s="26"/>
    </row>
    <row r="801" spans="9:18" x14ac:dyDescent="0.25">
      <c r="I801" s="46"/>
      <c r="J801" s="26"/>
      <c r="K801" s="26"/>
      <c r="L801" s="26"/>
      <c r="M801" s="26"/>
      <c r="N801" s="26"/>
      <c r="O801" s="26"/>
      <c r="P801" s="26"/>
      <c r="Q801" s="26"/>
      <c r="R801" s="26"/>
    </row>
    <row r="802" spans="9:18" x14ac:dyDescent="0.25">
      <c r="I802" s="46"/>
      <c r="J802" s="26"/>
      <c r="K802" s="26"/>
      <c r="L802" s="26"/>
      <c r="M802" s="26"/>
      <c r="N802" s="26"/>
      <c r="O802" s="26"/>
      <c r="P802" s="26"/>
      <c r="Q802" s="26"/>
      <c r="R802" s="26"/>
    </row>
    <row r="803" spans="9:18" x14ac:dyDescent="0.25">
      <c r="I803" s="46"/>
      <c r="J803" s="26"/>
      <c r="K803" s="26"/>
      <c r="L803" s="26"/>
      <c r="M803" s="26"/>
      <c r="N803" s="26"/>
      <c r="O803" s="26"/>
      <c r="P803" s="26"/>
      <c r="Q803" s="26"/>
      <c r="R803" s="26"/>
    </row>
    <row r="804" spans="9:18" x14ac:dyDescent="0.25">
      <c r="I804" s="46"/>
      <c r="J804" s="26"/>
      <c r="K804" s="26"/>
      <c r="L804" s="26"/>
      <c r="M804" s="26"/>
      <c r="N804" s="26"/>
      <c r="O804" s="26"/>
      <c r="P804" s="26"/>
      <c r="Q804" s="26"/>
      <c r="R804" s="26"/>
    </row>
    <row r="805" spans="9:18" x14ac:dyDescent="0.25">
      <c r="I805" s="46"/>
      <c r="J805" s="26"/>
      <c r="K805" s="26"/>
      <c r="L805" s="26"/>
      <c r="M805" s="26"/>
      <c r="N805" s="26"/>
      <c r="O805" s="26"/>
      <c r="P805" s="26"/>
      <c r="Q805" s="26"/>
      <c r="R805" s="26"/>
    </row>
    <row r="806" spans="9:18" x14ac:dyDescent="0.25">
      <c r="I806" s="46"/>
      <c r="J806" s="26"/>
      <c r="K806" s="26"/>
      <c r="L806" s="26"/>
      <c r="M806" s="26"/>
      <c r="N806" s="26"/>
      <c r="O806" s="26"/>
      <c r="P806" s="26"/>
      <c r="Q806" s="26"/>
      <c r="R806" s="26"/>
    </row>
    <row r="807" spans="9:18" x14ac:dyDescent="0.25">
      <c r="I807" s="46"/>
      <c r="J807" s="26"/>
      <c r="K807" s="26"/>
      <c r="L807" s="26"/>
      <c r="M807" s="26"/>
      <c r="N807" s="26"/>
      <c r="O807" s="26"/>
      <c r="P807" s="26"/>
      <c r="Q807" s="26"/>
      <c r="R807" s="26"/>
    </row>
    <row r="808" spans="9:18" x14ac:dyDescent="0.25">
      <c r="I808" s="46"/>
      <c r="J808" s="26"/>
      <c r="K808" s="26"/>
      <c r="L808" s="26"/>
      <c r="M808" s="26"/>
      <c r="N808" s="26"/>
      <c r="O808" s="26"/>
      <c r="P808" s="26"/>
      <c r="Q808" s="26"/>
      <c r="R808" s="26"/>
    </row>
    <row r="809" spans="9:18" x14ac:dyDescent="0.25">
      <c r="I809" s="46"/>
      <c r="J809" s="26"/>
      <c r="K809" s="26"/>
      <c r="L809" s="26"/>
      <c r="M809" s="26"/>
      <c r="N809" s="26"/>
      <c r="O809" s="26"/>
      <c r="P809" s="26"/>
      <c r="Q809" s="26"/>
      <c r="R809" s="26"/>
    </row>
    <row r="810" spans="9:18" x14ac:dyDescent="0.25">
      <c r="I810" s="46"/>
      <c r="J810" s="26"/>
      <c r="K810" s="26"/>
      <c r="L810" s="26"/>
      <c r="M810" s="26"/>
      <c r="N810" s="26"/>
      <c r="O810" s="26"/>
      <c r="P810" s="26"/>
      <c r="Q810" s="26"/>
      <c r="R810" s="26"/>
    </row>
    <row r="811" spans="9:18" x14ac:dyDescent="0.25">
      <c r="I811" s="46"/>
      <c r="J811" s="26"/>
      <c r="K811" s="26"/>
      <c r="L811" s="26"/>
      <c r="M811" s="26"/>
      <c r="N811" s="26"/>
      <c r="O811" s="26"/>
      <c r="P811" s="26"/>
      <c r="Q811" s="26"/>
      <c r="R811" s="26"/>
    </row>
    <row r="812" spans="9:18" x14ac:dyDescent="0.25">
      <c r="I812" s="46"/>
      <c r="J812" s="26"/>
      <c r="K812" s="26"/>
      <c r="L812" s="26"/>
      <c r="M812" s="26"/>
      <c r="N812" s="26"/>
      <c r="O812" s="26"/>
      <c r="P812" s="26"/>
      <c r="Q812" s="26"/>
      <c r="R812" s="26"/>
    </row>
    <row r="813" spans="9:18" x14ac:dyDescent="0.25">
      <c r="I813" s="46"/>
      <c r="J813" s="26"/>
      <c r="K813" s="26"/>
      <c r="L813" s="26"/>
      <c r="M813" s="26"/>
      <c r="N813" s="26"/>
      <c r="O813" s="26"/>
      <c r="P813" s="26"/>
      <c r="Q813" s="26"/>
      <c r="R813" s="26"/>
    </row>
    <row r="814" spans="9:18" x14ac:dyDescent="0.25">
      <c r="I814" s="46"/>
      <c r="J814" s="26"/>
      <c r="K814" s="26"/>
      <c r="L814" s="26"/>
      <c r="M814" s="26"/>
      <c r="N814" s="26"/>
      <c r="O814" s="26"/>
      <c r="P814" s="26"/>
      <c r="Q814" s="26"/>
      <c r="R814" s="26"/>
    </row>
    <row r="815" spans="9:18" x14ac:dyDescent="0.25">
      <c r="I815" s="46"/>
      <c r="J815" s="26"/>
      <c r="K815" s="26"/>
      <c r="L815" s="26"/>
      <c r="M815" s="26"/>
      <c r="N815" s="26"/>
      <c r="O815" s="26"/>
      <c r="P815" s="26"/>
      <c r="Q815" s="26"/>
      <c r="R815" s="26"/>
    </row>
    <row r="816" spans="9:18" x14ac:dyDescent="0.25">
      <c r="I816" s="46"/>
      <c r="J816" s="26"/>
      <c r="K816" s="26"/>
      <c r="L816" s="26"/>
      <c r="M816" s="26"/>
      <c r="N816" s="26"/>
      <c r="O816" s="26"/>
      <c r="P816" s="26"/>
      <c r="Q816" s="26"/>
      <c r="R816" s="26"/>
    </row>
    <row r="817" spans="9:18" x14ac:dyDescent="0.25">
      <c r="I817" s="46"/>
      <c r="J817" s="26"/>
      <c r="K817" s="26"/>
      <c r="L817" s="26"/>
      <c r="M817" s="26"/>
      <c r="N817" s="26"/>
      <c r="O817" s="26"/>
      <c r="P817" s="26"/>
      <c r="Q817" s="26"/>
      <c r="R817" s="26"/>
    </row>
    <row r="818" spans="9:18" x14ac:dyDescent="0.25">
      <c r="I818" s="46"/>
      <c r="J818" s="26"/>
      <c r="K818" s="26"/>
      <c r="L818" s="26"/>
      <c r="M818" s="26"/>
      <c r="N818" s="26"/>
      <c r="O818" s="26"/>
      <c r="P818" s="26"/>
      <c r="Q818" s="26"/>
      <c r="R818" s="26"/>
    </row>
    <row r="819" spans="9:18" x14ac:dyDescent="0.25">
      <c r="I819" s="46"/>
      <c r="J819" s="26"/>
      <c r="K819" s="26"/>
      <c r="L819" s="26"/>
      <c r="M819" s="26"/>
      <c r="N819" s="26"/>
      <c r="O819" s="26"/>
      <c r="P819" s="26"/>
      <c r="Q819" s="26"/>
      <c r="R819" s="26"/>
    </row>
    <row r="820" spans="9:18" x14ac:dyDescent="0.25">
      <c r="I820" s="46"/>
      <c r="J820" s="26"/>
      <c r="K820" s="26"/>
      <c r="L820" s="26"/>
      <c r="M820" s="26"/>
      <c r="N820" s="26"/>
      <c r="O820" s="26"/>
      <c r="P820" s="26"/>
      <c r="Q820" s="26"/>
      <c r="R820" s="26"/>
    </row>
    <row r="821" spans="9:18" x14ac:dyDescent="0.25">
      <c r="I821" s="46"/>
      <c r="J821" s="26"/>
      <c r="K821" s="26"/>
      <c r="L821" s="26"/>
      <c r="M821" s="26"/>
      <c r="N821" s="26"/>
      <c r="O821" s="26"/>
      <c r="P821" s="26"/>
      <c r="Q821" s="26"/>
      <c r="R821" s="26"/>
    </row>
    <row r="822" spans="9:18" x14ac:dyDescent="0.25">
      <c r="I822" s="46"/>
      <c r="J822" s="26"/>
      <c r="K822" s="26"/>
      <c r="L822" s="26"/>
      <c r="M822" s="26"/>
      <c r="N822" s="26"/>
      <c r="O822" s="26"/>
      <c r="P822" s="26"/>
      <c r="Q822" s="26"/>
      <c r="R822" s="26"/>
    </row>
    <row r="823" spans="9:18" x14ac:dyDescent="0.25">
      <c r="I823" s="46"/>
      <c r="J823" s="26"/>
      <c r="K823" s="26"/>
      <c r="L823" s="26"/>
      <c r="M823" s="26"/>
      <c r="N823" s="26"/>
      <c r="O823" s="26"/>
      <c r="P823" s="26"/>
      <c r="Q823" s="26"/>
      <c r="R823" s="26"/>
    </row>
    <row r="824" spans="9:18" x14ac:dyDescent="0.25">
      <c r="I824" s="46"/>
      <c r="J824" s="26"/>
      <c r="K824" s="26"/>
      <c r="L824" s="26"/>
      <c r="M824" s="26"/>
      <c r="N824" s="26"/>
      <c r="O824" s="26"/>
      <c r="P824" s="26"/>
      <c r="Q824" s="26"/>
      <c r="R824" s="26"/>
    </row>
    <row r="825" spans="9:18" x14ac:dyDescent="0.25">
      <c r="I825" s="46"/>
      <c r="J825" s="26"/>
      <c r="K825" s="26"/>
      <c r="L825" s="26"/>
      <c r="M825" s="26"/>
      <c r="N825" s="26"/>
      <c r="O825" s="26"/>
      <c r="P825" s="26"/>
      <c r="Q825" s="26"/>
      <c r="R825" s="26"/>
    </row>
    <row r="826" spans="9:18" x14ac:dyDescent="0.25">
      <c r="I826" s="46"/>
      <c r="J826" s="26"/>
      <c r="K826" s="26"/>
      <c r="L826" s="26"/>
      <c r="M826" s="26"/>
      <c r="N826" s="26"/>
      <c r="O826" s="26"/>
      <c r="P826" s="26"/>
      <c r="Q826" s="26"/>
      <c r="R826" s="26"/>
    </row>
    <row r="827" spans="9:18" x14ac:dyDescent="0.25">
      <c r="I827" s="46"/>
      <c r="J827" s="26"/>
      <c r="K827" s="26"/>
      <c r="L827" s="26"/>
      <c r="M827" s="26"/>
      <c r="N827" s="26"/>
      <c r="O827" s="26"/>
      <c r="P827" s="26"/>
      <c r="Q827" s="26"/>
      <c r="R827" s="26"/>
    </row>
    <row r="828" spans="9:18" x14ac:dyDescent="0.25">
      <c r="I828" s="46"/>
      <c r="J828" s="26"/>
      <c r="K828" s="26"/>
      <c r="L828" s="26"/>
      <c r="M828" s="26"/>
      <c r="N828" s="26"/>
      <c r="O828" s="26"/>
      <c r="P828" s="26"/>
      <c r="Q828" s="26"/>
      <c r="R828" s="26"/>
    </row>
    <row r="829" spans="9:18" x14ac:dyDescent="0.25">
      <c r="I829" s="46"/>
      <c r="J829" s="26"/>
      <c r="K829" s="26"/>
      <c r="L829" s="26"/>
      <c r="M829" s="26"/>
      <c r="N829" s="26"/>
      <c r="O829" s="26"/>
      <c r="P829" s="26"/>
      <c r="Q829" s="26"/>
      <c r="R829" s="26"/>
    </row>
    <row r="830" spans="9:18" x14ac:dyDescent="0.25">
      <c r="I830" s="46"/>
      <c r="J830" s="26"/>
      <c r="K830" s="26"/>
      <c r="L830" s="26"/>
      <c r="M830" s="26"/>
      <c r="N830" s="26"/>
      <c r="O830" s="26"/>
      <c r="P830" s="26"/>
      <c r="Q830" s="26"/>
      <c r="R830" s="26"/>
    </row>
    <row r="831" spans="9:18" x14ac:dyDescent="0.25">
      <c r="I831" s="46"/>
      <c r="J831" s="26"/>
      <c r="K831" s="26"/>
      <c r="L831" s="26"/>
      <c r="M831" s="26"/>
      <c r="N831" s="26"/>
      <c r="O831" s="26"/>
      <c r="P831" s="26"/>
      <c r="Q831" s="26"/>
      <c r="R831" s="26"/>
    </row>
    <row r="832" spans="9:18" x14ac:dyDescent="0.25">
      <c r="I832" s="46"/>
      <c r="J832" s="26"/>
      <c r="K832" s="26"/>
      <c r="L832" s="26"/>
      <c r="M832" s="26"/>
      <c r="N832" s="26"/>
      <c r="O832" s="26"/>
      <c r="P832" s="26"/>
      <c r="Q832" s="26"/>
      <c r="R832" s="26"/>
    </row>
    <row r="833" spans="9:18" x14ac:dyDescent="0.25">
      <c r="I833" s="46"/>
      <c r="J833" s="26"/>
      <c r="K833" s="26"/>
      <c r="L833" s="26"/>
      <c r="M833" s="26"/>
      <c r="N833" s="26"/>
      <c r="O833" s="26"/>
      <c r="P833" s="26"/>
      <c r="Q833" s="26"/>
      <c r="R833" s="26"/>
    </row>
    <row r="834" spans="9:18" x14ac:dyDescent="0.25">
      <c r="I834" s="46"/>
      <c r="J834" s="26"/>
      <c r="K834" s="26"/>
      <c r="L834" s="26"/>
      <c r="M834" s="26"/>
      <c r="N834" s="26"/>
      <c r="O834" s="26"/>
      <c r="P834" s="26"/>
      <c r="Q834" s="26"/>
      <c r="R834" s="26"/>
    </row>
    <row r="835" spans="9:18" x14ac:dyDescent="0.25">
      <c r="I835" s="46"/>
      <c r="J835" s="26"/>
      <c r="K835" s="26"/>
      <c r="L835" s="26"/>
      <c r="M835" s="26"/>
      <c r="N835" s="26"/>
      <c r="O835" s="26"/>
      <c r="P835" s="26"/>
      <c r="Q835" s="26"/>
      <c r="R835" s="26"/>
    </row>
    <row r="836" spans="9:18" x14ac:dyDescent="0.25">
      <c r="I836" s="46"/>
      <c r="J836" s="26"/>
      <c r="K836" s="26"/>
      <c r="L836" s="26"/>
      <c r="M836" s="26"/>
      <c r="N836" s="26"/>
      <c r="O836" s="26"/>
      <c r="P836" s="26"/>
      <c r="Q836" s="26"/>
      <c r="R836" s="26"/>
    </row>
    <row r="837" spans="9:18" x14ac:dyDescent="0.25">
      <c r="I837" s="46"/>
      <c r="J837" s="26"/>
      <c r="K837" s="26"/>
      <c r="L837" s="26"/>
      <c r="M837" s="26"/>
      <c r="N837" s="26"/>
      <c r="O837" s="26"/>
      <c r="P837" s="26"/>
      <c r="Q837" s="26"/>
      <c r="R837" s="26"/>
    </row>
    <row r="838" spans="9:18" x14ac:dyDescent="0.25">
      <c r="I838" s="46"/>
      <c r="J838" s="26"/>
      <c r="K838" s="26"/>
      <c r="L838" s="26"/>
      <c r="M838" s="26"/>
      <c r="N838" s="26"/>
      <c r="O838" s="26"/>
      <c r="P838" s="26"/>
      <c r="Q838" s="26"/>
      <c r="R838" s="26"/>
    </row>
    <row r="839" spans="9:18" x14ac:dyDescent="0.25">
      <c r="I839" s="46"/>
      <c r="J839" s="26"/>
      <c r="K839" s="26"/>
      <c r="L839" s="26"/>
      <c r="M839" s="26"/>
      <c r="N839" s="26"/>
      <c r="O839" s="26"/>
      <c r="P839" s="26"/>
      <c r="Q839" s="26"/>
      <c r="R839" s="26"/>
    </row>
    <row r="840" spans="9:18" x14ac:dyDescent="0.25">
      <c r="I840" s="46"/>
      <c r="J840" s="26"/>
      <c r="K840" s="26"/>
      <c r="L840" s="26"/>
      <c r="M840" s="26"/>
      <c r="N840" s="26"/>
      <c r="O840" s="26"/>
      <c r="P840" s="26"/>
      <c r="Q840" s="26"/>
      <c r="R840" s="26"/>
    </row>
    <row r="841" spans="9:18" x14ac:dyDescent="0.25">
      <c r="I841" s="46"/>
      <c r="J841" s="26"/>
      <c r="K841" s="26"/>
      <c r="L841" s="26"/>
      <c r="M841" s="26"/>
      <c r="N841" s="26"/>
      <c r="O841" s="26"/>
      <c r="P841" s="26"/>
      <c r="Q841" s="26"/>
      <c r="R841" s="26"/>
    </row>
    <row r="842" spans="9:18" x14ac:dyDescent="0.25">
      <c r="I842" s="46"/>
      <c r="J842" s="26"/>
      <c r="K842" s="26"/>
      <c r="L842" s="26"/>
      <c r="M842" s="26"/>
      <c r="N842" s="26"/>
      <c r="O842" s="26"/>
      <c r="P842" s="26"/>
      <c r="Q842" s="26"/>
      <c r="R842" s="26"/>
    </row>
    <row r="843" spans="9:18" x14ac:dyDescent="0.25">
      <c r="I843" s="46"/>
      <c r="J843" s="26"/>
      <c r="K843" s="26"/>
      <c r="L843" s="26"/>
      <c r="M843" s="26"/>
      <c r="N843" s="26"/>
      <c r="O843" s="26"/>
      <c r="P843" s="26"/>
      <c r="Q843" s="26"/>
      <c r="R843" s="26"/>
    </row>
    <row r="844" spans="9:18" x14ac:dyDescent="0.25">
      <c r="I844" s="46"/>
      <c r="J844" s="26"/>
      <c r="K844" s="26"/>
      <c r="L844" s="26"/>
      <c r="M844" s="26"/>
      <c r="N844" s="26"/>
      <c r="O844" s="26"/>
      <c r="P844" s="26"/>
      <c r="Q844" s="26"/>
      <c r="R844" s="26"/>
    </row>
    <row r="845" spans="9:18" x14ac:dyDescent="0.25">
      <c r="I845" s="46"/>
      <c r="J845" s="26"/>
      <c r="K845" s="26"/>
      <c r="L845" s="26"/>
      <c r="M845" s="26"/>
      <c r="N845" s="26"/>
      <c r="O845" s="26"/>
      <c r="P845" s="26"/>
      <c r="Q845" s="26"/>
      <c r="R845" s="26"/>
    </row>
    <row r="846" spans="9:18" x14ac:dyDescent="0.25">
      <c r="I846" s="46"/>
      <c r="J846" s="26"/>
      <c r="K846" s="26"/>
      <c r="L846" s="26"/>
      <c r="M846" s="26"/>
      <c r="N846" s="26"/>
      <c r="O846" s="26"/>
      <c r="P846" s="26"/>
      <c r="Q846" s="26"/>
      <c r="R846" s="26"/>
    </row>
    <row r="847" spans="9:18" x14ac:dyDescent="0.25">
      <c r="I847" s="46"/>
      <c r="J847" s="26"/>
      <c r="K847" s="26"/>
      <c r="L847" s="26"/>
      <c r="M847" s="26"/>
      <c r="N847" s="26"/>
      <c r="O847" s="26"/>
      <c r="P847" s="26"/>
      <c r="Q847" s="26"/>
      <c r="R847" s="26"/>
    </row>
    <row r="848" spans="9:18" x14ac:dyDescent="0.25">
      <c r="I848" s="46"/>
      <c r="J848" s="26"/>
      <c r="K848" s="26"/>
      <c r="L848" s="26"/>
      <c r="M848" s="26"/>
      <c r="N848" s="26"/>
      <c r="O848" s="26"/>
      <c r="P848" s="26"/>
      <c r="Q848" s="26"/>
      <c r="R848" s="26"/>
    </row>
    <row r="849" spans="9:18" x14ac:dyDescent="0.25">
      <c r="I849" s="46"/>
      <c r="J849" s="26"/>
      <c r="K849" s="26"/>
      <c r="L849" s="26"/>
      <c r="M849" s="26"/>
      <c r="N849" s="26"/>
      <c r="O849" s="26"/>
      <c r="P849" s="26"/>
      <c r="Q849" s="26"/>
      <c r="R849" s="26"/>
    </row>
    <row r="850" spans="9:18" x14ac:dyDescent="0.25">
      <c r="I850" s="46"/>
      <c r="J850" s="26"/>
      <c r="K850" s="26"/>
      <c r="L850" s="26"/>
      <c r="M850" s="26"/>
      <c r="N850" s="26"/>
      <c r="O850" s="26"/>
      <c r="P850" s="26"/>
      <c r="Q850" s="26"/>
      <c r="R850" s="26"/>
    </row>
    <row r="851" spans="9:18" x14ac:dyDescent="0.25">
      <c r="I851" s="46"/>
      <c r="J851" s="26"/>
      <c r="K851" s="26"/>
      <c r="L851" s="26"/>
      <c r="M851" s="26"/>
      <c r="N851" s="26"/>
      <c r="O851" s="26"/>
      <c r="P851" s="26"/>
      <c r="Q851" s="26"/>
      <c r="R851" s="26"/>
    </row>
    <row r="852" spans="9:18" x14ac:dyDescent="0.25">
      <c r="I852" s="46"/>
      <c r="J852" s="26"/>
      <c r="K852" s="26"/>
      <c r="L852" s="26"/>
      <c r="M852" s="26"/>
      <c r="N852" s="26"/>
      <c r="O852" s="26"/>
      <c r="P852" s="26"/>
      <c r="Q852" s="26"/>
      <c r="R852" s="26"/>
    </row>
    <row r="853" spans="9:18" x14ac:dyDescent="0.25">
      <c r="I853" s="46"/>
      <c r="J853" s="26"/>
      <c r="K853" s="26"/>
      <c r="L853" s="26"/>
      <c r="M853" s="26"/>
      <c r="N853" s="26"/>
      <c r="O853" s="26"/>
      <c r="P853" s="26"/>
      <c r="Q853" s="26"/>
      <c r="R853" s="26"/>
    </row>
    <row r="854" spans="9:18" x14ac:dyDescent="0.25">
      <c r="I854" s="46"/>
      <c r="J854" s="26"/>
      <c r="K854" s="26"/>
      <c r="L854" s="26"/>
      <c r="M854" s="26"/>
      <c r="N854" s="26"/>
      <c r="O854" s="26"/>
      <c r="P854" s="26"/>
      <c r="Q854" s="26"/>
      <c r="R854" s="26"/>
    </row>
    <row r="855" spans="9:18" x14ac:dyDescent="0.25">
      <c r="I855" s="46"/>
      <c r="J855" s="26"/>
      <c r="K855" s="26"/>
      <c r="L855" s="26"/>
      <c r="M855" s="26"/>
      <c r="N855" s="26"/>
      <c r="O855" s="26"/>
      <c r="P855" s="26"/>
      <c r="Q855" s="26"/>
      <c r="R855" s="26"/>
    </row>
    <row r="856" spans="9:18" x14ac:dyDescent="0.25">
      <c r="I856" s="46"/>
      <c r="J856" s="26"/>
      <c r="K856" s="26"/>
      <c r="L856" s="26"/>
      <c r="M856" s="26"/>
      <c r="N856" s="26"/>
      <c r="O856" s="26"/>
      <c r="P856" s="26"/>
      <c r="Q856" s="26"/>
      <c r="R856" s="26"/>
    </row>
    <row r="857" spans="9:18" x14ac:dyDescent="0.25">
      <c r="I857" s="46"/>
      <c r="J857" s="26"/>
      <c r="K857" s="26"/>
      <c r="L857" s="26"/>
      <c r="M857" s="26"/>
      <c r="N857" s="26"/>
      <c r="O857" s="26"/>
      <c r="P857" s="26"/>
      <c r="Q857" s="26"/>
      <c r="R857" s="26"/>
    </row>
    <row r="858" spans="9:18" x14ac:dyDescent="0.25">
      <c r="I858" s="46"/>
      <c r="J858" s="26"/>
      <c r="K858" s="26"/>
      <c r="L858" s="26"/>
      <c r="M858" s="26"/>
      <c r="N858" s="26"/>
      <c r="O858" s="26"/>
      <c r="P858" s="26"/>
      <c r="Q858" s="26"/>
      <c r="R858" s="26"/>
    </row>
    <row r="859" spans="9:18" x14ac:dyDescent="0.25">
      <c r="I859" s="46"/>
      <c r="J859" s="26"/>
      <c r="K859" s="26"/>
      <c r="L859" s="26"/>
      <c r="M859" s="26"/>
      <c r="N859" s="26"/>
      <c r="O859" s="26"/>
      <c r="P859" s="26"/>
      <c r="Q859" s="26"/>
      <c r="R859" s="26"/>
    </row>
    <row r="860" spans="9:18" x14ac:dyDescent="0.25">
      <c r="I860" s="46"/>
      <c r="J860" s="26"/>
      <c r="K860" s="26"/>
      <c r="L860" s="26"/>
      <c r="M860" s="26"/>
      <c r="N860" s="26"/>
      <c r="O860" s="26"/>
      <c r="P860" s="26"/>
      <c r="Q860" s="26"/>
      <c r="R860" s="26"/>
    </row>
    <row r="861" spans="9:18" x14ac:dyDescent="0.25">
      <c r="I861" s="46"/>
      <c r="J861" s="26"/>
      <c r="K861" s="26"/>
      <c r="L861" s="26"/>
      <c r="M861" s="26"/>
      <c r="N861" s="26"/>
      <c r="O861" s="26"/>
      <c r="P861" s="26"/>
      <c r="Q861" s="26"/>
      <c r="R861" s="26"/>
    </row>
    <row r="862" spans="9:18" x14ac:dyDescent="0.25">
      <c r="I862" s="46"/>
      <c r="J862" s="26"/>
      <c r="K862" s="26"/>
      <c r="L862" s="26"/>
      <c r="M862" s="26"/>
      <c r="N862" s="26"/>
      <c r="O862" s="26"/>
      <c r="P862" s="26"/>
      <c r="Q862" s="26"/>
      <c r="R862" s="26"/>
    </row>
    <row r="863" spans="9:18" x14ac:dyDescent="0.25">
      <c r="I863" s="46"/>
      <c r="J863" s="26"/>
      <c r="K863" s="26"/>
      <c r="L863" s="26"/>
      <c r="M863" s="26"/>
      <c r="N863" s="26"/>
      <c r="O863" s="26"/>
      <c r="P863" s="26"/>
      <c r="Q863" s="26"/>
      <c r="R863" s="26"/>
    </row>
    <row r="864" spans="9:18" x14ac:dyDescent="0.25">
      <c r="I864" s="46"/>
      <c r="J864" s="26"/>
      <c r="K864" s="26"/>
      <c r="L864" s="26"/>
      <c r="M864" s="26"/>
      <c r="N864" s="26"/>
      <c r="O864" s="26"/>
      <c r="P864" s="26"/>
      <c r="Q864" s="26"/>
      <c r="R864" s="26"/>
    </row>
    <row r="865" spans="9:18" x14ac:dyDescent="0.25">
      <c r="I865" s="46"/>
      <c r="J865" s="26"/>
      <c r="K865" s="26"/>
      <c r="L865" s="26"/>
      <c r="M865" s="26"/>
      <c r="N865" s="26"/>
      <c r="O865" s="26"/>
      <c r="P865" s="26"/>
      <c r="Q865" s="26"/>
      <c r="R865" s="26"/>
    </row>
    <row r="866" spans="9:18" x14ac:dyDescent="0.25">
      <c r="I866" s="46"/>
      <c r="J866" s="26"/>
      <c r="K866" s="26"/>
      <c r="L866" s="26"/>
      <c r="M866" s="26"/>
      <c r="N866" s="26"/>
      <c r="O866" s="26"/>
      <c r="P866" s="26"/>
      <c r="Q866" s="26"/>
      <c r="R866" s="26"/>
    </row>
    <row r="867" spans="9:18" x14ac:dyDescent="0.25">
      <c r="I867" s="46"/>
      <c r="J867" s="26"/>
      <c r="K867" s="26"/>
      <c r="L867" s="26"/>
      <c r="M867" s="26"/>
      <c r="N867" s="26"/>
      <c r="O867" s="26"/>
      <c r="P867" s="26"/>
      <c r="Q867" s="26"/>
      <c r="R867" s="26"/>
    </row>
    <row r="868" spans="9:18" x14ac:dyDescent="0.25">
      <c r="I868" s="46"/>
      <c r="J868" s="26"/>
      <c r="K868" s="26"/>
      <c r="L868" s="26"/>
      <c r="M868" s="26"/>
      <c r="N868" s="26"/>
      <c r="O868" s="26"/>
      <c r="P868" s="26"/>
      <c r="Q868" s="26"/>
      <c r="R868" s="26"/>
    </row>
    <row r="869" spans="9:18" x14ac:dyDescent="0.25">
      <c r="I869" s="46"/>
      <c r="J869" s="26"/>
      <c r="K869" s="26"/>
      <c r="L869" s="26"/>
      <c r="M869" s="26"/>
      <c r="N869" s="26"/>
      <c r="O869" s="26"/>
      <c r="P869" s="26"/>
      <c r="Q869" s="26"/>
      <c r="R869" s="26"/>
    </row>
    <row r="870" spans="9:18" x14ac:dyDescent="0.25">
      <c r="I870" s="46"/>
      <c r="J870" s="26"/>
      <c r="K870" s="26"/>
      <c r="L870" s="26"/>
      <c r="M870" s="26"/>
      <c r="N870" s="26"/>
      <c r="O870" s="26"/>
      <c r="P870" s="26"/>
      <c r="Q870" s="26"/>
      <c r="R870" s="26"/>
    </row>
    <row r="871" spans="9:18" x14ac:dyDescent="0.25">
      <c r="I871" s="46"/>
      <c r="J871" s="26"/>
      <c r="K871" s="26"/>
      <c r="L871" s="26"/>
      <c r="M871" s="26"/>
      <c r="N871" s="26"/>
      <c r="O871" s="26"/>
      <c r="P871" s="26"/>
      <c r="Q871" s="26"/>
      <c r="R871" s="26"/>
    </row>
    <row r="872" spans="9:18" x14ac:dyDescent="0.25">
      <c r="I872" s="46"/>
      <c r="J872" s="26"/>
      <c r="K872" s="26"/>
      <c r="L872" s="26"/>
      <c r="M872" s="26"/>
      <c r="N872" s="26"/>
      <c r="O872" s="26"/>
      <c r="P872" s="26"/>
      <c r="Q872" s="26"/>
      <c r="R872" s="26"/>
    </row>
    <row r="873" spans="9:18" x14ac:dyDescent="0.25">
      <c r="I873" s="46"/>
      <c r="J873" s="26"/>
      <c r="K873" s="26"/>
      <c r="L873" s="26"/>
      <c r="M873" s="26"/>
      <c r="N873" s="26"/>
      <c r="O873" s="26"/>
      <c r="P873" s="26"/>
      <c r="Q873" s="26"/>
      <c r="R873" s="26"/>
    </row>
    <row r="874" spans="9:18" x14ac:dyDescent="0.25">
      <c r="I874" s="46"/>
      <c r="J874" s="26"/>
      <c r="K874" s="26"/>
      <c r="L874" s="26"/>
      <c r="M874" s="26"/>
      <c r="N874" s="26"/>
      <c r="O874" s="26"/>
      <c r="P874" s="26"/>
      <c r="Q874" s="26"/>
      <c r="R874" s="26"/>
    </row>
    <row r="875" spans="9:18" x14ac:dyDescent="0.25">
      <c r="I875" s="46"/>
      <c r="J875" s="26"/>
      <c r="K875" s="26"/>
      <c r="L875" s="26"/>
      <c r="M875" s="26"/>
      <c r="N875" s="26"/>
      <c r="O875" s="26"/>
      <c r="P875" s="26"/>
      <c r="Q875" s="26"/>
      <c r="R875" s="26"/>
    </row>
    <row r="876" spans="9:18" x14ac:dyDescent="0.25">
      <c r="I876" s="46"/>
      <c r="J876" s="26"/>
      <c r="K876" s="26"/>
      <c r="L876" s="26"/>
      <c r="M876" s="26"/>
      <c r="N876" s="26"/>
      <c r="O876" s="26"/>
      <c r="P876" s="26"/>
      <c r="Q876" s="26"/>
      <c r="R876" s="26"/>
    </row>
    <row r="877" spans="9:18" x14ac:dyDescent="0.25">
      <c r="I877" s="46"/>
      <c r="J877" s="26"/>
      <c r="K877" s="26"/>
      <c r="L877" s="26"/>
      <c r="M877" s="26"/>
      <c r="N877" s="26"/>
      <c r="O877" s="26"/>
      <c r="P877" s="26"/>
      <c r="Q877" s="26"/>
      <c r="R877" s="26"/>
    </row>
    <row r="878" spans="9:18" x14ac:dyDescent="0.25">
      <c r="I878" s="46"/>
      <c r="J878" s="26"/>
      <c r="K878" s="26"/>
      <c r="L878" s="26"/>
      <c r="M878" s="26"/>
      <c r="N878" s="26"/>
      <c r="O878" s="26"/>
      <c r="P878" s="26"/>
      <c r="Q878" s="26"/>
      <c r="R878" s="26"/>
    </row>
    <row r="879" spans="9:18" x14ac:dyDescent="0.25">
      <c r="I879" s="46"/>
      <c r="J879" s="26"/>
      <c r="K879" s="26"/>
      <c r="L879" s="26"/>
      <c r="M879" s="26"/>
      <c r="N879" s="26"/>
      <c r="O879" s="26"/>
      <c r="P879" s="26"/>
      <c r="Q879" s="26"/>
      <c r="R879" s="26"/>
    </row>
    <row r="880" spans="9:18" x14ac:dyDescent="0.25">
      <c r="I880" s="46"/>
      <c r="J880" s="26"/>
      <c r="K880" s="26"/>
      <c r="L880" s="26"/>
      <c r="M880" s="26"/>
      <c r="N880" s="26"/>
      <c r="O880" s="26"/>
      <c r="P880" s="26"/>
      <c r="Q880" s="26"/>
      <c r="R880" s="26"/>
    </row>
    <row r="881" spans="9:18" x14ac:dyDescent="0.25">
      <c r="I881" s="46"/>
      <c r="J881" s="26"/>
      <c r="K881" s="26"/>
      <c r="L881" s="26"/>
      <c r="M881" s="26"/>
      <c r="N881" s="26"/>
      <c r="O881" s="26"/>
      <c r="P881" s="26"/>
      <c r="Q881" s="26"/>
      <c r="R881" s="26"/>
    </row>
    <row r="882" spans="9:18" x14ac:dyDescent="0.25">
      <c r="I882" s="46"/>
      <c r="J882" s="26"/>
      <c r="K882" s="26"/>
      <c r="L882" s="26"/>
      <c r="M882" s="26"/>
      <c r="N882" s="26"/>
      <c r="O882" s="26"/>
      <c r="P882" s="26"/>
      <c r="Q882" s="26"/>
      <c r="R882" s="26"/>
    </row>
    <row r="883" spans="9:18" x14ac:dyDescent="0.25">
      <c r="I883" s="46"/>
      <c r="J883" s="26"/>
      <c r="K883" s="26"/>
      <c r="L883" s="26"/>
      <c r="M883" s="26"/>
      <c r="N883" s="26"/>
      <c r="O883" s="26"/>
      <c r="P883" s="26"/>
      <c r="Q883" s="26"/>
      <c r="R883" s="26"/>
    </row>
    <row r="884" spans="9:18" x14ac:dyDescent="0.25">
      <c r="I884" s="46"/>
      <c r="J884" s="26"/>
      <c r="K884" s="26"/>
      <c r="L884" s="26"/>
      <c r="M884" s="26"/>
      <c r="N884" s="26"/>
      <c r="O884" s="26"/>
      <c r="P884" s="26"/>
      <c r="Q884" s="26"/>
      <c r="R884" s="26"/>
    </row>
    <row r="885" spans="9:18" x14ac:dyDescent="0.25">
      <c r="I885" s="46"/>
      <c r="J885" s="26"/>
      <c r="K885" s="26"/>
      <c r="L885" s="26"/>
      <c r="M885" s="26"/>
      <c r="N885" s="26"/>
      <c r="O885" s="26"/>
      <c r="P885" s="26"/>
      <c r="Q885" s="26"/>
      <c r="R885" s="26"/>
    </row>
    <row r="886" spans="9:18" x14ac:dyDescent="0.25">
      <c r="I886" s="46"/>
      <c r="J886" s="26"/>
      <c r="K886" s="26"/>
      <c r="L886" s="26"/>
      <c r="M886" s="26"/>
      <c r="N886" s="26"/>
      <c r="O886" s="26"/>
      <c r="P886" s="26"/>
      <c r="Q886" s="26"/>
      <c r="R886" s="26"/>
    </row>
    <row r="887" spans="9:18" x14ac:dyDescent="0.25">
      <c r="I887" s="46"/>
      <c r="J887" s="26"/>
      <c r="K887" s="26"/>
      <c r="L887" s="26"/>
      <c r="M887" s="26"/>
      <c r="N887" s="26"/>
      <c r="O887" s="26"/>
      <c r="P887" s="26"/>
      <c r="Q887" s="26"/>
      <c r="R887" s="26"/>
    </row>
    <row r="888" spans="9:18" x14ac:dyDescent="0.25">
      <c r="I888" s="46"/>
      <c r="J888" s="26"/>
      <c r="K888" s="26"/>
      <c r="L888" s="26"/>
      <c r="M888" s="26"/>
      <c r="N888" s="26"/>
      <c r="O888" s="26"/>
      <c r="P888" s="26"/>
      <c r="Q888" s="26"/>
      <c r="R888" s="26"/>
    </row>
    <row r="889" spans="9:18" x14ac:dyDescent="0.25">
      <c r="I889" s="46"/>
      <c r="J889" s="26"/>
      <c r="K889" s="26"/>
      <c r="L889" s="26"/>
      <c r="M889" s="26"/>
      <c r="N889" s="26"/>
      <c r="O889" s="26"/>
      <c r="P889" s="26"/>
      <c r="Q889" s="26"/>
      <c r="R889" s="26"/>
    </row>
    <row r="890" spans="9:18" x14ac:dyDescent="0.25">
      <c r="I890" s="46"/>
      <c r="J890" s="26"/>
      <c r="K890" s="26"/>
      <c r="L890" s="26"/>
      <c r="M890" s="26"/>
      <c r="N890" s="26"/>
      <c r="O890" s="26"/>
      <c r="P890" s="26"/>
      <c r="Q890" s="26"/>
      <c r="R890" s="26"/>
    </row>
    <row r="891" spans="9:18" x14ac:dyDescent="0.25">
      <c r="I891" s="46"/>
      <c r="J891" s="26"/>
      <c r="K891" s="26"/>
      <c r="L891" s="26"/>
      <c r="M891" s="26"/>
      <c r="N891" s="26"/>
      <c r="O891" s="26"/>
      <c r="P891" s="26"/>
      <c r="Q891" s="26"/>
      <c r="R891" s="26"/>
    </row>
    <row r="892" spans="9:18" x14ac:dyDescent="0.25">
      <c r="I892" s="46"/>
      <c r="J892" s="26"/>
      <c r="K892" s="26"/>
      <c r="L892" s="26"/>
      <c r="M892" s="26"/>
      <c r="N892" s="26"/>
      <c r="O892" s="26"/>
      <c r="P892" s="26"/>
      <c r="Q892" s="26"/>
      <c r="R892" s="26"/>
    </row>
    <row r="893" spans="9:18" x14ac:dyDescent="0.25">
      <c r="I893" s="46"/>
      <c r="J893" s="26"/>
      <c r="K893" s="26"/>
      <c r="L893" s="26"/>
      <c r="M893" s="26"/>
      <c r="N893" s="26"/>
      <c r="O893" s="26"/>
      <c r="P893" s="26"/>
      <c r="Q893" s="26"/>
      <c r="R893" s="26"/>
    </row>
    <row r="894" spans="9:18" x14ac:dyDescent="0.25">
      <c r="I894" s="46"/>
      <c r="J894" s="26"/>
      <c r="K894" s="26"/>
      <c r="L894" s="26"/>
      <c r="M894" s="26"/>
      <c r="N894" s="26"/>
      <c r="O894" s="26"/>
      <c r="P894" s="26"/>
      <c r="Q894" s="26"/>
      <c r="R894" s="26"/>
    </row>
    <row r="895" spans="9:18" x14ac:dyDescent="0.25">
      <c r="I895" s="46"/>
      <c r="J895" s="26"/>
      <c r="K895" s="26"/>
      <c r="L895" s="26"/>
      <c r="M895" s="26"/>
      <c r="N895" s="26"/>
      <c r="O895" s="26"/>
      <c r="P895" s="26"/>
      <c r="Q895" s="26"/>
      <c r="R895" s="26"/>
    </row>
    <row r="896" spans="9:18" x14ac:dyDescent="0.25">
      <c r="I896" s="46"/>
      <c r="J896" s="26"/>
      <c r="K896" s="26"/>
      <c r="L896" s="26"/>
      <c r="M896" s="26"/>
      <c r="N896" s="26"/>
      <c r="O896" s="26"/>
      <c r="P896" s="26"/>
      <c r="Q896" s="26"/>
      <c r="R896" s="26"/>
    </row>
    <row r="897" spans="9:18" x14ac:dyDescent="0.25">
      <c r="I897" s="46"/>
      <c r="J897" s="26"/>
      <c r="K897" s="26"/>
      <c r="L897" s="26"/>
      <c r="M897" s="26"/>
      <c r="N897" s="26"/>
      <c r="O897" s="26"/>
      <c r="P897" s="26"/>
      <c r="Q897" s="26"/>
      <c r="R897" s="26"/>
    </row>
    <row r="898" spans="9:18" x14ac:dyDescent="0.25">
      <c r="I898" s="46"/>
      <c r="J898" s="26"/>
      <c r="K898" s="26"/>
      <c r="L898" s="26"/>
      <c r="M898" s="26"/>
      <c r="N898" s="26"/>
      <c r="O898" s="26"/>
      <c r="P898" s="26"/>
      <c r="Q898" s="26"/>
      <c r="R898" s="26"/>
    </row>
    <row r="899" spans="9:18" x14ac:dyDescent="0.25">
      <c r="I899" s="46"/>
      <c r="J899" s="26"/>
      <c r="K899" s="26"/>
      <c r="L899" s="26"/>
      <c r="M899" s="26"/>
      <c r="N899" s="26"/>
      <c r="O899" s="26"/>
      <c r="P899" s="26"/>
      <c r="Q899" s="26"/>
      <c r="R899" s="26"/>
    </row>
    <row r="900" spans="9:18" x14ac:dyDescent="0.25">
      <c r="I900" s="46"/>
      <c r="J900" s="26"/>
      <c r="K900" s="26"/>
      <c r="L900" s="26"/>
      <c r="M900" s="26"/>
      <c r="N900" s="26"/>
      <c r="O900" s="26"/>
      <c r="P900" s="26"/>
      <c r="Q900" s="26"/>
      <c r="R900" s="26"/>
    </row>
    <row r="901" spans="9:18" x14ac:dyDescent="0.25">
      <c r="I901" s="46"/>
      <c r="J901" s="26"/>
      <c r="K901" s="26"/>
      <c r="L901" s="26"/>
      <c r="M901" s="26"/>
      <c r="N901" s="26"/>
      <c r="O901" s="26"/>
      <c r="P901" s="26"/>
      <c r="Q901" s="26"/>
      <c r="R901" s="26"/>
    </row>
    <row r="902" spans="9:18" x14ac:dyDescent="0.25">
      <c r="I902" s="46"/>
      <c r="J902" s="26"/>
      <c r="K902" s="26"/>
      <c r="L902" s="26"/>
      <c r="M902" s="26"/>
      <c r="N902" s="26"/>
      <c r="O902" s="26"/>
      <c r="P902" s="26"/>
      <c r="Q902" s="26"/>
      <c r="R902" s="26"/>
    </row>
    <row r="903" spans="9:18" x14ac:dyDescent="0.25">
      <c r="I903" s="46"/>
      <c r="J903" s="26"/>
      <c r="K903" s="26"/>
      <c r="L903" s="26"/>
      <c r="M903" s="26"/>
      <c r="N903" s="26"/>
      <c r="O903" s="26"/>
      <c r="P903" s="26"/>
      <c r="Q903" s="26"/>
      <c r="R903" s="26"/>
    </row>
    <row r="904" spans="9:18" x14ac:dyDescent="0.25">
      <c r="I904" s="46"/>
      <c r="J904" s="26"/>
      <c r="K904" s="26"/>
      <c r="L904" s="26"/>
      <c r="M904" s="26"/>
      <c r="N904" s="26"/>
      <c r="O904" s="26"/>
      <c r="P904" s="26"/>
      <c r="Q904" s="26"/>
      <c r="R904" s="26"/>
    </row>
    <row r="905" spans="9:18" x14ac:dyDescent="0.25">
      <c r="I905" s="46"/>
      <c r="J905" s="26"/>
      <c r="K905" s="26"/>
      <c r="L905" s="26"/>
      <c r="M905" s="26"/>
      <c r="N905" s="26"/>
      <c r="O905" s="26"/>
      <c r="P905" s="26"/>
      <c r="Q905" s="26"/>
      <c r="R905" s="26"/>
    </row>
    <row r="906" spans="9:18" x14ac:dyDescent="0.25">
      <c r="I906" s="46"/>
      <c r="J906" s="26"/>
      <c r="K906" s="26"/>
      <c r="L906" s="26"/>
      <c r="M906" s="26"/>
      <c r="N906" s="26"/>
      <c r="O906" s="26"/>
      <c r="P906" s="26"/>
      <c r="Q906" s="26"/>
      <c r="R906" s="26"/>
    </row>
    <row r="907" spans="9:18" x14ac:dyDescent="0.25">
      <c r="I907" s="46"/>
      <c r="J907" s="26"/>
      <c r="K907" s="26"/>
      <c r="L907" s="26"/>
      <c r="M907" s="26"/>
      <c r="N907" s="26"/>
      <c r="O907" s="26"/>
      <c r="P907" s="26"/>
      <c r="Q907" s="26"/>
      <c r="R907" s="26"/>
    </row>
    <row r="908" spans="9:18" x14ac:dyDescent="0.25">
      <c r="I908" s="46"/>
      <c r="J908" s="26"/>
      <c r="K908" s="26"/>
      <c r="L908" s="26"/>
      <c r="M908" s="26"/>
      <c r="N908" s="26"/>
      <c r="O908" s="26"/>
      <c r="P908" s="26"/>
      <c r="Q908" s="26"/>
      <c r="R908" s="26"/>
    </row>
    <row r="909" spans="9:18" x14ac:dyDescent="0.25">
      <c r="I909" s="46"/>
      <c r="J909" s="26"/>
      <c r="K909" s="26"/>
      <c r="L909" s="26"/>
      <c r="M909" s="26"/>
      <c r="N909" s="26"/>
      <c r="O909" s="26"/>
      <c r="P909" s="26"/>
      <c r="Q909" s="26"/>
      <c r="R909" s="26"/>
    </row>
    <row r="910" spans="9:18" x14ac:dyDescent="0.25">
      <c r="I910" s="46"/>
      <c r="J910" s="26"/>
      <c r="K910" s="26"/>
      <c r="L910" s="26"/>
      <c r="M910" s="26"/>
      <c r="N910" s="26"/>
      <c r="O910" s="26"/>
      <c r="P910" s="26"/>
      <c r="Q910" s="26"/>
      <c r="R910" s="26"/>
    </row>
    <row r="911" spans="9:18" x14ac:dyDescent="0.25">
      <c r="I911" s="46"/>
      <c r="J911" s="26"/>
      <c r="K911" s="26"/>
      <c r="L911" s="26"/>
      <c r="M911" s="26"/>
      <c r="N911" s="26"/>
      <c r="O911" s="26"/>
      <c r="P911" s="26"/>
      <c r="Q911" s="26"/>
      <c r="R911" s="26"/>
    </row>
    <row r="912" spans="9:18" x14ac:dyDescent="0.25">
      <c r="I912" s="46"/>
      <c r="J912" s="26"/>
      <c r="K912" s="26"/>
      <c r="L912" s="26"/>
      <c r="M912" s="26"/>
      <c r="N912" s="26"/>
      <c r="O912" s="26"/>
      <c r="P912" s="26"/>
      <c r="Q912" s="26"/>
      <c r="R912" s="26"/>
    </row>
    <row r="913" spans="9:18" x14ac:dyDescent="0.25">
      <c r="I913" s="46"/>
      <c r="J913" s="26"/>
      <c r="K913" s="26"/>
      <c r="L913" s="26"/>
      <c r="M913" s="26"/>
      <c r="N913" s="26"/>
      <c r="O913" s="26"/>
      <c r="P913" s="26"/>
      <c r="Q913" s="26"/>
      <c r="R913" s="26"/>
    </row>
    <row r="914" spans="9:18" x14ac:dyDescent="0.25">
      <c r="I914" s="46"/>
      <c r="J914" s="26"/>
      <c r="K914" s="26"/>
      <c r="L914" s="26"/>
      <c r="M914" s="26"/>
      <c r="N914" s="26"/>
      <c r="O914" s="26"/>
      <c r="P914" s="26"/>
      <c r="Q914" s="26"/>
      <c r="R914" s="26"/>
    </row>
    <row r="915" spans="9:18" x14ac:dyDescent="0.25">
      <c r="I915" s="46"/>
      <c r="J915" s="26"/>
      <c r="K915" s="26"/>
      <c r="L915" s="26"/>
      <c r="M915" s="26"/>
      <c r="N915" s="26"/>
      <c r="O915" s="26"/>
      <c r="P915" s="26"/>
      <c r="Q915" s="26"/>
      <c r="R915" s="26"/>
    </row>
    <row r="916" spans="9:18" x14ac:dyDescent="0.25">
      <c r="I916" s="46"/>
      <c r="J916" s="26"/>
      <c r="K916" s="26"/>
      <c r="L916" s="26"/>
      <c r="M916" s="26"/>
      <c r="N916" s="26"/>
      <c r="O916" s="26"/>
      <c r="P916" s="26"/>
      <c r="Q916" s="26"/>
      <c r="R916" s="26"/>
    </row>
    <row r="917" spans="9:18" x14ac:dyDescent="0.25">
      <c r="I917" s="46"/>
      <c r="J917" s="26"/>
      <c r="K917" s="26"/>
      <c r="L917" s="26"/>
      <c r="M917" s="26"/>
      <c r="N917" s="26"/>
      <c r="O917" s="26"/>
      <c r="P917" s="26"/>
      <c r="Q917" s="26"/>
      <c r="R917" s="26"/>
    </row>
    <row r="918" spans="9:18" x14ac:dyDescent="0.25">
      <c r="I918" s="46"/>
      <c r="J918" s="26"/>
      <c r="K918" s="26"/>
      <c r="L918" s="26"/>
      <c r="M918" s="26"/>
      <c r="N918" s="26"/>
      <c r="O918" s="26"/>
      <c r="P918" s="26"/>
      <c r="Q918" s="26"/>
      <c r="R918" s="26"/>
    </row>
    <row r="919" spans="9:18" x14ac:dyDescent="0.25">
      <c r="I919" s="46"/>
      <c r="J919" s="26"/>
      <c r="K919" s="26"/>
      <c r="L919" s="26"/>
      <c r="M919" s="26"/>
      <c r="N919" s="26"/>
      <c r="O919" s="26"/>
      <c r="P919" s="26"/>
      <c r="Q919" s="26"/>
      <c r="R919" s="26"/>
    </row>
    <row r="920" spans="9:18" x14ac:dyDescent="0.25">
      <c r="I920" s="46"/>
      <c r="J920" s="26"/>
      <c r="K920" s="26"/>
      <c r="L920" s="26"/>
      <c r="M920" s="26"/>
      <c r="N920" s="26"/>
      <c r="O920" s="26"/>
      <c r="P920" s="26"/>
      <c r="Q920" s="26"/>
      <c r="R920" s="26"/>
    </row>
    <row r="921" spans="9:18" x14ac:dyDescent="0.25">
      <c r="I921" s="46"/>
      <c r="J921" s="26"/>
      <c r="K921" s="26"/>
      <c r="L921" s="26"/>
      <c r="M921" s="26"/>
      <c r="N921" s="26"/>
      <c r="O921" s="26"/>
      <c r="P921" s="26"/>
      <c r="Q921" s="26"/>
      <c r="R921" s="26"/>
    </row>
    <row r="922" spans="9:18" x14ac:dyDescent="0.25">
      <c r="I922" s="46"/>
      <c r="J922" s="26"/>
      <c r="K922" s="26"/>
      <c r="L922" s="26"/>
      <c r="M922" s="26"/>
      <c r="N922" s="26"/>
      <c r="O922" s="26"/>
      <c r="P922" s="26"/>
      <c r="Q922" s="26"/>
      <c r="R922" s="26"/>
    </row>
    <row r="923" spans="9:18" x14ac:dyDescent="0.25">
      <c r="I923" s="46"/>
      <c r="J923" s="26"/>
      <c r="K923" s="26"/>
      <c r="L923" s="26"/>
      <c r="M923" s="26"/>
      <c r="N923" s="26"/>
      <c r="O923" s="26"/>
      <c r="P923" s="26"/>
      <c r="Q923" s="26"/>
      <c r="R923" s="26"/>
    </row>
    <row r="924" spans="9:18" x14ac:dyDescent="0.25">
      <c r="I924" s="46"/>
      <c r="J924" s="26"/>
      <c r="K924" s="26"/>
      <c r="L924" s="26"/>
      <c r="M924" s="26"/>
      <c r="N924" s="26"/>
      <c r="O924" s="26"/>
      <c r="P924" s="26"/>
      <c r="Q924" s="26"/>
      <c r="R924" s="26"/>
    </row>
    <row r="925" spans="9:18" x14ac:dyDescent="0.25">
      <c r="I925" s="46"/>
      <c r="J925" s="26"/>
      <c r="K925" s="26"/>
      <c r="L925" s="26"/>
      <c r="M925" s="26"/>
      <c r="N925" s="26"/>
      <c r="O925" s="26"/>
      <c r="P925" s="26"/>
      <c r="Q925" s="26"/>
      <c r="R925" s="26"/>
    </row>
    <row r="926" spans="9:18" x14ac:dyDescent="0.25">
      <c r="I926" s="46"/>
      <c r="J926" s="26"/>
      <c r="K926" s="26"/>
      <c r="L926" s="26"/>
      <c r="M926" s="26"/>
      <c r="N926" s="26"/>
      <c r="O926" s="26"/>
      <c r="P926" s="26"/>
      <c r="Q926" s="26"/>
      <c r="R926" s="26"/>
    </row>
    <row r="927" spans="9:18" x14ac:dyDescent="0.25">
      <c r="I927" s="46"/>
      <c r="J927" s="26"/>
      <c r="K927" s="26"/>
      <c r="L927" s="26"/>
      <c r="M927" s="26"/>
      <c r="N927" s="26"/>
      <c r="O927" s="26"/>
      <c r="P927" s="26"/>
      <c r="Q927" s="26"/>
      <c r="R927" s="26"/>
    </row>
    <row r="928" spans="9:18" x14ac:dyDescent="0.25">
      <c r="I928" s="46"/>
      <c r="J928" s="26"/>
      <c r="K928" s="26"/>
      <c r="L928" s="26"/>
      <c r="M928" s="26"/>
      <c r="N928" s="26"/>
      <c r="O928" s="26"/>
      <c r="P928" s="26"/>
      <c r="Q928" s="26"/>
      <c r="R928" s="26"/>
    </row>
    <row r="929" spans="9:18" x14ac:dyDescent="0.25">
      <c r="I929" s="46"/>
      <c r="J929" s="26"/>
      <c r="K929" s="26"/>
      <c r="L929" s="26"/>
      <c r="M929" s="26"/>
      <c r="N929" s="26"/>
      <c r="O929" s="26"/>
      <c r="P929" s="26"/>
      <c r="Q929" s="26"/>
      <c r="R929" s="26"/>
    </row>
    <row r="930" spans="9:18" x14ac:dyDescent="0.25">
      <c r="I930" s="46"/>
      <c r="J930" s="26"/>
      <c r="K930" s="26"/>
      <c r="L930" s="26"/>
      <c r="M930" s="26"/>
      <c r="N930" s="26"/>
      <c r="O930" s="26"/>
      <c r="P930" s="26"/>
      <c r="Q930" s="26"/>
      <c r="R930" s="26"/>
    </row>
    <row r="931" spans="9:18" x14ac:dyDescent="0.25">
      <c r="I931" s="46"/>
      <c r="J931" s="26"/>
      <c r="K931" s="26"/>
      <c r="L931" s="26"/>
      <c r="M931" s="26"/>
      <c r="N931" s="26"/>
      <c r="O931" s="26"/>
      <c r="P931" s="26"/>
      <c r="Q931" s="26"/>
      <c r="R931" s="26"/>
    </row>
    <row r="932" spans="9:18" x14ac:dyDescent="0.25">
      <c r="I932" s="46"/>
      <c r="J932" s="26"/>
      <c r="K932" s="26"/>
      <c r="L932" s="26"/>
      <c r="M932" s="26"/>
      <c r="N932" s="26"/>
      <c r="O932" s="26"/>
      <c r="P932" s="26"/>
      <c r="Q932" s="26"/>
      <c r="R932" s="26"/>
    </row>
    <row r="933" spans="9:18" x14ac:dyDescent="0.25">
      <c r="I933" s="46"/>
      <c r="J933" s="26"/>
      <c r="K933" s="26"/>
      <c r="L933" s="26"/>
      <c r="M933" s="26"/>
      <c r="N933" s="26"/>
      <c r="O933" s="26"/>
      <c r="P933" s="26"/>
      <c r="Q933" s="26"/>
      <c r="R933" s="26"/>
    </row>
    <row r="934" spans="9:18" x14ac:dyDescent="0.25">
      <c r="I934" s="46"/>
      <c r="J934" s="26"/>
      <c r="K934" s="26"/>
      <c r="L934" s="26"/>
      <c r="M934" s="26"/>
      <c r="N934" s="26"/>
      <c r="O934" s="26"/>
      <c r="P934" s="26"/>
      <c r="Q934" s="26"/>
      <c r="R934" s="26"/>
    </row>
    <row r="935" spans="9:18" x14ac:dyDescent="0.25">
      <c r="I935" s="46"/>
      <c r="J935" s="26"/>
      <c r="K935" s="26"/>
      <c r="L935" s="26"/>
      <c r="M935" s="26"/>
      <c r="N935" s="26"/>
      <c r="O935" s="26"/>
      <c r="P935" s="26"/>
      <c r="Q935" s="26"/>
      <c r="R935" s="26"/>
    </row>
    <row r="936" spans="9:18" x14ac:dyDescent="0.25">
      <c r="I936" s="46"/>
      <c r="J936" s="26"/>
      <c r="K936" s="26"/>
      <c r="L936" s="26"/>
      <c r="M936" s="26"/>
      <c r="N936" s="26"/>
      <c r="O936" s="26"/>
      <c r="P936" s="26"/>
      <c r="Q936" s="26"/>
      <c r="R936" s="26"/>
    </row>
    <row r="937" spans="9:18" x14ac:dyDescent="0.25">
      <c r="I937" s="46"/>
      <c r="J937" s="26"/>
      <c r="K937" s="26"/>
      <c r="L937" s="26"/>
      <c r="M937" s="26"/>
      <c r="N937" s="26"/>
      <c r="O937" s="26"/>
      <c r="P937" s="26"/>
      <c r="Q937" s="26"/>
      <c r="R937" s="26"/>
    </row>
    <row r="938" spans="9:18" x14ac:dyDescent="0.25">
      <c r="I938" s="46"/>
      <c r="J938" s="26"/>
      <c r="K938" s="26"/>
      <c r="L938" s="26"/>
      <c r="M938" s="26"/>
      <c r="N938" s="26"/>
      <c r="O938" s="26"/>
      <c r="P938" s="26"/>
      <c r="Q938" s="26"/>
      <c r="R938" s="26"/>
    </row>
    <row r="939" spans="9:18" x14ac:dyDescent="0.25">
      <c r="I939" s="46"/>
      <c r="J939" s="26"/>
      <c r="K939" s="26"/>
      <c r="L939" s="26"/>
      <c r="M939" s="26"/>
      <c r="N939" s="26"/>
      <c r="O939" s="26"/>
      <c r="P939" s="26"/>
      <c r="Q939" s="26"/>
      <c r="R939" s="26"/>
    </row>
    <row r="940" spans="9:18" x14ac:dyDescent="0.25">
      <c r="I940" s="46"/>
      <c r="J940" s="26"/>
      <c r="K940" s="26"/>
      <c r="L940" s="26"/>
      <c r="M940" s="26"/>
      <c r="N940" s="26"/>
      <c r="O940" s="26"/>
      <c r="P940" s="26"/>
      <c r="Q940" s="26"/>
      <c r="R940" s="26"/>
    </row>
    <row r="941" spans="9:18" x14ac:dyDescent="0.25">
      <c r="I941" s="46"/>
      <c r="J941" s="26"/>
      <c r="K941" s="26"/>
      <c r="L941" s="26"/>
      <c r="M941" s="26"/>
      <c r="N941" s="26"/>
      <c r="O941" s="26"/>
      <c r="P941" s="26"/>
      <c r="Q941" s="26"/>
      <c r="R941" s="26"/>
    </row>
    <row r="942" spans="9:18" x14ac:dyDescent="0.25">
      <c r="I942" s="46"/>
      <c r="J942" s="26"/>
      <c r="K942" s="26"/>
      <c r="L942" s="26"/>
      <c r="M942" s="26"/>
      <c r="N942" s="26"/>
      <c r="O942" s="26"/>
      <c r="P942" s="26"/>
      <c r="Q942" s="26"/>
      <c r="R942" s="26"/>
    </row>
    <row r="943" spans="9:18" x14ac:dyDescent="0.25">
      <c r="I943" s="46"/>
      <c r="J943" s="26"/>
      <c r="K943" s="26"/>
      <c r="L943" s="26"/>
      <c r="M943" s="26"/>
      <c r="N943" s="26"/>
      <c r="O943" s="26"/>
      <c r="P943" s="26"/>
      <c r="Q943" s="26"/>
      <c r="R943" s="26"/>
    </row>
    <row r="944" spans="9:18" x14ac:dyDescent="0.25">
      <c r="I944" s="46"/>
      <c r="J944" s="26"/>
      <c r="K944" s="26"/>
      <c r="L944" s="26"/>
      <c r="M944" s="26"/>
      <c r="N944" s="26"/>
      <c r="O944" s="26"/>
      <c r="P944" s="26"/>
      <c r="Q944" s="26"/>
      <c r="R944" s="26"/>
    </row>
    <row r="945" spans="9:18" x14ac:dyDescent="0.25">
      <c r="I945" s="46"/>
      <c r="J945" s="26"/>
      <c r="K945" s="26"/>
      <c r="L945" s="26"/>
      <c r="M945" s="26"/>
      <c r="N945" s="26"/>
      <c r="O945" s="26"/>
      <c r="P945" s="26"/>
      <c r="Q945" s="26"/>
      <c r="R945" s="26"/>
    </row>
    <row r="946" spans="9:18" x14ac:dyDescent="0.25">
      <c r="I946" s="46"/>
      <c r="J946" s="26"/>
      <c r="K946" s="26"/>
      <c r="L946" s="26"/>
      <c r="M946" s="26"/>
      <c r="N946" s="26"/>
      <c r="O946" s="26"/>
      <c r="P946" s="26"/>
      <c r="Q946" s="26"/>
      <c r="R946" s="26"/>
    </row>
    <row r="947" spans="9:18" x14ac:dyDescent="0.25">
      <c r="I947" s="46"/>
      <c r="J947" s="26"/>
      <c r="K947" s="26"/>
      <c r="L947" s="26"/>
      <c r="M947" s="26"/>
      <c r="N947" s="26"/>
      <c r="O947" s="26"/>
      <c r="P947" s="26"/>
      <c r="Q947" s="26"/>
      <c r="R947" s="26"/>
    </row>
    <row r="948" spans="9:18" x14ac:dyDescent="0.25">
      <c r="I948" s="46"/>
      <c r="J948" s="26"/>
      <c r="K948" s="26"/>
      <c r="L948" s="26"/>
      <c r="M948" s="26"/>
      <c r="N948" s="26"/>
      <c r="O948" s="26"/>
      <c r="P948" s="26"/>
      <c r="Q948" s="26"/>
      <c r="R948" s="26"/>
    </row>
    <row r="949" spans="9:18" x14ac:dyDescent="0.25">
      <c r="I949" s="46"/>
      <c r="J949" s="26"/>
      <c r="K949" s="26"/>
      <c r="L949" s="26"/>
      <c r="M949" s="26"/>
      <c r="N949" s="26"/>
      <c r="O949" s="26"/>
      <c r="P949" s="26"/>
      <c r="Q949" s="26"/>
      <c r="R949" s="26"/>
    </row>
    <row r="950" spans="9:18" x14ac:dyDescent="0.25">
      <c r="I950" s="46"/>
      <c r="J950" s="26"/>
      <c r="K950" s="26"/>
      <c r="L950" s="26"/>
      <c r="M950" s="26"/>
      <c r="N950" s="26"/>
      <c r="O950" s="26"/>
      <c r="P950" s="26"/>
      <c r="Q950" s="26"/>
      <c r="R950" s="26"/>
    </row>
    <row r="951" spans="9:18" x14ac:dyDescent="0.25">
      <c r="I951" s="46"/>
      <c r="J951" s="26"/>
      <c r="K951" s="26"/>
      <c r="L951" s="26"/>
      <c r="M951" s="26"/>
      <c r="N951" s="26"/>
      <c r="O951" s="26"/>
      <c r="P951" s="26"/>
      <c r="Q951" s="26"/>
      <c r="R951" s="26"/>
    </row>
    <row r="952" spans="9:18" x14ac:dyDescent="0.25">
      <c r="I952" s="46"/>
      <c r="J952" s="26"/>
      <c r="K952" s="26"/>
      <c r="L952" s="26"/>
      <c r="M952" s="26"/>
      <c r="N952" s="26"/>
      <c r="O952" s="26"/>
      <c r="P952" s="26"/>
      <c r="Q952" s="26"/>
      <c r="R952" s="26"/>
    </row>
    <row r="953" spans="9:18" x14ac:dyDescent="0.25">
      <c r="I953" s="46"/>
      <c r="J953" s="26"/>
      <c r="K953" s="26"/>
      <c r="L953" s="26"/>
      <c r="M953" s="26"/>
      <c r="N953" s="26"/>
      <c r="O953" s="26"/>
      <c r="P953" s="26"/>
      <c r="Q953" s="26"/>
      <c r="R953" s="26"/>
    </row>
    <row r="954" spans="9:18" x14ac:dyDescent="0.25">
      <c r="I954" s="46"/>
      <c r="J954" s="26"/>
      <c r="K954" s="26"/>
      <c r="L954" s="26"/>
      <c r="M954" s="26"/>
      <c r="N954" s="26"/>
      <c r="O954" s="26"/>
      <c r="P954" s="26"/>
      <c r="Q954" s="26"/>
      <c r="R954" s="26"/>
    </row>
    <row r="955" spans="9:18" x14ac:dyDescent="0.25">
      <c r="I955" s="46"/>
      <c r="J955" s="26"/>
      <c r="K955" s="26"/>
      <c r="L955" s="26"/>
      <c r="M955" s="26"/>
      <c r="N955" s="26"/>
      <c r="O955" s="26"/>
      <c r="P955" s="26"/>
      <c r="Q955" s="26"/>
      <c r="R955" s="26"/>
    </row>
    <row r="956" spans="9:18" x14ac:dyDescent="0.25">
      <c r="I956" s="46"/>
      <c r="J956" s="26"/>
      <c r="K956" s="26"/>
      <c r="L956" s="26"/>
      <c r="M956" s="26"/>
      <c r="N956" s="26"/>
      <c r="O956" s="26"/>
      <c r="P956" s="26"/>
      <c r="Q956" s="26"/>
      <c r="R956" s="26"/>
    </row>
    <row r="957" spans="9:18" x14ac:dyDescent="0.25">
      <c r="I957" s="46"/>
      <c r="J957" s="26"/>
      <c r="K957" s="26"/>
      <c r="L957" s="26"/>
      <c r="M957" s="26"/>
      <c r="N957" s="26"/>
      <c r="O957" s="26"/>
      <c r="P957" s="26"/>
      <c r="Q957" s="26"/>
      <c r="R957" s="26"/>
    </row>
    <row r="958" spans="9:18" x14ac:dyDescent="0.25">
      <c r="I958" s="46"/>
      <c r="J958" s="26"/>
      <c r="K958" s="26"/>
      <c r="L958" s="26"/>
      <c r="M958" s="26"/>
      <c r="N958" s="26"/>
      <c r="O958" s="26"/>
      <c r="P958" s="26"/>
      <c r="Q958" s="26"/>
      <c r="R958" s="26"/>
    </row>
    <row r="959" spans="9:18" x14ac:dyDescent="0.25">
      <c r="I959" s="46"/>
      <c r="J959" s="26"/>
      <c r="K959" s="26"/>
      <c r="L959" s="26"/>
      <c r="M959" s="26"/>
      <c r="N959" s="26"/>
      <c r="O959" s="26"/>
      <c r="P959" s="26"/>
      <c r="Q959" s="26"/>
      <c r="R959" s="26"/>
    </row>
    <row r="960" spans="9:18" x14ac:dyDescent="0.25">
      <c r="I960" s="46"/>
      <c r="J960" s="26"/>
      <c r="K960" s="26"/>
      <c r="L960" s="26"/>
      <c r="M960" s="26"/>
      <c r="N960" s="26"/>
      <c r="O960" s="26"/>
      <c r="P960" s="26"/>
      <c r="Q960" s="26"/>
      <c r="R960" s="26"/>
    </row>
    <row r="961" spans="9:18" x14ac:dyDescent="0.25">
      <c r="I961" s="46"/>
      <c r="J961" s="26"/>
      <c r="K961" s="26"/>
      <c r="L961" s="26"/>
      <c r="M961" s="26"/>
      <c r="N961" s="26"/>
      <c r="O961" s="26"/>
      <c r="P961" s="26"/>
      <c r="Q961" s="26"/>
      <c r="R961" s="26"/>
    </row>
    <row r="962" spans="9:18" x14ac:dyDescent="0.25">
      <c r="I962" s="46"/>
      <c r="J962" s="26"/>
      <c r="K962" s="26"/>
      <c r="L962" s="26"/>
      <c r="M962" s="26"/>
      <c r="N962" s="26"/>
      <c r="O962" s="26"/>
      <c r="P962" s="26"/>
      <c r="Q962" s="26"/>
      <c r="R962" s="26"/>
    </row>
    <row r="963" spans="9:18" x14ac:dyDescent="0.25">
      <c r="I963" s="46"/>
      <c r="J963" s="26"/>
      <c r="K963" s="26"/>
      <c r="L963" s="26"/>
      <c r="M963" s="26"/>
      <c r="N963" s="26"/>
      <c r="O963" s="26"/>
      <c r="P963" s="26"/>
      <c r="Q963" s="26"/>
      <c r="R963" s="26"/>
    </row>
    <row r="964" spans="9:18" x14ac:dyDescent="0.25">
      <c r="I964" s="46"/>
      <c r="J964" s="26"/>
      <c r="K964" s="26"/>
      <c r="L964" s="26"/>
      <c r="M964" s="26"/>
      <c r="N964" s="26"/>
      <c r="O964" s="26"/>
      <c r="P964" s="26"/>
      <c r="Q964" s="26"/>
      <c r="R964" s="26"/>
    </row>
    <row r="965" spans="9:18" x14ac:dyDescent="0.25">
      <c r="I965" s="46"/>
      <c r="J965" s="26"/>
      <c r="K965" s="26"/>
      <c r="L965" s="26"/>
      <c r="M965" s="26"/>
      <c r="N965" s="26"/>
      <c r="O965" s="26"/>
      <c r="P965" s="26"/>
      <c r="Q965" s="26"/>
      <c r="R965" s="26"/>
    </row>
    <row r="966" spans="9:18" x14ac:dyDescent="0.25">
      <c r="I966" s="46"/>
      <c r="J966" s="26"/>
      <c r="K966" s="26"/>
      <c r="L966" s="26"/>
      <c r="M966" s="26"/>
      <c r="N966" s="26"/>
      <c r="O966" s="26"/>
      <c r="P966" s="26"/>
      <c r="Q966" s="26"/>
      <c r="R966" s="26"/>
    </row>
    <row r="967" spans="9:18" x14ac:dyDescent="0.25">
      <c r="I967" s="46"/>
      <c r="J967" s="26"/>
      <c r="K967" s="26"/>
      <c r="L967" s="26"/>
      <c r="M967" s="26"/>
      <c r="N967" s="26"/>
      <c r="O967" s="26"/>
      <c r="P967" s="26"/>
      <c r="Q967" s="26"/>
      <c r="R967" s="26"/>
    </row>
    <row r="968" spans="9:18" x14ac:dyDescent="0.25">
      <c r="I968" s="46"/>
      <c r="J968" s="26"/>
      <c r="K968" s="26"/>
      <c r="L968" s="26"/>
      <c r="M968" s="26"/>
      <c r="N968" s="26"/>
      <c r="O968" s="26"/>
      <c r="P968" s="26"/>
      <c r="Q968" s="26"/>
      <c r="R968" s="26"/>
    </row>
    <row r="969" spans="9:18" x14ac:dyDescent="0.25">
      <c r="I969" s="46"/>
      <c r="J969" s="26"/>
      <c r="K969" s="26"/>
      <c r="L969" s="26"/>
      <c r="M969" s="26"/>
      <c r="N969" s="26"/>
      <c r="O969" s="26"/>
      <c r="P969" s="26"/>
      <c r="Q969" s="26"/>
      <c r="R969" s="26"/>
    </row>
    <row r="970" spans="9:18" x14ac:dyDescent="0.25">
      <c r="I970" s="46"/>
      <c r="J970" s="26"/>
      <c r="K970" s="26"/>
      <c r="L970" s="26"/>
      <c r="M970" s="26"/>
      <c r="N970" s="26"/>
      <c r="O970" s="26"/>
      <c r="P970" s="26"/>
      <c r="Q970" s="26"/>
      <c r="R970" s="26"/>
    </row>
    <row r="971" spans="9:18" x14ac:dyDescent="0.25">
      <c r="I971" s="46"/>
      <c r="J971" s="26"/>
      <c r="K971" s="26"/>
      <c r="L971" s="26"/>
      <c r="M971" s="26"/>
      <c r="N971" s="26"/>
      <c r="O971" s="26"/>
      <c r="P971" s="26"/>
      <c r="Q971" s="26"/>
      <c r="R971" s="26"/>
    </row>
    <row r="972" spans="9:18" x14ac:dyDescent="0.25">
      <c r="I972" s="46"/>
      <c r="J972" s="26"/>
      <c r="K972" s="26"/>
      <c r="L972" s="26"/>
      <c r="M972" s="26"/>
      <c r="N972" s="26"/>
      <c r="O972" s="26"/>
      <c r="P972" s="26"/>
      <c r="Q972" s="26"/>
      <c r="R972" s="26"/>
    </row>
    <row r="973" spans="9:18" x14ac:dyDescent="0.25">
      <c r="I973" s="46"/>
      <c r="J973" s="26"/>
      <c r="K973" s="26"/>
      <c r="L973" s="26"/>
      <c r="M973" s="26"/>
      <c r="N973" s="26"/>
      <c r="O973" s="26"/>
      <c r="P973" s="26"/>
      <c r="Q973" s="26"/>
      <c r="R973" s="26"/>
    </row>
    <row r="974" spans="9:18" x14ac:dyDescent="0.25">
      <c r="I974" s="46"/>
      <c r="J974" s="26"/>
      <c r="K974" s="26"/>
      <c r="L974" s="26"/>
      <c r="M974" s="26"/>
      <c r="N974" s="26"/>
      <c r="O974" s="26"/>
      <c r="P974" s="26"/>
      <c r="Q974" s="26"/>
      <c r="R974" s="26"/>
    </row>
    <row r="975" spans="9:18" x14ac:dyDescent="0.25">
      <c r="I975" s="46"/>
      <c r="J975" s="26"/>
      <c r="K975" s="26"/>
      <c r="L975" s="26"/>
      <c r="M975" s="26"/>
      <c r="N975" s="26"/>
      <c r="O975" s="26"/>
      <c r="P975" s="26"/>
      <c r="Q975" s="26"/>
      <c r="R975" s="26"/>
    </row>
    <row r="976" spans="9:18" x14ac:dyDescent="0.25">
      <c r="I976" s="46"/>
      <c r="J976" s="26"/>
      <c r="K976" s="26"/>
      <c r="L976" s="26"/>
      <c r="M976" s="26"/>
      <c r="N976" s="26"/>
      <c r="O976" s="26"/>
      <c r="P976" s="26"/>
      <c r="Q976" s="26"/>
      <c r="R976" s="26"/>
    </row>
    <row r="977" spans="9:18" x14ac:dyDescent="0.25">
      <c r="I977" s="46"/>
      <c r="J977" s="26"/>
      <c r="K977" s="26"/>
      <c r="L977" s="26"/>
      <c r="M977" s="26"/>
      <c r="N977" s="26"/>
      <c r="O977" s="26"/>
      <c r="P977" s="26"/>
      <c r="Q977" s="26"/>
      <c r="R977" s="26"/>
    </row>
    <row r="978" spans="9:18" x14ac:dyDescent="0.25">
      <c r="I978" s="46"/>
      <c r="J978" s="26"/>
      <c r="K978" s="26"/>
      <c r="L978" s="26"/>
      <c r="M978" s="26"/>
      <c r="N978" s="26"/>
      <c r="O978" s="26"/>
      <c r="P978" s="26"/>
      <c r="Q978" s="26"/>
      <c r="R978" s="26"/>
    </row>
    <row r="979" spans="9:18" x14ac:dyDescent="0.25">
      <c r="I979" s="46"/>
      <c r="J979" s="26"/>
      <c r="K979" s="26"/>
      <c r="L979" s="26"/>
      <c r="M979" s="26"/>
      <c r="N979" s="26"/>
      <c r="O979" s="26"/>
      <c r="P979" s="26"/>
      <c r="Q979" s="26"/>
      <c r="R979" s="26"/>
    </row>
    <row r="980" spans="9:18" x14ac:dyDescent="0.25">
      <c r="I980" s="46"/>
      <c r="J980" s="26"/>
      <c r="K980" s="26"/>
      <c r="L980" s="26"/>
      <c r="M980" s="26"/>
      <c r="N980" s="26"/>
      <c r="O980" s="26"/>
      <c r="P980" s="26"/>
      <c r="Q980" s="26"/>
      <c r="R980" s="26"/>
    </row>
    <row r="981" spans="9:18" x14ac:dyDescent="0.25">
      <c r="I981" s="46"/>
      <c r="J981" s="26"/>
      <c r="K981" s="26"/>
      <c r="L981" s="26"/>
      <c r="M981" s="26"/>
      <c r="N981" s="26"/>
      <c r="O981" s="26"/>
      <c r="P981" s="26"/>
      <c r="Q981" s="26"/>
      <c r="R981" s="26"/>
    </row>
    <row r="982" spans="9:18" x14ac:dyDescent="0.25">
      <c r="I982" s="46"/>
      <c r="J982" s="26"/>
      <c r="K982" s="26"/>
      <c r="L982" s="26"/>
      <c r="M982" s="26"/>
      <c r="N982" s="26"/>
      <c r="O982" s="26"/>
      <c r="P982" s="26"/>
      <c r="Q982" s="26"/>
      <c r="R982" s="26"/>
    </row>
    <row r="983" spans="9:18" x14ac:dyDescent="0.25">
      <c r="I983" s="46"/>
      <c r="J983" s="26"/>
      <c r="K983" s="26"/>
      <c r="L983" s="26"/>
      <c r="M983" s="26"/>
      <c r="N983" s="26"/>
      <c r="O983" s="26"/>
      <c r="P983" s="26"/>
      <c r="Q983" s="26"/>
      <c r="R983" s="26"/>
    </row>
    <row r="984" spans="9:18" x14ac:dyDescent="0.25">
      <c r="I984" s="46"/>
      <c r="J984" s="26"/>
      <c r="K984" s="26"/>
      <c r="L984" s="26"/>
      <c r="M984" s="26"/>
      <c r="N984" s="26"/>
      <c r="O984" s="26"/>
      <c r="P984" s="26"/>
      <c r="Q984" s="26"/>
      <c r="R984" s="26"/>
    </row>
    <row r="985" spans="9:18" x14ac:dyDescent="0.25">
      <c r="I985" s="46"/>
      <c r="J985" s="26"/>
      <c r="K985" s="26"/>
      <c r="L985" s="26"/>
      <c r="M985" s="26"/>
      <c r="N985" s="26"/>
      <c r="O985" s="26"/>
      <c r="P985" s="26"/>
      <c r="Q985" s="26"/>
      <c r="R985" s="26"/>
    </row>
    <row r="986" spans="9:18" x14ac:dyDescent="0.25">
      <c r="I986" s="46"/>
      <c r="J986" s="26"/>
      <c r="K986" s="26"/>
      <c r="L986" s="26"/>
      <c r="M986" s="26"/>
      <c r="N986" s="26"/>
      <c r="O986" s="26"/>
      <c r="P986" s="26"/>
      <c r="Q986" s="26"/>
      <c r="R986" s="26"/>
    </row>
    <row r="987" spans="9:18" x14ac:dyDescent="0.25">
      <c r="I987" s="46"/>
      <c r="J987" s="26"/>
      <c r="K987" s="26"/>
      <c r="L987" s="26"/>
      <c r="M987" s="26"/>
      <c r="N987" s="26"/>
      <c r="O987" s="26"/>
      <c r="P987" s="26"/>
      <c r="Q987" s="26"/>
      <c r="R987" s="26"/>
    </row>
    <row r="988" spans="9:18" x14ac:dyDescent="0.25">
      <c r="I988" s="46"/>
      <c r="J988" s="26"/>
      <c r="K988" s="26"/>
      <c r="L988" s="26"/>
      <c r="M988" s="26"/>
      <c r="N988" s="26"/>
      <c r="O988" s="26"/>
      <c r="P988" s="26"/>
      <c r="Q988" s="26"/>
      <c r="R988" s="26"/>
    </row>
    <row r="989" spans="9:18" x14ac:dyDescent="0.25">
      <c r="I989" s="46"/>
      <c r="J989" s="26"/>
      <c r="K989" s="26"/>
      <c r="L989" s="26"/>
      <c r="M989" s="26"/>
      <c r="N989" s="26"/>
      <c r="O989" s="26"/>
      <c r="P989" s="26"/>
      <c r="Q989" s="26"/>
      <c r="R989" s="26"/>
    </row>
    <row r="990" spans="9:18" x14ac:dyDescent="0.25">
      <c r="I990" s="46"/>
      <c r="J990" s="26"/>
      <c r="K990" s="26"/>
      <c r="L990" s="26"/>
      <c r="M990" s="26"/>
      <c r="N990" s="26"/>
      <c r="O990" s="26"/>
      <c r="P990" s="26"/>
      <c r="Q990" s="26"/>
      <c r="R990" s="26"/>
    </row>
    <row r="991" spans="9:18" x14ac:dyDescent="0.25">
      <c r="I991" s="46"/>
      <c r="J991" s="26"/>
      <c r="K991" s="26"/>
      <c r="L991" s="26"/>
      <c r="M991" s="26"/>
      <c r="N991" s="26"/>
      <c r="O991" s="26"/>
      <c r="P991" s="26"/>
      <c r="Q991" s="26"/>
      <c r="R991" s="26"/>
    </row>
    <row r="992" spans="9:18" x14ac:dyDescent="0.25">
      <c r="I992" s="46"/>
      <c r="J992" s="26"/>
      <c r="K992" s="26"/>
      <c r="L992" s="26"/>
      <c r="M992" s="26"/>
      <c r="N992" s="26"/>
      <c r="O992" s="26"/>
      <c r="P992" s="26"/>
      <c r="Q992" s="26"/>
      <c r="R992" s="26"/>
    </row>
    <row r="993" spans="9:18" x14ac:dyDescent="0.25">
      <c r="I993" s="46"/>
      <c r="J993" s="26"/>
      <c r="K993" s="26"/>
      <c r="L993" s="26"/>
      <c r="M993" s="26"/>
      <c r="N993" s="26"/>
      <c r="O993" s="26"/>
      <c r="P993" s="26"/>
      <c r="Q993" s="26"/>
      <c r="R993" s="26"/>
    </row>
    <row r="994" spans="9:18" x14ac:dyDescent="0.25">
      <c r="I994" s="46"/>
      <c r="J994" s="26"/>
      <c r="K994" s="26"/>
      <c r="L994" s="26"/>
      <c r="M994" s="26"/>
      <c r="N994" s="26"/>
      <c r="O994" s="26"/>
      <c r="P994" s="26"/>
      <c r="Q994" s="26"/>
      <c r="R994" s="26"/>
    </row>
    <row r="995" spans="9:18" x14ac:dyDescent="0.25">
      <c r="I995" s="46"/>
      <c r="J995" s="26"/>
      <c r="K995" s="26"/>
      <c r="L995" s="26"/>
      <c r="M995" s="26"/>
      <c r="N995" s="26"/>
      <c r="O995" s="26"/>
      <c r="P995" s="26"/>
      <c r="Q995" s="26"/>
      <c r="R995" s="26"/>
    </row>
    <row r="996" spans="9:18" x14ac:dyDescent="0.25">
      <c r="I996" s="46"/>
      <c r="J996" s="26"/>
      <c r="K996" s="26"/>
      <c r="L996" s="26"/>
      <c r="M996" s="26"/>
      <c r="N996" s="26"/>
      <c r="O996" s="26"/>
      <c r="P996" s="26"/>
      <c r="Q996" s="26"/>
      <c r="R996" s="26"/>
    </row>
    <row r="997" spans="9:18" x14ac:dyDescent="0.25">
      <c r="I997" s="46"/>
      <c r="J997" s="26"/>
      <c r="K997" s="26"/>
      <c r="L997" s="26"/>
      <c r="M997" s="26"/>
      <c r="N997" s="26"/>
      <c r="O997" s="26"/>
      <c r="P997" s="26"/>
      <c r="Q997" s="26"/>
      <c r="R997" s="26"/>
    </row>
    <row r="998" spans="9:18" x14ac:dyDescent="0.25">
      <c r="I998" s="46"/>
      <c r="J998" s="26"/>
      <c r="K998" s="26"/>
      <c r="L998" s="26"/>
      <c r="M998" s="26"/>
      <c r="N998" s="26"/>
      <c r="O998" s="26"/>
      <c r="P998" s="26"/>
      <c r="Q998" s="26"/>
      <c r="R998" s="26"/>
    </row>
    <row r="999" spans="9:18" x14ac:dyDescent="0.25">
      <c r="I999" s="46"/>
      <c r="J999" s="26"/>
      <c r="K999" s="26"/>
      <c r="L999" s="26"/>
      <c r="M999" s="26"/>
      <c r="N999" s="26"/>
      <c r="O999" s="26"/>
      <c r="P999" s="26"/>
      <c r="Q999" s="26"/>
      <c r="R999" s="26"/>
    </row>
    <row r="1000" spans="9:18" x14ac:dyDescent="0.25">
      <c r="I1000" s="46"/>
      <c r="J1000" s="26"/>
      <c r="K1000" s="26"/>
      <c r="L1000" s="26"/>
      <c r="M1000" s="26"/>
      <c r="N1000" s="26"/>
      <c r="O1000" s="26"/>
      <c r="P1000" s="26"/>
      <c r="Q1000" s="26"/>
      <c r="R1000" s="26"/>
    </row>
    <row r="1001" spans="9:18" x14ac:dyDescent="0.25">
      <c r="I1001" s="46"/>
      <c r="J1001" s="26"/>
      <c r="K1001" s="26"/>
      <c r="L1001" s="26"/>
      <c r="M1001" s="26"/>
      <c r="N1001" s="26"/>
      <c r="O1001" s="26"/>
      <c r="P1001" s="26"/>
      <c r="Q1001" s="26"/>
      <c r="R1001" s="26"/>
    </row>
    <row r="1002" spans="9:18" x14ac:dyDescent="0.25">
      <c r="I1002" s="46"/>
      <c r="J1002" s="26"/>
      <c r="K1002" s="26"/>
      <c r="L1002" s="26"/>
      <c r="M1002" s="26"/>
      <c r="N1002" s="26"/>
      <c r="O1002" s="26"/>
      <c r="P1002" s="26"/>
      <c r="Q1002" s="26"/>
      <c r="R1002" s="26"/>
    </row>
    <row r="1003" spans="9:18" x14ac:dyDescent="0.25">
      <c r="I1003" s="46"/>
      <c r="J1003" s="26"/>
      <c r="K1003" s="26"/>
      <c r="L1003" s="26"/>
      <c r="M1003" s="26"/>
      <c r="N1003" s="26"/>
      <c r="O1003" s="26"/>
      <c r="P1003" s="26"/>
      <c r="Q1003" s="26"/>
      <c r="R1003" s="26"/>
    </row>
    <row r="1004" spans="9:18" x14ac:dyDescent="0.25">
      <c r="I1004" s="46"/>
      <c r="J1004" s="26"/>
      <c r="K1004" s="26"/>
      <c r="L1004" s="26"/>
      <c r="M1004" s="26"/>
      <c r="N1004" s="26"/>
      <c r="O1004" s="26"/>
      <c r="P1004" s="26"/>
      <c r="Q1004" s="26"/>
      <c r="R1004" s="26"/>
    </row>
    <row r="1005" spans="9:18" x14ac:dyDescent="0.25">
      <c r="I1005" s="46"/>
      <c r="J1005" s="26"/>
      <c r="K1005" s="26"/>
      <c r="L1005" s="26"/>
      <c r="M1005" s="26"/>
      <c r="N1005" s="26"/>
      <c r="O1005" s="26"/>
      <c r="P1005" s="26"/>
      <c r="Q1005" s="26"/>
      <c r="R1005" s="26"/>
    </row>
    <row r="1006" spans="9:18" x14ac:dyDescent="0.25">
      <c r="I1006" s="46"/>
      <c r="J1006" s="26"/>
      <c r="K1006" s="26"/>
      <c r="L1006" s="26"/>
      <c r="M1006" s="26"/>
      <c r="N1006" s="26"/>
      <c r="O1006" s="26"/>
      <c r="P1006" s="26"/>
      <c r="Q1006" s="26"/>
      <c r="R1006" s="26"/>
    </row>
    <row r="1007" spans="9:18" x14ac:dyDescent="0.25">
      <c r="I1007" s="46"/>
      <c r="J1007" s="26"/>
      <c r="K1007" s="26"/>
      <c r="L1007" s="26"/>
      <c r="M1007" s="26"/>
      <c r="N1007" s="26"/>
      <c r="O1007" s="26"/>
      <c r="P1007" s="26"/>
      <c r="Q1007" s="26"/>
      <c r="R1007" s="26"/>
    </row>
    <row r="1008" spans="9:18" x14ac:dyDescent="0.25">
      <c r="I1008" s="46"/>
      <c r="J1008" s="26"/>
      <c r="K1008" s="26"/>
      <c r="L1008" s="26"/>
      <c r="M1008" s="26"/>
      <c r="N1008" s="26"/>
      <c r="O1008" s="26"/>
      <c r="P1008" s="26"/>
      <c r="Q1008" s="26"/>
      <c r="R1008" s="26"/>
    </row>
    <row r="1009" spans="9:18" x14ac:dyDescent="0.25">
      <c r="I1009" s="46"/>
      <c r="J1009" s="26"/>
      <c r="K1009" s="26"/>
      <c r="L1009" s="26"/>
      <c r="M1009" s="26"/>
      <c r="N1009" s="26"/>
      <c r="O1009" s="26"/>
      <c r="P1009" s="26"/>
      <c r="Q1009" s="26"/>
      <c r="R1009" s="26"/>
    </row>
    <row r="1010" spans="9:18" x14ac:dyDescent="0.25">
      <c r="I1010" s="46"/>
      <c r="J1010" s="26"/>
      <c r="K1010" s="26"/>
      <c r="L1010" s="26"/>
      <c r="M1010" s="26"/>
      <c r="N1010" s="26"/>
      <c r="O1010" s="26"/>
      <c r="P1010" s="26"/>
      <c r="Q1010" s="26"/>
      <c r="R1010" s="26"/>
    </row>
    <row r="1011" spans="9:18" x14ac:dyDescent="0.25">
      <c r="I1011" s="46"/>
      <c r="J1011" s="26"/>
      <c r="K1011" s="26"/>
      <c r="L1011" s="26"/>
      <c r="M1011" s="26"/>
      <c r="N1011" s="26"/>
      <c r="O1011" s="26"/>
      <c r="P1011" s="26"/>
      <c r="Q1011" s="26"/>
      <c r="R1011" s="26"/>
    </row>
    <row r="1012" spans="9:18" x14ac:dyDescent="0.25">
      <c r="I1012" s="46"/>
      <c r="J1012" s="26"/>
      <c r="K1012" s="26"/>
      <c r="L1012" s="26"/>
      <c r="M1012" s="26"/>
      <c r="N1012" s="26"/>
      <c r="O1012" s="26"/>
      <c r="P1012" s="26"/>
      <c r="Q1012" s="26"/>
      <c r="R1012" s="26"/>
    </row>
    <row r="1013" spans="9:18" x14ac:dyDescent="0.25">
      <c r="I1013" s="46"/>
      <c r="J1013" s="26"/>
      <c r="K1013" s="26"/>
      <c r="L1013" s="26"/>
      <c r="M1013" s="26"/>
      <c r="N1013" s="26"/>
      <c r="O1013" s="26"/>
      <c r="P1013" s="26"/>
      <c r="Q1013" s="26"/>
      <c r="R1013" s="26"/>
    </row>
    <row r="1014" spans="9:18" x14ac:dyDescent="0.25">
      <c r="I1014" s="46"/>
      <c r="J1014" s="26"/>
      <c r="K1014" s="26"/>
      <c r="L1014" s="26"/>
      <c r="M1014" s="26"/>
      <c r="N1014" s="26"/>
      <c r="O1014" s="26"/>
      <c r="P1014" s="26"/>
      <c r="Q1014" s="26"/>
      <c r="R1014" s="26"/>
    </row>
    <row r="1015" spans="9:18" x14ac:dyDescent="0.25">
      <c r="I1015" s="46"/>
      <c r="J1015" s="26"/>
      <c r="K1015" s="26"/>
      <c r="L1015" s="26"/>
      <c r="M1015" s="26"/>
      <c r="N1015" s="26"/>
      <c r="O1015" s="26"/>
      <c r="P1015" s="26"/>
      <c r="Q1015" s="26"/>
      <c r="R1015" s="26"/>
    </row>
    <row r="1016" spans="9:18" x14ac:dyDescent="0.25">
      <c r="I1016" s="46"/>
      <c r="J1016" s="26"/>
      <c r="K1016" s="26"/>
      <c r="L1016" s="26"/>
      <c r="M1016" s="26"/>
      <c r="N1016" s="26"/>
      <c r="O1016" s="26"/>
      <c r="P1016" s="26"/>
      <c r="Q1016" s="26"/>
      <c r="R1016" s="26"/>
    </row>
    <row r="1017" spans="9:18" x14ac:dyDescent="0.25">
      <c r="I1017" s="46"/>
      <c r="J1017" s="26"/>
      <c r="K1017" s="26"/>
      <c r="L1017" s="26"/>
      <c r="M1017" s="26"/>
      <c r="N1017" s="26"/>
      <c r="O1017" s="26"/>
      <c r="P1017" s="26"/>
      <c r="Q1017" s="26"/>
      <c r="R1017" s="26"/>
    </row>
    <row r="1018" spans="9:18" x14ac:dyDescent="0.25">
      <c r="I1018" s="46"/>
      <c r="J1018" s="26"/>
      <c r="K1018" s="26"/>
      <c r="L1018" s="26"/>
      <c r="M1018" s="26"/>
      <c r="N1018" s="26"/>
      <c r="O1018" s="26"/>
      <c r="P1018" s="26"/>
      <c r="Q1018" s="26"/>
      <c r="R1018" s="26"/>
    </row>
    <row r="1019" spans="9:18" x14ac:dyDescent="0.25">
      <c r="I1019" s="46"/>
      <c r="J1019" s="26"/>
      <c r="K1019" s="26"/>
      <c r="L1019" s="26"/>
      <c r="M1019" s="26"/>
      <c r="N1019" s="26"/>
      <c r="O1019" s="26"/>
      <c r="P1019" s="26"/>
      <c r="Q1019" s="26"/>
      <c r="R1019" s="26"/>
    </row>
    <row r="1020" spans="9:18" x14ac:dyDescent="0.25">
      <c r="I1020" s="46"/>
      <c r="J1020" s="26"/>
      <c r="K1020" s="26"/>
      <c r="L1020" s="26"/>
      <c r="M1020" s="26"/>
      <c r="N1020" s="26"/>
      <c r="O1020" s="26"/>
      <c r="P1020" s="26"/>
      <c r="Q1020" s="26"/>
      <c r="R1020" s="26"/>
    </row>
    <row r="1021" spans="9:18" x14ac:dyDescent="0.25">
      <c r="I1021" s="46"/>
      <c r="J1021" s="26"/>
      <c r="K1021" s="26"/>
      <c r="L1021" s="26"/>
      <c r="M1021" s="26"/>
      <c r="N1021" s="26"/>
      <c r="O1021" s="26"/>
      <c r="P1021" s="26"/>
      <c r="Q1021" s="26"/>
      <c r="R1021" s="26"/>
    </row>
    <row r="1022" spans="9:18" x14ac:dyDescent="0.25">
      <c r="I1022" s="46"/>
      <c r="J1022" s="26"/>
      <c r="K1022" s="26"/>
      <c r="L1022" s="26"/>
      <c r="M1022" s="26"/>
      <c r="N1022" s="26"/>
      <c r="O1022" s="26"/>
      <c r="P1022" s="26"/>
      <c r="Q1022" s="26"/>
      <c r="R1022" s="26"/>
    </row>
    <row r="1023" spans="9:18" x14ac:dyDescent="0.25">
      <c r="I1023" s="46"/>
      <c r="J1023" s="26"/>
      <c r="K1023" s="26"/>
      <c r="L1023" s="26"/>
      <c r="M1023" s="26"/>
      <c r="N1023" s="26"/>
      <c r="O1023" s="26"/>
      <c r="P1023" s="26"/>
      <c r="Q1023" s="26"/>
      <c r="R1023" s="26"/>
    </row>
    <row r="1024" spans="9:18" x14ac:dyDescent="0.25">
      <c r="I1024" s="46"/>
      <c r="J1024" s="26"/>
      <c r="K1024" s="26"/>
      <c r="L1024" s="26"/>
      <c r="M1024" s="26"/>
      <c r="N1024" s="26"/>
      <c r="O1024" s="26"/>
      <c r="P1024" s="26"/>
      <c r="Q1024" s="26"/>
      <c r="R1024" s="26"/>
    </row>
    <row r="1025" spans="9:18" x14ac:dyDescent="0.25">
      <c r="I1025" s="46"/>
      <c r="J1025" s="26"/>
      <c r="K1025" s="26"/>
      <c r="L1025" s="26"/>
      <c r="M1025" s="26"/>
      <c r="N1025" s="26"/>
      <c r="O1025" s="26"/>
      <c r="P1025" s="26"/>
      <c r="Q1025" s="26"/>
      <c r="R1025" s="26"/>
    </row>
    <row r="1026" spans="9:18" x14ac:dyDescent="0.25">
      <c r="I1026" s="46"/>
      <c r="J1026" s="26"/>
      <c r="K1026" s="26"/>
      <c r="L1026" s="26"/>
      <c r="M1026" s="26"/>
      <c r="N1026" s="26"/>
      <c r="O1026" s="26"/>
      <c r="P1026" s="26"/>
      <c r="Q1026" s="26"/>
      <c r="R1026" s="26"/>
    </row>
    <row r="1027" spans="9:18" x14ac:dyDescent="0.25">
      <c r="I1027" s="46"/>
      <c r="J1027" s="26"/>
      <c r="K1027" s="26"/>
      <c r="L1027" s="26"/>
      <c r="M1027" s="26"/>
      <c r="N1027" s="26"/>
      <c r="O1027" s="26"/>
      <c r="P1027" s="26"/>
      <c r="Q1027" s="26"/>
      <c r="R1027" s="26"/>
    </row>
    <row r="1028" spans="9:18" x14ac:dyDescent="0.25">
      <c r="I1028" s="46"/>
      <c r="J1028" s="26"/>
      <c r="K1028" s="26"/>
      <c r="L1028" s="26"/>
      <c r="M1028" s="26"/>
      <c r="N1028" s="26"/>
      <c r="O1028" s="26"/>
      <c r="P1028" s="26"/>
      <c r="Q1028" s="26"/>
      <c r="R1028" s="26"/>
    </row>
    <row r="1029" spans="9:18" x14ac:dyDescent="0.25">
      <c r="I1029" s="46"/>
      <c r="J1029" s="26"/>
      <c r="K1029" s="26"/>
      <c r="L1029" s="26"/>
      <c r="M1029" s="26"/>
      <c r="N1029" s="26"/>
      <c r="O1029" s="26"/>
      <c r="P1029" s="26"/>
      <c r="Q1029" s="26"/>
      <c r="R1029" s="26"/>
    </row>
    <row r="1030" spans="9:18" x14ac:dyDescent="0.25">
      <c r="I1030" s="46"/>
      <c r="J1030" s="26"/>
      <c r="K1030" s="26"/>
      <c r="L1030" s="26"/>
      <c r="M1030" s="26"/>
      <c r="N1030" s="26"/>
      <c r="O1030" s="26"/>
      <c r="P1030" s="26"/>
      <c r="Q1030" s="26"/>
      <c r="R1030" s="26"/>
    </row>
    <row r="1031" spans="9:18" x14ac:dyDescent="0.25">
      <c r="I1031" s="46"/>
      <c r="J1031" s="26"/>
      <c r="K1031" s="26"/>
      <c r="L1031" s="26"/>
      <c r="M1031" s="26"/>
      <c r="N1031" s="26"/>
      <c r="O1031" s="26"/>
      <c r="P1031" s="26"/>
      <c r="Q1031" s="26"/>
      <c r="R1031" s="26"/>
    </row>
    <row r="1032" spans="9:18" x14ac:dyDescent="0.25">
      <c r="I1032" s="46"/>
      <c r="J1032" s="26"/>
      <c r="K1032" s="26"/>
      <c r="L1032" s="26"/>
      <c r="M1032" s="26"/>
      <c r="N1032" s="26"/>
      <c r="O1032" s="26"/>
      <c r="P1032" s="26"/>
      <c r="Q1032" s="26"/>
      <c r="R1032" s="26"/>
    </row>
    <row r="1033" spans="9:18" x14ac:dyDescent="0.25">
      <c r="I1033" s="46"/>
      <c r="J1033" s="26"/>
      <c r="K1033" s="26"/>
      <c r="L1033" s="26"/>
      <c r="M1033" s="26"/>
      <c r="N1033" s="26"/>
      <c r="O1033" s="26"/>
      <c r="P1033" s="26"/>
      <c r="Q1033" s="26"/>
      <c r="R1033" s="26"/>
    </row>
    <row r="1034" spans="9:18" x14ac:dyDescent="0.25">
      <c r="I1034" s="46"/>
      <c r="J1034" s="26"/>
      <c r="K1034" s="26"/>
      <c r="L1034" s="26"/>
      <c r="M1034" s="26"/>
      <c r="N1034" s="26"/>
      <c r="O1034" s="26"/>
      <c r="P1034" s="26"/>
      <c r="Q1034" s="26"/>
      <c r="R1034" s="26"/>
    </row>
    <row r="1035" spans="9:18" x14ac:dyDescent="0.25">
      <c r="I1035" s="46"/>
      <c r="J1035" s="26"/>
      <c r="K1035" s="26"/>
      <c r="L1035" s="26"/>
      <c r="M1035" s="26"/>
      <c r="N1035" s="26"/>
      <c r="O1035" s="26"/>
      <c r="P1035" s="26"/>
      <c r="Q1035" s="26"/>
      <c r="R1035" s="26"/>
    </row>
    <row r="1036" spans="9:18" x14ac:dyDescent="0.25">
      <c r="I1036" s="46"/>
      <c r="J1036" s="26"/>
      <c r="K1036" s="26"/>
      <c r="L1036" s="26"/>
      <c r="M1036" s="26"/>
      <c r="N1036" s="26"/>
      <c r="O1036" s="26"/>
      <c r="P1036" s="26"/>
      <c r="Q1036" s="26"/>
      <c r="R1036" s="26"/>
    </row>
    <row r="1037" spans="9:18" x14ac:dyDescent="0.25">
      <c r="I1037" s="46"/>
      <c r="J1037" s="26"/>
      <c r="K1037" s="26"/>
      <c r="L1037" s="26"/>
      <c r="M1037" s="26"/>
      <c r="N1037" s="26"/>
      <c r="O1037" s="26"/>
      <c r="P1037" s="26"/>
      <c r="Q1037" s="26"/>
      <c r="R1037" s="26"/>
    </row>
    <row r="1038" spans="9:18" x14ac:dyDescent="0.25">
      <c r="I1038" s="46"/>
      <c r="J1038" s="26"/>
      <c r="K1038" s="26"/>
      <c r="L1038" s="26"/>
      <c r="M1038" s="26"/>
      <c r="N1038" s="26"/>
      <c r="O1038" s="26"/>
      <c r="P1038" s="26"/>
      <c r="Q1038" s="26"/>
      <c r="R1038" s="26"/>
    </row>
    <row r="1039" spans="9:18" x14ac:dyDescent="0.25">
      <c r="I1039" s="46"/>
      <c r="J1039" s="26"/>
      <c r="K1039" s="26"/>
      <c r="L1039" s="26"/>
      <c r="M1039" s="26"/>
      <c r="N1039" s="26"/>
      <c r="O1039" s="26"/>
      <c r="P1039" s="26"/>
      <c r="Q1039" s="26"/>
      <c r="R1039" s="26"/>
    </row>
    <row r="1040" spans="9:18" x14ac:dyDescent="0.25">
      <c r="I1040" s="46"/>
      <c r="J1040" s="26"/>
      <c r="K1040" s="26"/>
      <c r="L1040" s="26"/>
      <c r="M1040" s="26"/>
      <c r="N1040" s="26"/>
      <c r="O1040" s="26"/>
      <c r="P1040" s="26"/>
      <c r="Q1040" s="26"/>
      <c r="R1040" s="26"/>
    </row>
    <row r="1041" spans="9:18" x14ac:dyDescent="0.25">
      <c r="I1041" s="46"/>
      <c r="J1041" s="26"/>
      <c r="K1041" s="26"/>
      <c r="L1041" s="26"/>
      <c r="M1041" s="26"/>
      <c r="N1041" s="26"/>
      <c r="O1041" s="26"/>
      <c r="P1041" s="26"/>
      <c r="Q1041" s="26"/>
      <c r="R1041" s="26"/>
    </row>
    <row r="1042" spans="9:18" x14ac:dyDescent="0.25">
      <c r="I1042" s="46"/>
      <c r="J1042" s="26"/>
      <c r="K1042" s="26"/>
      <c r="L1042" s="26"/>
      <c r="M1042" s="26"/>
      <c r="N1042" s="26"/>
      <c r="O1042" s="26"/>
      <c r="P1042" s="26"/>
      <c r="Q1042" s="26"/>
      <c r="R1042" s="26"/>
    </row>
    <row r="1043" spans="9:18" x14ac:dyDescent="0.25">
      <c r="I1043" s="46"/>
      <c r="J1043" s="26"/>
      <c r="K1043" s="26"/>
      <c r="L1043" s="26"/>
      <c r="M1043" s="26"/>
      <c r="N1043" s="26"/>
      <c r="O1043" s="26"/>
      <c r="P1043" s="26"/>
      <c r="Q1043" s="26"/>
      <c r="R1043" s="26"/>
    </row>
    <row r="1044" spans="9:18" x14ac:dyDescent="0.25">
      <c r="I1044" s="4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9:18" x14ac:dyDescent="0.25">
      <c r="I1045" s="46"/>
      <c r="J1045" s="26"/>
      <c r="K1045" s="26"/>
      <c r="L1045" s="26"/>
      <c r="M1045" s="26"/>
      <c r="N1045" s="26"/>
      <c r="O1045" s="26"/>
      <c r="P1045" s="26"/>
      <c r="Q1045" s="26"/>
      <c r="R1045" s="26"/>
    </row>
    <row r="1046" spans="9:18" x14ac:dyDescent="0.25">
      <c r="I1046" s="46"/>
      <c r="J1046" s="26"/>
      <c r="K1046" s="26"/>
      <c r="L1046" s="26"/>
      <c r="M1046" s="26"/>
      <c r="N1046" s="26"/>
      <c r="O1046" s="26"/>
      <c r="P1046" s="26"/>
      <c r="Q1046" s="26"/>
      <c r="R1046" s="26"/>
    </row>
    <row r="1047" spans="9:18" x14ac:dyDescent="0.25">
      <c r="I1047" s="46"/>
      <c r="J1047" s="26"/>
      <c r="K1047" s="26"/>
      <c r="L1047" s="26"/>
      <c r="M1047" s="26"/>
      <c r="N1047" s="26"/>
      <c r="O1047" s="26"/>
      <c r="P1047" s="26"/>
      <c r="Q1047" s="26"/>
      <c r="R1047" s="26"/>
    </row>
    <row r="1048" spans="9:18" x14ac:dyDescent="0.25">
      <c r="I1048" s="46"/>
      <c r="J1048" s="26"/>
      <c r="K1048" s="26"/>
      <c r="L1048" s="26"/>
      <c r="M1048" s="26"/>
      <c r="N1048" s="26"/>
      <c r="O1048" s="26"/>
      <c r="P1048" s="26"/>
      <c r="Q1048" s="26"/>
      <c r="R1048" s="26"/>
    </row>
    <row r="1049" spans="9:18" x14ac:dyDescent="0.25">
      <c r="I1049" s="46"/>
      <c r="J1049" s="26"/>
      <c r="K1049" s="26"/>
      <c r="L1049" s="26"/>
      <c r="M1049" s="26"/>
      <c r="N1049" s="26"/>
      <c r="O1049" s="26"/>
      <c r="P1049" s="26"/>
      <c r="Q1049" s="26"/>
      <c r="R1049" s="26"/>
    </row>
    <row r="1050" spans="9:18" x14ac:dyDescent="0.25">
      <c r="I1050" s="46"/>
      <c r="J1050" s="26"/>
      <c r="K1050" s="26"/>
      <c r="L1050" s="26"/>
      <c r="M1050" s="26"/>
      <c r="N1050" s="26"/>
      <c r="O1050" s="26"/>
      <c r="P1050" s="26"/>
      <c r="Q1050" s="26"/>
      <c r="R1050" s="26"/>
    </row>
    <row r="1051" spans="9:18" x14ac:dyDescent="0.25">
      <c r="I1051" s="46"/>
      <c r="J1051" s="26"/>
      <c r="K1051" s="26"/>
      <c r="L1051" s="26"/>
      <c r="M1051" s="26"/>
      <c r="N1051" s="26"/>
      <c r="O1051" s="26"/>
      <c r="P1051" s="26"/>
      <c r="Q1051" s="26"/>
      <c r="R1051" s="26"/>
    </row>
    <row r="1052" spans="9:18" x14ac:dyDescent="0.25">
      <c r="I1052" s="46"/>
      <c r="J1052" s="26"/>
      <c r="K1052" s="26"/>
      <c r="L1052" s="26"/>
      <c r="M1052" s="26"/>
      <c r="N1052" s="26"/>
      <c r="O1052" s="26"/>
      <c r="P1052" s="26"/>
      <c r="Q1052" s="26"/>
      <c r="R1052" s="26"/>
    </row>
    <row r="1053" spans="9:18" x14ac:dyDescent="0.25">
      <c r="I1053" s="46"/>
      <c r="J1053" s="26"/>
      <c r="K1053" s="26"/>
      <c r="L1053" s="26"/>
      <c r="M1053" s="26"/>
      <c r="N1053" s="26"/>
      <c r="O1053" s="26"/>
      <c r="P1053" s="26"/>
      <c r="Q1053" s="26"/>
      <c r="R1053" s="26"/>
    </row>
    <row r="1054" spans="9:18" x14ac:dyDescent="0.25">
      <c r="I1054" s="46"/>
      <c r="J1054" s="26"/>
      <c r="K1054" s="26"/>
      <c r="L1054" s="26"/>
      <c r="M1054" s="26"/>
      <c r="N1054" s="26"/>
      <c r="O1054" s="26"/>
      <c r="P1054" s="26"/>
      <c r="Q1054" s="26"/>
      <c r="R1054" s="26"/>
    </row>
    <row r="1055" spans="9:18" x14ac:dyDescent="0.25">
      <c r="I1055" s="46"/>
      <c r="J1055" s="26"/>
      <c r="K1055" s="26"/>
      <c r="L1055" s="26"/>
      <c r="M1055" s="26"/>
      <c r="N1055" s="26"/>
      <c r="O1055" s="26"/>
      <c r="P1055" s="26"/>
      <c r="Q1055" s="26"/>
      <c r="R1055" s="26"/>
    </row>
    <row r="1056" spans="9:18" x14ac:dyDescent="0.25">
      <c r="I1056" s="46"/>
      <c r="J1056" s="26"/>
      <c r="K1056" s="26"/>
      <c r="L1056" s="26"/>
      <c r="M1056" s="26"/>
      <c r="N1056" s="26"/>
      <c r="O1056" s="26"/>
      <c r="P1056" s="26"/>
      <c r="Q1056" s="26"/>
      <c r="R1056" s="26"/>
    </row>
    <row r="1057" spans="9:18" x14ac:dyDescent="0.25">
      <c r="I1057" s="46"/>
      <c r="J1057" s="26"/>
      <c r="K1057" s="26"/>
      <c r="L1057" s="26"/>
      <c r="M1057" s="26"/>
      <c r="N1057" s="26"/>
      <c r="O1057" s="26"/>
      <c r="P1057" s="26"/>
      <c r="Q1057" s="26"/>
      <c r="R1057" s="26"/>
    </row>
    <row r="1058" spans="9:18" x14ac:dyDescent="0.25">
      <c r="I1058" s="46"/>
      <c r="J1058" s="26"/>
      <c r="K1058" s="26"/>
      <c r="L1058" s="26"/>
      <c r="M1058" s="26"/>
      <c r="N1058" s="26"/>
      <c r="O1058" s="26"/>
      <c r="P1058" s="26"/>
      <c r="Q1058" s="26"/>
      <c r="R1058" s="26"/>
    </row>
    <row r="1059" spans="9:18" x14ac:dyDescent="0.25">
      <c r="I1059" s="46"/>
      <c r="J1059" s="26"/>
      <c r="K1059" s="26"/>
      <c r="L1059" s="26"/>
      <c r="M1059" s="26"/>
      <c r="N1059" s="26"/>
      <c r="O1059" s="26"/>
      <c r="P1059" s="26"/>
      <c r="Q1059" s="26"/>
      <c r="R1059" s="26"/>
    </row>
    <row r="1060" spans="9:18" x14ac:dyDescent="0.25">
      <c r="I1060" s="46"/>
      <c r="J1060" s="26"/>
      <c r="K1060" s="26"/>
      <c r="L1060" s="26"/>
      <c r="M1060" s="26"/>
      <c r="N1060" s="26"/>
      <c r="O1060" s="26"/>
      <c r="P1060" s="26"/>
      <c r="Q1060" s="26"/>
      <c r="R1060" s="26"/>
    </row>
    <row r="1061" spans="9:18" x14ac:dyDescent="0.25">
      <c r="I1061" s="46"/>
      <c r="J1061" s="26"/>
      <c r="K1061" s="26"/>
      <c r="L1061" s="26"/>
      <c r="M1061" s="26"/>
      <c r="N1061" s="26"/>
      <c r="O1061" s="26"/>
      <c r="P1061" s="26"/>
      <c r="Q1061" s="26"/>
      <c r="R1061" s="26"/>
    </row>
    <row r="1062" spans="9:18" x14ac:dyDescent="0.25">
      <c r="I1062" s="46"/>
      <c r="J1062" s="26"/>
      <c r="K1062" s="26"/>
      <c r="L1062" s="26"/>
      <c r="M1062" s="26"/>
      <c r="N1062" s="26"/>
      <c r="O1062" s="26"/>
      <c r="P1062" s="26"/>
      <c r="Q1062" s="26"/>
      <c r="R1062" s="26"/>
    </row>
    <row r="1063" spans="9:18" x14ac:dyDescent="0.25">
      <c r="I1063" s="46"/>
      <c r="J1063" s="26"/>
      <c r="K1063" s="26"/>
      <c r="L1063" s="26"/>
      <c r="M1063" s="26"/>
      <c r="N1063" s="26"/>
      <c r="O1063" s="26"/>
      <c r="P1063" s="26"/>
      <c r="Q1063" s="26"/>
      <c r="R1063" s="26"/>
    </row>
    <row r="1064" spans="9:18" x14ac:dyDescent="0.25">
      <c r="I1064" s="46"/>
      <c r="J1064" s="26"/>
      <c r="K1064" s="26"/>
      <c r="L1064" s="26"/>
      <c r="M1064" s="26"/>
      <c r="N1064" s="26"/>
      <c r="O1064" s="26"/>
      <c r="P1064" s="26"/>
      <c r="Q1064" s="26"/>
      <c r="R1064" s="26"/>
    </row>
    <row r="1065" spans="9:18" x14ac:dyDescent="0.25">
      <c r="I1065" s="46"/>
      <c r="J1065" s="26"/>
      <c r="K1065" s="26"/>
      <c r="L1065" s="26"/>
      <c r="M1065" s="26"/>
      <c r="N1065" s="26"/>
      <c r="O1065" s="26"/>
      <c r="P1065" s="26"/>
      <c r="Q1065" s="26"/>
      <c r="R1065" s="26"/>
    </row>
    <row r="1066" spans="9:18" x14ac:dyDescent="0.25">
      <c r="I1066" s="46"/>
      <c r="J1066" s="26"/>
      <c r="K1066" s="26"/>
      <c r="L1066" s="26"/>
      <c r="M1066" s="26"/>
      <c r="N1066" s="26"/>
      <c r="O1066" s="26"/>
      <c r="P1066" s="26"/>
      <c r="Q1066" s="26"/>
      <c r="R1066" s="26"/>
    </row>
    <row r="1067" spans="9:18" x14ac:dyDescent="0.25">
      <c r="I1067" s="46"/>
      <c r="J1067" s="26"/>
      <c r="K1067" s="26"/>
      <c r="L1067" s="26"/>
      <c r="M1067" s="26"/>
      <c r="N1067" s="26"/>
      <c r="O1067" s="26"/>
      <c r="P1067" s="26"/>
      <c r="Q1067" s="26"/>
      <c r="R1067" s="26"/>
    </row>
    <row r="1068" spans="9:18" x14ac:dyDescent="0.25">
      <c r="I1068" s="46"/>
      <c r="J1068" s="26"/>
      <c r="K1068" s="26"/>
      <c r="L1068" s="26"/>
      <c r="M1068" s="26"/>
      <c r="N1068" s="26"/>
      <c r="O1068" s="26"/>
      <c r="P1068" s="26"/>
      <c r="Q1068" s="26"/>
      <c r="R1068" s="26"/>
    </row>
    <row r="1069" spans="9:18" x14ac:dyDescent="0.25">
      <c r="I1069" s="46"/>
      <c r="J1069" s="26"/>
      <c r="K1069" s="26"/>
      <c r="L1069" s="26"/>
      <c r="M1069" s="26"/>
      <c r="N1069" s="26"/>
      <c r="O1069" s="26"/>
      <c r="P1069" s="26"/>
      <c r="Q1069" s="26"/>
      <c r="R1069" s="26"/>
    </row>
    <row r="1070" spans="9:18" x14ac:dyDescent="0.25">
      <c r="I1070" s="46"/>
      <c r="J1070" s="26"/>
      <c r="K1070" s="26"/>
      <c r="L1070" s="26"/>
      <c r="M1070" s="26"/>
      <c r="N1070" s="26"/>
      <c r="O1070" s="26"/>
      <c r="P1070" s="26"/>
      <c r="Q1070" s="26"/>
      <c r="R1070" s="26"/>
    </row>
    <row r="1071" spans="9:18" x14ac:dyDescent="0.25">
      <c r="I1071" s="46"/>
      <c r="J1071" s="26"/>
      <c r="K1071" s="26"/>
      <c r="L1071" s="26"/>
      <c r="M1071" s="26"/>
      <c r="N1071" s="26"/>
      <c r="O1071" s="26"/>
      <c r="P1071" s="26"/>
      <c r="Q1071" s="26"/>
      <c r="R1071" s="26"/>
    </row>
    <row r="1072" spans="9:18" x14ac:dyDescent="0.25">
      <c r="I1072" s="46"/>
      <c r="J1072" s="26"/>
      <c r="K1072" s="26"/>
      <c r="L1072" s="26"/>
      <c r="M1072" s="26"/>
      <c r="N1072" s="26"/>
      <c r="O1072" s="26"/>
      <c r="P1072" s="26"/>
      <c r="Q1072" s="26"/>
      <c r="R1072" s="26"/>
    </row>
    <row r="1073" spans="9:18" x14ac:dyDescent="0.25">
      <c r="I1073" s="46"/>
      <c r="J1073" s="26"/>
      <c r="K1073" s="26"/>
      <c r="L1073" s="26"/>
      <c r="M1073" s="26"/>
      <c r="N1073" s="26"/>
      <c r="O1073" s="26"/>
      <c r="P1073" s="26"/>
      <c r="Q1073" s="26"/>
      <c r="R1073" s="26"/>
    </row>
    <row r="1074" spans="9:18" x14ac:dyDescent="0.25">
      <c r="I1074" s="46"/>
      <c r="J1074" s="26"/>
      <c r="K1074" s="26"/>
      <c r="L1074" s="26"/>
      <c r="M1074" s="26"/>
      <c r="N1074" s="26"/>
      <c r="O1074" s="26"/>
      <c r="P1074" s="26"/>
      <c r="Q1074" s="26"/>
      <c r="R1074" s="26"/>
    </row>
    <row r="1075" spans="9:18" x14ac:dyDescent="0.25">
      <c r="I1075" s="46"/>
      <c r="J1075" s="26"/>
      <c r="K1075" s="26"/>
      <c r="L1075" s="26"/>
      <c r="M1075" s="26"/>
      <c r="N1075" s="26"/>
      <c r="O1075" s="26"/>
      <c r="P1075" s="26"/>
      <c r="Q1075" s="26"/>
      <c r="R1075" s="26"/>
    </row>
    <row r="1076" spans="9:18" x14ac:dyDescent="0.25">
      <c r="I1076" s="46"/>
      <c r="J1076" s="26"/>
      <c r="K1076" s="26"/>
      <c r="L1076" s="26"/>
      <c r="M1076" s="26"/>
      <c r="N1076" s="26"/>
      <c r="O1076" s="26"/>
      <c r="P1076" s="26"/>
      <c r="Q1076" s="26"/>
      <c r="R1076" s="26"/>
    </row>
    <row r="1077" spans="9:18" x14ac:dyDescent="0.25">
      <c r="I1077" s="46"/>
      <c r="J1077" s="26"/>
      <c r="K1077" s="26"/>
      <c r="L1077" s="26"/>
      <c r="M1077" s="26"/>
      <c r="N1077" s="26"/>
      <c r="O1077" s="26"/>
      <c r="P1077" s="26"/>
      <c r="Q1077" s="26"/>
      <c r="R1077" s="26"/>
    </row>
    <row r="1078" spans="9:18" x14ac:dyDescent="0.25">
      <c r="I1078" s="46"/>
      <c r="J1078" s="26"/>
      <c r="K1078" s="26"/>
      <c r="L1078" s="26"/>
      <c r="M1078" s="26"/>
      <c r="N1078" s="26"/>
      <c r="O1078" s="26"/>
      <c r="P1078" s="26"/>
      <c r="Q1078" s="26"/>
      <c r="R1078" s="26"/>
    </row>
    <row r="1079" spans="9:18" x14ac:dyDescent="0.25">
      <c r="I1079" s="46"/>
      <c r="J1079" s="26"/>
      <c r="K1079" s="26"/>
      <c r="L1079" s="26"/>
      <c r="M1079" s="26"/>
      <c r="N1079" s="26"/>
      <c r="O1079" s="26"/>
      <c r="P1079" s="26"/>
      <c r="Q1079" s="26"/>
      <c r="R1079" s="26"/>
    </row>
    <row r="1080" spans="9:18" x14ac:dyDescent="0.25">
      <c r="I1080" s="46"/>
      <c r="J1080" s="26"/>
      <c r="K1080" s="26"/>
      <c r="L1080" s="26"/>
      <c r="M1080" s="26"/>
      <c r="N1080" s="26"/>
      <c r="O1080" s="26"/>
      <c r="P1080" s="26"/>
      <c r="Q1080" s="26"/>
      <c r="R1080" s="26"/>
    </row>
    <row r="1081" spans="9:18" x14ac:dyDescent="0.25">
      <c r="I1081" s="46"/>
      <c r="J1081" s="26"/>
      <c r="K1081" s="26"/>
      <c r="L1081" s="26"/>
      <c r="M1081" s="26"/>
      <c r="N1081" s="26"/>
      <c r="O1081" s="26"/>
      <c r="P1081" s="26"/>
      <c r="Q1081" s="26"/>
      <c r="R1081" s="26"/>
    </row>
    <row r="1082" spans="9:18" x14ac:dyDescent="0.25">
      <c r="I1082" s="46"/>
      <c r="J1082" s="26"/>
      <c r="K1082" s="26"/>
      <c r="L1082" s="26"/>
      <c r="M1082" s="26"/>
      <c r="N1082" s="26"/>
      <c r="O1082" s="26"/>
      <c r="P1082" s="26"/>
      <c r="Q1082" s="26"/>
      <c r="R1082" s="26"/>
    </row>
    <row r="1083" spans="9:18" x14ac:dyDescent="0.25">
      <c r="I1083" s="46"/>
      <c r="J1083" s="26"/>
      <c r="K1083" s="26"/>
      <c r="L1083" s="26"/>
      <c r="M1083" s="26"/>
      <c r="N1083" s="26"/>
      <c r="O1083" s="26"/>
      <c r="P1083" s="26"/>
      <c r="Q1083" s="26"/>
      <c r="R1083" s="26"/>
    </row>
    <row r="1084" spans="9:18" x14ac:dyDescent="0.25">
      <c r="I1084" s="46"/>
      <c r="J1084" s="26"/>
      <c r="K1084" s="26"/>
      <c r="L1084" s="26"/>
      <c r="M1084" s="26"/>
      <c r="N1084" s="26"/>
      <c r="O1084" s="26"/>
      <c r="P1084" s="26"/>
      <c r="Q1084" s="26"/>
      <c r="R1084" s="26"/>
    </row>
    <row r="1085" spans="9:18" x14ac:dyDescent="0.25">
      <c r="I1085" s="46"/>
      <c r="J1085" s="26"/>
      <c r="K1085" s="26"/>
      <c r="L1085" s="26"/>
      <c r="M1085" s="26"/>
      <c r="N1085" s="26"/>
      <c r="O1085" s="26"/>
      <c r="P1085" s="26"/>
      <c r="Q1085" s="26"/>
      <c r="R1085" s="26"/>
    </row>
    <row r="1086" spans="9:18" x14ac:dyDescent="0.25">
      <c r="I1086" s="46"/>
      <c r="J1086" s="26"/>
      <c r="K1086" s="26"/>
      <c r="L1086" s="26"/>
      <c r="M1086" s="26"/>
      <c r="N1086" s="26"/>
      <c r="O1086" s="26"/>
      <c r="P1086" s="26"/>
      <c r="Q1086" s="26"/>
      <c r="R1086" s="26"/>
    </row>
    <row r="1087" spans="9:18" x14ac:dyDescent="0.25">
      <c r="I1087" s="46"/>
      <c r="J1087" s="26"/>
      <c r="K1087" s="26"/>
      <c r="L1087" s="26"/>
      <c r="M1087" s="26"/>
      <c r="N1087" s="26"/>
      <c r="O1087" s="26"/>
      <c r="P1087" s="26"/>
      <c r="Q1087" s="26"/>
      <c r="R1087" s="26"/>
    </row>
    <row r="1088" spans="9:18" x14ac:dyDescent="0.25">
      <c r="I1088" s="46"/>
      <c r="J1088" s="26"/>
      <c r="K1088" s="26"/>
      <c r="L1088" s="26"/>
      <c r="M1088" s="26"/>
      <c r="N1088" s="26"/>
      <c r="O1088" s="26"/>
      <c r="P1088" s="26"/>
      <c r="Q1088" s="26"/>
      <c r="R1088" s="26"/>
    </row>
    <row r="1089" spans="9:18" x14ac:dyDescent="0.25">
      <c r="I1089" s="46"/>
      <c r="J1089" s="26"/>
      <c r="K1089" s="26"/>
      <c r="L1089" s="26"/>
      <c r="M1089" s="26"/>
      <c r="N1089" s="26"/>
      <c r="O1089" s="26"/>
      <c r="P1089" s="26"/>
      <c r="Q1089" s="26"/>
      <c r="R1089" s="26"/>
    </row>
    <row r="1090" spans="9:18" x14ac:dyDescent="0.25">
      <c r="I1090" s="46"/>
      <c r="J1090" s="26"/>
      <c r="K1090" s="26"/>
      <c r="L1090" s="26"/>
      <c r="M1090" s="26"/>
      <c r="N1090" s="26"/>
      <c r="O1090" s="26"/>
      <c r="P1090" s="26"/>
      <c r="Q1090" s="26"/>
      <c r="R1090" s="26"/>
    </row>
    <row r="1091" spans="9:18" x14ac:dyDescent="0.25">
      <c r="I1091" s="46"/>
      <c r="J1091" s="26"/>
      <c r="K1091" s="26"/>
      <c r="L1091" s="26"/>
      <c r="M1091" s="26"/>
      <c r="N1091" s="26"/>
      <c r="O1091" s="26"/>
      <c r="P1091" s="26"/>
      <c r="Q1091" s="26"/>
      <c r="R1091" s="26"/>
    </row>
    <row r="1092" spans="9:18" x14ac:dyDescent="0.25">
      <c r="I1092" s="46"/>
      <c r="J1092" s="26"/>
      <c r="K1092" s="26"/>
      <c r="L1092" s="26"/>
      <c r="M1092" s="26"/>
      <c r="N1092" s="26"/>
      <c r="O1092" s="26"/>
      <c r="P1092" s="26"/>
      <c r="Q1092" s="26"/>
      <c r="R1092" s="26"/>
    </row>
    <row r="1093" spans="9:18" x14ac:dyDescent="0.25">
      <c r="I1093" s="46"/>
      <c r="J1093" s="26"/>
      <c r="K1093" s="26"/>
      <c r="L1093" s="26"/>
      <c r="M1093" s="26"/>
      <c r="N1093" s="26"/>
      <c r="O1093" s="26"/>
      <c r="P1093" s="26"/>
      <c r="Q1093" s="26"/>
      <c r="R1093" s="26"/>
    </row>
    <row r="1094" spans="9:18" x14ac:dyDescent="0.25">
      <c r="I1094" s="46"/>
      <c r="J1094" s="26"/>
      <c r="K1094" s="26"/>
      <c r="L1094" s="26"/>
      <c r="M1094" s="26"/>
      <c r="N1094" s="26"/>
      <c r="O1094" s="26"/>
      <c r="P1094" s="26"/>
      <c r="Q1094" s="26"/>
      <c r="R1094" s="26"/>
    </row>
    <row r="1095" spans="9:18" x14ac:dyDescent="0.25">
      <c r="I1095" s="46"/>
      <c r="J1095" s="26"/>
      <c r="K1095" s="26"/>
      <c r="L1095" s="26"/>
      <c r="M1095" s="26"/>
      <c r="N1095" s="26"/>
      <c r="O1095" s="26"/>
      <c r="P1095" s="26"/>
      <c r="Q1095" s="26"/>
      <c r="R1095" s="26"/>
    </row>
    <row r="1096" spans="9:18" x14ac:dyDescent="0.25">
      <c r="I1096" s="46"/>
      <c r="J1096" s="26"/>
      <c r="K1096" s="26"/>
      <c r="L1096" s="26"/>
      <c r="M1096" s="26"/>
      <c r="N1096" s="26"/>
      <c r="O1096" s="26"/>
      <c r="P1096" s="26"/>
      <c r="Q1096" s="26"/>
      <c r="R1096" s="26"/>
    </row>
    <row r="1097" spans="9:18" x14ac:dyDescent="0.25">
      <c r="I1097" s="46"/>
      <c r="J1097" s="26"/>
      <c r="K1097" s="26"/>
      <c r="L1097" s="26"/>
      <c r="M1097" s="26"/>
      <c r="N1097" s="26"/>
      <c r="O1097" s="26"/>
      <c r="P1097" s="26"/>
      <c r="Q1097" s="26"/>
      <c r="R1097" s="26"/>
    </row>
    <row r="1098" spans="9:18" x14ac:dyDescent="0.25">
      <c r="I1098" s="46"/>
      <c r="J1098" s="26"/>
      <c r="K1098" s="26"/>
      <c r="L1098" s="26"/>
      <c r="M1098" s="26"/>
      <c r="N1098" s="26"/>
      <c r="O1098" s="26"/>
      <c r="P1098" s="26"/>
      <c r="Q1098" s="26"/>
      <c r="R1098" s="26"/>
    </row>
    <row r="1099" spans="9:18" x14ac:dyDescent="0.25">
      <c r="I1099" s="46"/>
      <c r="J1099" s="26"/>
      <c r="K1099" s="26"/>
      <c r="L1099" s="26"/>
      <c r="M1099" s="26"/>
      <c r="N1099" s="26"/>
      <c r="O1099" s="26"/>
      <c r="P1099" s="26"/>
      <c r="Q1099" s="26"/>
      <c r="R1099" s="26"/>
    </row>
    <row r="1100" spans="9:18" x14ac:dyDescent="0.25">
      <c r="I1100" s="46"/>
      <c r="J1100" s="26"/>
      <c r="K1100" s="26"/>
      <c r="L1100" s="26"/>
      <c r="M1100" s="26"/>
      <c r="N1100" s="26"/>
      <c r="O1100" s="26"/>
      <c r="P1100" s="26"/>
      <c r="Q1100" s="26"/>
      <c r="R1100" s="26"/>
    </row>
    <row r="1101" spans="9:18" x14ac:dyDescent="0.25">
      <c r="I1101" s="46"/>
      <c r="J1101" s="26"/>
      <c r="K1101" s="26"/>
      <c r="L1101" s="26"/>
      <c r="M1101" s="26"/>
      <c r="N1101" s="26"/>
      <c r="O1101" s="26"/>
      <c r="P1101" s="26"/>
      <c r="Q1101" s="26"/>
      <c r="R1101" s="26"/>
    </row>
    <row r="1102" spans="9:18" x14ac:dyDescent="0.25">
      <c r="I1102" s="46"/>
      <c r="J1102" s="26"/>
      <c r="K1102" s="26"/>
      <c r="L1102" s="26"/>
      <c r="M1102" s="26"/>
      <c r="N1102" s="26"/>
      <c r="O1102" s="26"/>
      <c r="P1102" s="26"/>
      <c r="Q1102" s="26"/>
      <c r="R1102" s="26"/>
    </row>
    <row r="1103" spans="9:18" x14ac:dyDescent="0.25">
      <c r="I1103" s="46"/>
      <c r="J1103" s="26"/>
      <c r="K1103" s="26"/>
      <c r="L1103" s="26"/>
      <c r="M1103" s="26"/>
      <c r="N1103" s="26"/>
      <c r="O1103" s="26"/>
      <c r="P1103" s="26"/>
      <c r="Q1103" s="26"/>
      <c r="R1103" s="26"/>
    </row>
    <row r="1104" spans="9:18" x14ac:dyDescent="0.25">
      <c r="I1104" s="46"/>
      <c r="J1104" s="26"/>
      <c r="K1104" s="26"/>
      <c r="L1104" s="26"/>
      <c r="M1104" s="26"/>
      <c r="N1104" s="26"/>
      <c r="O1104" s="26"/>
      <c r="P1104" s="26"/>
      <c r="Q1104" s="26"/>
      <c r="R1104" s="26"/>
    </row>
    <row r="1105" spans="9:18" x14ac:dyDescent="0.25">
      <c r="I1105" s="46"/>
      <c r="J1105" s="26"/>
      <c r="K1105" s="26"/>
      <c r="L1105" s="26"/>
      <c r="M1105" s="26"/>
      <c r="N1105" s="26"/>
      <c r="O1105" s="26"/>
      <c r="P1105" s="26"/>
      <c r="Q1105" s="26"/>
      <c r="R1105" s="26"/>
    </row>
    <row r="1106" spans="9:18" x14ac:dyDescent="0.25">
      <c r="I1106" s="46"/>
      <c r="J1106" s="26"/>
      <c r="K1106" s="26"/>
      <c r="L1106" s="26"/>
      <c r="M1106" s="26"/>
      <c r="N1106" s="26"/>
      <c r="O1106" s="26"/>
      <c r="P1106" s="26"/>
      <c r="Q1106" s="26"/>
      <c r="R1106" s="26"/>
    </row>
    <row r="1107" spans="9:18" x14ac:dyDescent="0.25">
      <c r="I1107" s="46"/>
      <c r="J1107" s="26"/>
      <c r="K1107" s="26"/>
      <c r="L1107" s="26"/>
      <c r="M1107" s="26"/>
      <c r="N1107" s="26"/>
      <c r="O1107" s="26"/>
      <c r="P1107" s="26"/>
      <c r="Q1107" s="26"/>
      <c r="R1107" s="26"/>
    </row>
    <row r="1108" spans="9:18" x14ac:dyDescent="0.25">
      <c r="I1108" s="46"/>
      <c r="J1108" s="26"/>
      <c r="K1108" s="26"/>
      <c r="L1108" s="26"/>
      <c r="M1108" s="26"/>
      <c r="N1108" s="26"/>
      <c r="O1108" s="26"/>
      <c r="P1108" s="26"/>
      <c r="Q1108" s="26"/>
      <c r="R1108" s="26"/>
    </row>
    <row r="1109" spans="9:18" x14ac:dyDescent="0.25">
      <c r="I1109" s="46"/>
      <c r="J1109" s="26"/>
      <c r="K1109" s="26"/>
      <c r="L1109" s="26"/>
      <c r="M1109" s="26"/>
      <c r="N1109" s="26"/>
      <c r="O1109" s="26"/>
      <c r="P1109" s="26"/>
      <c r="Q1109" s="26"/>
      <c r="R1109" s="26"/>
    </row>
    <row r="1110" spans="9:18" x14ac:dyDescent="0.25">
      <c r="I1110" s="46"/>
      <c r="J1110" s="26"/>
      <c r="K1110" s="26"/>
      <c r="L1110" s="26"/>
      <c r="M1110" s="26"/>
      <c r="N1110" s="26"/>
      <c r="O1110" s="26"/>
      <c r="P1110" s="26"/>
      <c r="Q1110" s="26"/>
      <c r="R1110" s="26"/>
    </row>
    <row r="1111" spans="9:18" x14ac:dyDescent="0.25">
      <c r="I1111" s="46"/>
      <c r="J1111" s="26"/>
      <c r="K1111" s="26"/>
      <c r="L1111" s="26"/>
      <c r="M1111" s="26"/>
      <c r="N1111" s="26"/>
      <c r="O1111" s="26"/>
      <c r="P1111" s="26"/>
      <c r="Q1111" s="26"/>
      <c r="R1111" s="26"/>
    </row>
    <row r="1112" spans="9:18" x14ac:dyDescent="0.25">
      <c r="I1112" s="46"/>
      <c r="J1112" s="26"/>
      <c r="K1112" s="26"/>
      <c r="L1112" s="26"/>
      <c r="M1112" s="26"/>
      <c r="N1112" s="26"/>
      <c r="O1112" s="26"/>
      <c r="P1112" s="26"/>
      <c r="Q1112" s="26"/>
      <c r="R1112" s="26"/>
    </row>
    <row r="1113" spans="9:18" x14ac:dyDescent="0.25">
      <c r="I1113" s="46"/>
      <c r="J1113" s="26"/>
      <c r="K1113" s="26"/>
      <c r="L1113" s="26"/>
      <c r="M1113" s="26"/>
      <c r="N1113" s="26"/>
      <c r="O1113" s="26"/>
      <c r="P1113" s="26"/>
      <c r="Q1113" s="26"/>
      <c r="R1113" s="26"/>
    </row>
    <row r="1114" spans="9:18" x14ac:dyDescent="0.25">
      <c r="I1114" s="46"/>
      <c r="J1114" s="26"/>
      <c r="K1114" s="26"/>
      <c r="L1114" s="26"/>
      <c r="M1114" s="26"/>
      <c r="N1114" s="26"/>
      <c r="O1114" s="26"/>
      <c r="P1114" s="26"/>
      <c r="Q1114" s="26"/>
      <c r="R1114" s="26"/>
    </row>
    <row r="1115" spans="9:18" x14ac:dyDescent="0.25">
      <c r="I1115" s="46"/>
      <c r="J1115" s="26"/>
      <c r="K1115" s="26"/>
      <c r="L1115" s="26"/>
      <c r="M1115" s="26"/>
      <c r="N1115" s="26"/>
      <c r="O1115" s="26"/>
      <c r="P1115" s="26"/>
      <c r="Q1115" s="26"/>
      <c r="R1115" s="26"/>
    </row>
    <row r="1116" spans="9:18" x14ac:dyDescent="0.25">
      <c r="I1116" s="46"/>
      <c r="J1116" s="26"/>
      <c r="K1116" s="26"/>
      <c r="L1116" s="26"/>
      <c r="M1116" s="26"/>
      <c r="N1116" s="26"/>
      <c r="O1116" s="26"/>
      <c r="P1116" s="26"/>
      <c r="Q1116" s="26"/>
      <c r="R1116" s="26"/>
    </row>
    <row r="1117" spans="9:18" x14ac:dyDescent="0.25">
      <c r="I1117" s="46"/>
      <c r="J1117" s="26"/>
      <c r="K1117" s="26"/>
      <c r="L1117" s="26"/>
      <c r="M1117" s="26"/>
      <c r="N1117" s="26"/>
      <c r="O1117" s="26"/>
      <c r="P1117" s="26"/>
      <c r="Q1117" s="26"/>
      <c r="R1117" s="26"/>
    </row>
    <row r="1118" spans="9:18" x14ac:dyDescent="0.25">
      <c r="I1118" s="46"/>
      <c r="J1118" s="26"/>
      <c r="K1118" s="26"/>
      <c r="L1118" s="26"/>
      <c r="M1118" s="26"/>
      <c r="N1118" s="26"/>
      <c r="O1118" s="26"/>
      <c r="P1118" s="26"/>
      <c r="Q1118" s="26"/>
      <c r="R1118" s="26"/>
    </row>
    <row r="1119" spans="9:18" x14ac:dyDescent="0.25">
      <c r="I1119" s="46"/>
      <c r="J1119" s="26"/>
      <c r="K1119" s="26"/>
      <c r="L1119" s="26"/>
      <c r="M1119" s="26"/>
      <c r="N1119" s="26"/>
      <c r="O1119" s="26"/>
      <c r="P1119" s="26"/>
      <c r="Q1119" s="26"/>
      <c r="R1119" s="26"/>
    </row>
    <row r="1120" spans="9:18" x14ac:dyDescent="0.25">
      <c r="I1120" s="46"/>
      <c r="J1120" s="26"/>
      <c r="K1120" s="26"/>
      <c r="L1120" s="26"/>
      <c r="M1120" s="26"/>
      <c r="N1120" s="26"/>
      <c r="O1120" s="26"/>
      <c r="P1120" s="26"/>
      <c r="Q1120" s="26"/>
      <c r="R1120" s="26"/>
    </row>
    <row r="1121" spans="9:18" x14ac:dyDescent="0.25">
      <c r="I1121" s="46"/>
      <c r="J1121" s="26"/>
      <c r="K1121" s="26"/>
      <c r="L1121" s="26"/>
      <c r="M1121" s="26"/>
      <c r="N1121" s="26"/>
      <c r="O1121" s="26"/>
      <c r="P1121" s="26"/>
      <c r="Q1121" s="26"/>
      <c r="R1121" s="26"/>
    </row>
    <row r="1122" spans="9:18" x14ac:dyDescent="0.25">
      <c r="I1122" s="46"/>
      <c r="J1122" s="26"/>
      <c r="K1122" s="26"/>
      <c r="L1122" s="26"/>
      <c r="M1122" s="26"/>
      <c r="N1122" s="26"/>
      <c r="O1122" s="26"/>
      <c r="P1122" s="26"/>
      <c r="Q1122" s="26"/>
      <c r="R1122" s="26"/>
    </row>
    <row r="1123" spans="9:18" x14ac:dyDescent="0.25">
      <c r="I1123" s="46"/>
      <c r="J1123" s="26"/>
      <c r="K1123" s="26"/>
      <c r="L1123" s="26"/>
      <c r="M1123" s="26"/>
      <c r="N1123" s="26"/>
      <c r="O1123" s="26"/>
      <c r="P1123" s="26"/>
      <c r="Q1123" s="26"/>
      <c r="R1123" s="26"/>
    </row>
    <row r="1124" spans="9:18" x14ac:dyDescent="0.25">
      <c r="I1124" s="46"/>
      <c r="J1124" s="26"/>
      <c r="K1124" s="26"/>
      <c r="L1124" s="26"/>
      <c r="M1124" s="26"/>
      <c r="N1124" s="26"/>
      <c r="O1124" s="26"/>
      <c r="P1124" s="26"/>
      <c r="Q1124" s="26"/>
      <c r="R1124" s="26"/>
    </row>
    <row r="1125" spans="9:18" x14ac:dyDescent="0.25">
      <c r="I1125" s="46"/>
      <c r="J1125" s="26"/>
      <c r="K1125" s="26"/>
      <c r="L1125" s="26"/>
      <c r="M1125" s="26"/>
      <c r="N1125" s="26"/>
      <c r="O1125" s="26"/>
      <c r="P1125" s="26"/>
      <c r="Q1125" s="26"/>
      <c r="R1125" s="26"/>
    </row>
    <row r="1126" spans="9:18" x14ac:dyDescent="0.25">
      <c r="I1126" s="46"/>
      <c r="J1126" s="26"/>
      <c r="K1126" s="26"/>
      <c r="L1126" s="26"/>
      <c r="M1126" s="26"/>
      <c r="N1126" s="26"/>
      <c r="O1126" s="26"/>
      <c r="P1126" s="26"/>
      <c r="Q1126" s="26"/>
      <c r="R1126" s="26"/>
    </row>
    <row r="1127" spans="9:18" x14ac:dyDescent="0.25">
      <c r="I1127" s="46"/>
      <c r="J1127" s="26"/>
      <c r="K1127" s="26"/>
      <c r="L1127" s="26"/>
      <c r="M1127" s="26"/>
      <c r="N1127" s="26"/>
      <c r="O1127" s="26"/>
      <c r="P1127" s="26"/>
      <c r="Q1127" s="26"/>
      <c r="R1127" s="26"/>
    </row>
    <row r="1128" spans="9:18" x14ac:dyDescent="0.25">
      <c r="I1128" s="46"/>
      <c r="J1128" s="26"/>
      <c r="K1128" s="26"/>
      <c r="L1128" s="26"/>
      <c r="M1128" s="26"/>
      <c r="N1128" s="26"/>
      <c r="O1128" s="26"/>
      <c r="P1128" s="26"/>
      <c r="Q1128" s="26"/>
      <c r="R1128" s="26"/>
    </row>
    <row r="1129" spans="9:18" x14ac:dyDescent="0.25">
      <c r="I1129" s="46"/>
      <c r="J1129" s="26"/>
      <c r="K1129" s="26"/>
      <c r="L1129" s="26"/>
      <c r="M1129" s="26"/>
      <c r="N1129" s="26"/>
      <c r="O1129" s="26"/>
      <c r="P1129" s="26"/>
      <c r="Q1129" s="26"/>
      <c r="R1129" s="26"/>
    </row>
    <row r="1130" spans="9:18" x14ac:dyDescent="0.25">
      <c r="I1130" s="46"/>
      <c r="J1130" s="26"/>
      <c r="K1130" s="26"/>
      <c r="L1130" s="26"/>
      <c r="M1130" s="26"/>
      <c r="N1130" s="26"/>
      <c r="O1130" s="26"/>
      <c r="P1130" s="26"/>
      <c r="Q1130" s="26"/>
      <c r="R1130" s="26"/>
    </row>
    <row r="1131" spans="9:18" x14ac:dyDescent="0.25">
      <c r="I1131" s="46"/>
      <c r="J1131" s="26"/>
      <c r="K1131" s="26"/>
      <c r="L1131" s="26"/>
      <c r="M1131" s="26"/>
      <c r="N1131" s="26"/>
      <c r="O1131" s="26"/>
      <c r="P1131" s="26"/>
      <c r="Q1131" s="26"/>
      <c r="R1131" s="26"/>
    </row>
    <row r="1132" spans="9:18" x14ac:dyDescent="0.25">
      <c r="I1132" s="46"/>
      <c r="J1132" s="26"/>
      <c r="K1132" s="26"/>
      <c r="L1132" s="26"/>
      <c r="M1132" s="26"/>
      <c r="N1132" s="26"/>
      <c r="O1132" s="26"/>
      <c r="P1132" s="26"/>
      <c r="Q1132" s="26"/>
      <c r="R1132" s="26"/>
    </row>
    <row r="1133" spans="9:18" x14ac:dyDescent="0.25">
      <c r="I1133" s="46"/>
      <c r="J1133" s="26"/>
      <c r="K1133" s="26"/>
      <c r="L1133" s="26"/>
      <c r="M1133" s="26"/>
      <c r="N1133" s="26"/>
      <c r="O1133" s="26"/>
      <c r="P1133" s="26"/>
      <c r="Q1133" s="26"/>
      <c r="R1133" s="26"/>
    </row>
    <row r="1134" spans="9:18" x14ac:dyDescent="0.25">
      <c r="I1134" s="46"/>
      <c r="J1134" s="26"/>
      <c r="K1134" s="26"/>
      <c r="L1134" s="26"/>
      <c r="M1134" s="26"/>
      <c r="N1134" s="26"/>
      <c r="O1134" s="26"/>
      <c r="P1134" s="26"/>
      <c r="Q1134" s="26"/>
      <c r="R1134" s="26"/>
    </row>
    <row r="1135" spans="9:18" x14ac:dyDescent="0.25">
      <c r="I1135" s="46"/>
      <c r="J1135" s="26"/>
      <c r="K1135" s="26"/>
      <c r="L1135" s="26"/>
      <c r="M1135" s="26"/>
      <c r="N1135" s="26"/>
      <c r="O1135" s="26"/>
      <c r="P1135" s="26"/>
      <c r="Q1135" s="26"/>
      <c r="R1135" s="26"/>
    </row>
    <row r="1136" spans="9:18" x14ac:dyDescent="0.25">
      <c r="I1136" s="46"/>
      <c r="J1136" s="26"/>
      <c r="K1136" s="26"/>
      <c r="L1136" s="26"/>
      <c r="M1136" s="26"/>
      <c r="N1136" s="26"/>
      <c r="O1136" s="26"/>
      <c r="P1136" s="26"/>
      <c r="Q1136" s="26"/>
      <c r="R1136" s="26"/>
    </row>
    <row r="1137" spans="9:18" x14ac:dyDescent="0.25">
      <c r="I1137" s="46"/>
      <c r="J1137" s="26"/>
      <c r="K1137" s="26"/>
      <c r="L1137" s="26"/>
      <c r="M1137" s="26"/>
      <c r="N1137" s="26"/>
      <c r="O1137" s="26"/>
      <c r="P1137" s="26"/>
      <c r="Q1137" s="26"/>
      <c r="R1137" s="26"/>
    </row>
    <row r="1138" spans="9:18" x14ac:dyDescent="0.25">
      <c r="I1138" s="46"/>
      <c r="J1138" s="26"/>
      <c r="K1138" s="26"/>
      <c r="L1138" s="26"/>
      <c r="M1138" s="26"/>
      <c r="N1138" s="26"/>
      <c r="O1138" s="26"/>
      <c r="P1138" s="26"/>
      <c r="Q1138" s="26"/>
      <c r="R1138" s="26"/>
    </row>
    <row r="1139" spans="9:18" x14ac:dyDescent="0.25">
      <c r="I1139" s="46"/>
      <c r="J1139" s="26"/>
      <c r="K1139" s="26"/>
      <c r="L1139" s="26"/>
      <c r="M1139" s="26"/>
      <c r="N1139" s="26"/>
      <c r="O1139" s="26"/>
      <c r="P1139" s="26"/>
      <c r="Q1139" s="26"/>
      <c r="R1139" s="26"/>
    </row>
    <row r="1140" spans="9:18" x14ac:dyDescent="0.25">
      <c r="I1140" s="46"/>
      <c r="J1140" s="26"/>
      <c r="K1140" s="26"/>
      <c r="L1140" s="26"/>
      <c r="M1140" s="26"/>
      <c r="N1140" s="26"/>
      <c r="O1140" s="26"/>
      <c r="P1140" s="26"/>
      <c r="Q1140" s="26"/>
      <c r="R1140" s="26"/>
    </row>
    <row r="1141" spans="9:18" x14ac:dyDescent="0.25">
      <c r="I1141" s="46"/>
      <c r="J1141" s="26"/>
      <c r="K1141" s="26"/>
      <c r="L1141" s="26"/>
      <c r="M1141" s="26"/>
      <c r="N1141" s="26"/>
      <c r="O1141" s="26"/>
      <c r="P1141" s="26"/>
      <c r="Q1141" s="26"/>
      <c r="R1141" s="26"/>
    </row>
    <row r="1142" spans="9:18" x14ac:dyDescent="0.25">
      <c r="I1142" s="46"/>
      <c r="J1142" s="26"/>
      <c r="K1142" s="26"/>
      <c r="L1142" s="26"/>
      <c r="M1142" s="26"/>
      <c r="N1142" s="26"/>
      <c r="O1142" s="26"/>
      <c r="P1142" s="26"/>
      <c r="Q1142" s="26"/>
      <c r="R1142" s="26"/>
    </row>
    <row r="1143" spans="9:18" x14ac:dyDescent="0.25">
      <c r="I1143" s="46"/>
      <c r="J1143" s="26"/>
      <c r="K1143" s="26"/>
      <c r="L1143" s="26"/>
      <c r="M1143" s="26"/>
      <c r="N1143" s="26"/>
      <c r="O1143" s="26"/>
      <c r="P1143" s="26"/>
      <c r="Q1143" s="26"/>
      <c r="R1143" s="26"/>
    </row>
    <row r="1144" spans="9:18" x14ac:dyDescent="0.25">
      <c r="I1144" s="46"/>
      <c r="J1144" s="26"/>
      <c r="K1144" s="26"/>
      <c r="L1144" s="26"/>
      <c r="M1144" s="26"/>
      <c r="N1144" s="26"/>
      <c r="O1144" s="26"/>
      <c r="P1144" s="26"/>
      <c r="Q1144" s="26"/>
      <c r="R1144" s="26"/>
    </row>
    <row r="1145" spans="9:18" x14ac:dyDescent="0.25">
      <c r="I1145" s="46"/>
      <c r="J1145" s="26"/>
      <c r="K1145" s="26"/>
      <c r="L1145" s="26"/>
      <c r="M1145" s="26"/>
      <c r="N1145" s="26"/>
      <c r="O1145" s="26"/>
      <c r="P1145" s="26"/>
      <c r="Q1145" s="26"/>
      <c r="R1145" s="26"/>
    </row>
    <row r="1146" spans="9:18" x14ac:dyDescent="0.25">
      <c r="I1146" s="46"/>
      <c r="J1146" s="26"/>
      <c r="K1146" s="26"/>
      <c r="L1146" s="26"/>
      <c r="M1146" s="26"/>
      <c r="N1146" s="26"/>
      <c r="O1146" s="26"/>
      <c r="P1146" s="26"/>
      <c r="Q1146" s="26"/>
      <c r="R1146" s="26"/>
    </row>
    <row r="1147" spans="9:18" x14ac:dyDescent="0.25">
      <c r="I1147" s="46"/>
      <c r="J1147" s="26"/>
      <c r="K1147" s="26"/>
      <c r="L1147" s="26"/>
      <c r="M1147" s="26"/>
      <c r="N1147" s="26"/>
      <c r="O1147" s="26"/>
      <c r="P1147" s="26"/>
      <c r="Q1147" s="26"/>
      <c r="R1147" s="26"/>
    </row>
    <row r="1148" spans="9:18" x14ac:dyDescent="0.25">
      <c r="I1148" s="46"/>
      <c r="J1148" s="26"/>
      <c r="K1148" s="26"/>
      <c r="L1148" s="26"/>
      <c r="M1148" s="26"/>
      <c r="N1148" s="26"/>
      <c r="O1148" s="26"/>
      <c r="P1148" s="26"/>
      <c r="Q1148" s="26"/>
      <c r="R1148" s="26"/>
    </row>
    <row r="1149" spans="9:18" x14ac:dyDescent="0.25">
      <c r="I1149" s="46"/>
      <c r="J1149" s="26"/>
      <c r="K1149" s="26"/>
      <c r="L1149" s="26"/>
      <c r="M1149" s="26"/>
      <c r="N1149" s="26"/>
      <c r="O1149" s="26"/>
      <c r="P1149" s="26"/>
      <c r="Q1149" s="26"/>
      <c r="R1149" s="26"/>
    </row>
    <row r="1150" spans="9:18" x14ac:dyDescent="0.25">
      <c r="I1150" s="46"/>
      <c r="J1150" s="26"/>
      <c r="K1150" s="26"/>
      <c r="L1150" s="26"/>
      <c r="M1150" s="26"/>
      <c r="N1150" s="26"/>
      <c r="O1150" s="26"/>
      <c r="P1150" s="26"/>
      <c r="Q1150" s="26"/>
      <c r="R1150" s="26"/>
    </row>
    <row r="1151" spans="9:18" x14ac:dyDescent="0.25">
      <c r="I1151" s="46"/>
      <c r="J1151" s="26"/>
      <c r="K1151" s="26"/>
      <c r="L1151" s="26"/>
      <c r="M1151" s="26"/>
      <c r="N1151" s="26"/>
      <c r="O1151" s="26"/>
      <c r="P1151" s="26"/>
      <c r="Q1151" s="26"/>
      <c r="R1151" s="26"/>
    </row>
    <row r="1152" spans="9:18" x14ac:dyDescent="0.25">
      <c r="I1152" s="46"/>
      <c r="J1152" s="26"/>
      <c r="K1152" s="26"/>
      <c r="L1152" s="26"/>
      <c r="M1152" s="26"/>
      <c r="N1152" s="26"/>
      <c r="O1152" s="26"/>
      <c r="P1152" s="26"/>
      <c r="Q1152" s="26"/>
      <c r="R1152" s="26"/>
    </row>
    <row r="1153" spans="9:18" x14ac:dyDescent="0.25">
      <c r="I1153" s="46"/>
      <c r="J1153" s="26"/>
      <c r="K1153" s="26"/>
      <c r="L1153" s="26"/>
      <c r="M1153" s="26"/>
      <c r="N1153" s="26"/>
      <c r="O1153" s="26"/>
      <c r="P1153" s="26"/>
      <c r="Q1153" s="26"/>
      <c r="R1153" s="26"/>
    </row>
    <row r="1154" spans="9:18" x14ac:dyDescent="0.25">
      <c r="I1154" s="46"/>
      <c r="J1154" s="26"/>
      <c r="K1154" s="26"/>
      <c r="L1154" s="26"/>
      <c r="M1154" s="26"/>
      <c r="N1154" s="26"/>
      <c r="O1154" s="26"/>
      <c r="P1154" s="26"/>
      <c r="Q1154" s="26"/>
      <c r="R1154" s="26"/>
    </row>
    <row r="1155" spans="9:18" x14ac:dyDescent="0.25">
      <c r="I1155" s="46"/>
      <c r="J1155" s="26"/>
      <c r="K1155" s="26"/>
      <c r="L1155" s="26"/>
      <c r="M1155" s="26"/>
      <c r="N1155" s="26"/>
      <c r="O1155" s="26"/>
      <c r="P1155" s="26"/>
      <c r="Q1155" s="26"/>
      <c r="R1155" s="26"/>
    </row>
    <row r="1156" spans="9:18" x14ac:dyDescent="0.25">
      <c r="I1156" s="46"/>
      <c r="J1156" s="26"/>
      <c r="K1156" s="26"/>
      <c r="L1156" s="26"/>
      <c r="M1156" s="26"/>
      <c r="N1156" s="26"/>
      <c r="O1156" s="26"/>
      <c r="P1156" s="26"/>
      <c r="Q1156" s="26"/>
      <c r="R1156" s="26"/>
    </row>
    <row r="1157" spans="9:18" x14ac:dyDescent="0.25">
      <c r="I1157" s="46"/>
      <c r="J1157" s="26"/>
      <c r="K1157" s="26"/>
      <c r="L1157" s="26"/>
      <c r="M1157" s="26"/>
      <c r="N1157" s="26"/>
      <c r="O1157" s="26"/>
      <c r="P1157" s="26"/>
      <c r="Q1157" s="26"/>
      <c r="R1157" s="26"/>
    </row>
    <row r="1158" spans="9:18" x14ac:dyDescent="0.25">
      <c r="I1158" s="46"/>
      <c r="J1158" s="26"/>
      <c r="K1158" s="26"/>
      <c r="L1158" s="26"/>
      <c r="M1158" s="26"/>
      <c r="N1158" s="26"/>
      <c r="O1158" s="26"/>
      <c r="P1158" s="26"/>
      <c r="Q1158" s="26"/>
      <c r="R1158" s="26"/>
    </row>
    <row r="1159" spans="9:18" x14ac:dyDescent="0.25">
      <c r="I1159" s="46"/>
      <c r="J1159" s="26"/>
      <c r="K1159" s="26"/>
      <c r="L1159" s="26"/>
      <c r="M1159" s="26"/>
      <c r="N1159" s="26"/>
      <c r="O1159" s="26"/>
      <c r="P1159" s="26"/>
      <c r="Q1159" s="26"/>
      <c r="R1159" s="26"/>
    </row>
    <row r="1160" spans="9:18" x14ac:dyDescent="0.25">
      <c r="I1160" s="46"/>
      <c r="J1160" s="26"/>
      <c r="K1160" s="26"/>
      <c r="L1160" s="26"/>
      <c r="M1160" s="26"/>
      <c r="N1160" s="26"/>
      <c r="O1160" s="26"/>
      <c r="P1160" s="26"/>
      <c r="Q1160" s="26"/>
      <c r="R1160" s="26"/>
    </row>
    <row r="1161" spans="9:18" x14ac:dyDescent="0.25">
      <c r="I1161" s="46"/>
      <c r="J1161" s="26"/>
      <c r="K1161" s="26"/>
      <c r="L1161" s="26"/>
      <c r="M1161" s="26"/>
      <c r="N1161" s="26"/>
      <c r="O1161" s="26"/>
      <c r="P1161" s="26"/>
      <c r="Q1161" s="26"/>
      <c r="R1161" s="26"/>
    </row>
    <row r="1162" spans="9:18" x14ac:dyDescent="0.25">
      <c r="I1162" s="46"/>
      <c r="J1162" s="26"/>
      <c r="K1162" s="26"/>
      <c r="L1162" s="26"/>
      <c r="M1162" s="26"/>
      <c r="N1162" s="26"/>
      <c r="O1162" s="26"/>
      <c r="P1162" s="26"/>
      <c r="Q1162" s="26"/>
      <c r="R1162" s="26"/>
    </row>
    <row r="1163" spans="9:18" x14ac:dyDescent="0.25">
      <c r="I1163" s="46"/>
      <c r="J1163" s="26"/>
      <c r="K1163" s="26"/>
      <c r="L1163" s="26"/>
      <c r="M1163" s="26"/>
      <c r="N1163" s="26"/>
      <c r="O1163" s="26"/>
      <c r="P1163" s="26"/>
      <c r="Q1163" s="26"/>
      <c r="R1163" s="26"/>
    </row>
    <row r="1164" spans="9:18" x14ac:dyDescent="0.25">
      <c r="I1164" s="46"/>
      <c r="J1164" s="26"/>
      <c r="K1164" s="26"/>
      <c r="L1164" s="26"/>
      <c r="M1164" s="26"/>
      <c r="N1164" s="26"/>
      <c r="O1164" s="26"/>
      <c r="P1164" s="26"/>
      <c r="Q1164" s="26"/>
      <c r="R1164" s="26"/>
    </row>
    <row r="1165" spans="9:18" x14ac:dyDescent="0.25">
      <c r="I1165" s="46"/>
      <c r="J1165" s="26"/>
      <c r="K1165" s="26"/>
      <c r="L1165" s="26"/>
      <c r="M1165" s="26"/>
      <c r="N1165" s="26"/>
      <c r="O1165" s="26"/>
      <c r="P1165" s="26"/>
      <c r="Q1165" s="26"/>
      <c r="R1165" s="26"/>
    </row>
    <row r="1166" spans="9:18" x14ac:dyDescent="0.25">
      <c r="I1166" s="46"/>
      <c r="J1166" s="26"/>
      <c r="K1166" s="26"/>
      <c r="L1166" s="26"/>
      <c r="M1166" s="26"/>
      <c r="N1166" s="26"/>
      <c r="O1166" s="26"/>
      <c r="P1166" s="26"/>
      <c r="Q1166" s="26"/>
      <c r="R1166" s="26"/>
    </row>
    <row r="1167" spans="9:18" x14ac:dyDescent="0.25">
      <c r="I1167" s="46"/>
      <c r="J1167" s="26"/>
      <c r="K1167" s="26"/>
      <c r="L1167" s="26"/>
      <c r="M1167" s="26"/>
      <c r="N1167" s="26"/>
      <c r="O1167" s="26"/>
      <c r="P1167" s="26"/>
      <c r="Q1167" s="26"/>
      <c r="R1167" s="26"/>
    </row>
    <row r="1168" spans="9:18" x14ac:dyDescent="0.25">
      <c r="I1168" s="46"/>
      <c r="J1168" s="26"/>
      <c r="K1168" s="26"/>
      <c r="L1168" s="26"/>
      <c r="M1168" s="26"/>
      <c r="N1168" s="26"/>
      <c r="O1168" s="26"/>
      <c r="P1168" s="26"/>
      <c r="Q1168" s="26"/>
      <c r="R1168" s="26"/>
    </row>
    <row r="1169" spans="9:18" x14ac:dyDescent="0.25">
      <c r="I1169" s="46"/>
      <c r="J1169" s="26"/>
      <c r="K1169" s="26"/>
      <c r="L1169" s="26"/>
      <c r="M1169" s="26"/>
      <c r="N1169" s="26"/>
      <c r="O1169" s="26"/>
      <c r="P1169" s="26"/>
      <c r="Q1169" s="26"/>
      <c r="R1169" s="26"/>
    </row>
    <row r="1170" spans="9:18" x14ac:dyDescent="0.25">
      <c r="I1170" s="46"/>
      <c r="J1170" s="26"/>
      <c r="K1170" s="26"/>
      <c r="L1170" s="26"/>
      <c r="M1170" s="26"/>
      <c r="N1170" s="26"/>
      <c r="O1170" s="26"/>
      <c r="P1170" s="26"/>
      <c r="Q1170" s="26"/>
      <c r="R1170" s="26"/>
    </row>
    <row r="1171" spans="9:18" x14ac:dyDescent="0.25">
      <c r="I1171" s="46"/>
      <c r="J1171" s="26"/>
      <c r="K1171" s="26"/>
      <c r="L1171" s="26"/>
      <c r="M1171" s="26"/>
      <c r="N1171" s="26"/>
      <c r="O1171" s="26"/>
      <c r="P1171" s="26"/>
      <c r="Q1171" s="26"/>
      <c r="R1171" s="26"/>
    </row>
    <row r="1172" spans="9:18" x14ac:dyDescent="0.25">
      <c r="I1172" s="46"/>
      <c r="J1172" s="26"/>
      <c r="K1172" s="26"/>
      <c r="L1172" s="26"/>
      <c r="M1172" s="26"/>
      <c r="N1172" s="26"/>
      <c r="O1172" s="26"/>
      <c r="P1172" s="26"/>
      <c r="Q1172" s="26"/>
      <c r="R1172" s="26"/>
    </row>
    <row r="1173" spans="9:18" x14ac:dyDescent="0.25">
      <c r="I1173" s="46"/>
      <c r="J1173" s="26"/>
      <c r="K1173" s="26"/>
      <c r="L1173" s="26"/>
      <c r="M1173" s="26"/>
      <c r="N1173" s="26"/>
      <c r="O1173" s="26"/>
      <c r="P1173" s="26"/>
      <c r="Q1173" s="26"/>
      <c r="R1173" s="26"/>
    </row>
    <row r="1174" spans="9:18" x14ac:dyDescent="0.25">
      <c r="I1174" s="46"/>
      <c r="J1174" s="26"/>
      <c r="K1174" s="26"/>
      <c r="L1174" s="26"/>
      <c r="M1174" s="26"/>
      <c r="N1174" s="26"/>
      <c r="O1174" s="26"/>
      <c r="P1174" s="26"/>
      <c r="Q1174" s="26"/>
      <c r="R1174" s="26"/>
    </row>
    <row r="1175" spans="9:18" x14ac:dyDescent="0.25">
      <c r="I1175" s="46"/>
      <c r="J1175" s="26"/>
      <c r="K1175" s="26"/>
      <c r="L1175" s="26"/>
      <c r="M1175" s="26"/>
      <c r="N1175" s="26"/>
      <c r="O1175" s="26"/>
      <c r="P1175" s="26"/>
      <c r="Q1175" s="26"/>
      <c r="R1175" s="26"/>
    </row>
    <row r="1176" spans="9:18" x14ac:dyDescent="0.25">
      <c r="I1176" s="46"/>
      <c r="J1176" s="26"/>
      <c r="K1176" s="26"/>
      <c r="L1176" s="26"/>
      <c r="M1176" s="26"/>
      <c r="N1176" s="26"/>
      <c r="O1176" s="26"/>
      <c r="P1176" s="26"/>
      <c r="Q1176" s="26"/>
      <c r="R1176" s="26"/>
    </row>
    <row r="1177" spans="9:18" x14ac:dyDescent="0.25">
      <c r="I1177" s="46"/>
      <c r="J1177" s="26"/>
      <c r="K1177" s="26"/>
      <c r="L1177" s="26"/>
      <c r="M1177" s="26"/>
      <c r="N1177" s="26"/>
      <c r="O1177" s="26"/>
      <c r="P1177" s="26"/>
      <c r="Q1177" s="26"/>
      <c r="R1177" s="26"/>
    </row>
    <row r="1178" spans="9:18" x14ac:dyDescent="0.25">
      <c r="I1178" s="46"/>
      <c r="J1178" s="26"/>
      <c r="K1178" s="26"/>
      <c r="L1178" s="26"/>
      <c r="M1178" s="26"/>
      <c r="N1178" s="26"/>
      <c r="O1178" s="26"/>
      <c r="P1178" s="26"/>
      <c r="Q1178" s="26"/>
      <c r="R1178" s="26"/>
    </row>
    <row r="1179" spans="9:18" x14ac:dyDescent="0.25">
      <c r="I1179" s="46"/>
      <c r="J1179" s="26"/>
      <c r="K1179" s="26"/>
      <c r="L1179" s="26"/>
      <c r="M1179" s="26"/>
      <c r="N1179" s="26"/>
      <c r="O1179" s="26"/>
      <c r="P1179" s="26"/>
      <c r="Q1179" s="26"/>
      <c r="R1179" s="26"/>
    </row>
    <row r="1180" spans="9:18" x14ac:dyDescent="0.25">
      <c r="I1180" s="46"/>
      <c r="J1180" s="26"/>
      <c r="K1180" s="26"/>
      <c r="L1180" s="26"/>
      <c r="M1180" s="26"/>
      <c r="N1180" s="26"/>
      <c r="O1180" s="26"/>
      <c r="P1180" s="26"/>
      <c r="Q1180" s="26"/>
      <c r="R1180" s="26"/>
    </row>
    <row r="1181" spans="9:18" x14ac:dyDescent="0.25">
      <c r="I1181" s="46"/>
      <c r="J1181" s="26"/>
      <c r="K1181" s="26"/>
      <c r="L1181" s="26"/>
      <c r="M1181" s="26"/>
      <c r="N1181" s="26"/>
      <c r="O1181" s="26"/>
      <c r="P1181" s="26"/>
      <c r="Q1181" s="26"/>
      <c r="R1181" s="26"/>
    </row>
    <row r="1182" spans="9:18" x14ac:dyDescent="0.25">
      <c r="I1182" s="46"/>
      <c r="J1182" s="26"/>
      <c r="K1182" s="26"/>
      <c r="L1182" s="26"/>
      <c r="M1182" s="26"/>
      <c r="N1182" s="26"/>
      <c r="O1182" s="26"/>
      <c r="P1182" s="26"/>
      <c r="Q1182" s="26"/>
      <c r="R1182" s="26"/>
    </row>
    <row r="1183" spans="9:18" x14ac:dyDescent="0.25">
      <c r="I1183" s="46"/>
      <c r="J1183" s="26"/>
      <c r="K1183" s="26"/>
      <c r="L1183" s="26"/>
      <c r="M1183" s="26"/>
      <c r="N1183" s="26"/>
      <c r="O1183" s="26"/>
      <c r="P1183" s="26"/>
      <c r="Q1183" s="26"/>
      <c r="R1183" s="26"/>
    </row>
    <row r="1184" spans="9:18" x14ac:dyDescent="0.25">
      <c r="I1184" s="46"/>
      <c r="J1184" s="26"/>
      <c r="K1184" s="26"/>
      <c r="L1184" s="26"/>
      <c r="M1184" s="26"/>
      <c r="N1184" s="26"/>
      <c r="O1184" s="26"/>
      <c r="P1184" s="26"/>
      <c r="Q1184" s="26"/>
      <c r="R1184" s="26"/>
    </row>
    <row r="1185" spans="9:18" x14ac:dyDescent="0.25">
      <c r="I1185" s="46"/>
      <c r="J1185" s="26"/>
      <c r="K1185" s="26"/>
      <c r="L1185" s="26"/>
      <c r="M1185" s="26"/>
      <c r="N1185" s="26"/>
      <c r="O1185" s="26"/>
      <c r="P1185" s="26"/>
      <c r="Q1185" s="26"/>
      <c r="R1185" s="26"/>
    </row>
    <row r="1186" spans="9:18" x14ac:dyDescent="0.25">
      <c r="I1186" s="46"/>
      <c r="J1186" s="26"/>
      <c r="K1186" s="26"/>
      <c r="L1186" s="26"/>
      <c r="M1186" s="26"/>
      <c r="N1186" s="26"/>
      <c r="O1186" s="26"/>
      <c r="P1186" s="26"/>
      <c r="Q1186" s="26"/>
      <c r="R1186" s="26"/>
    </row>
    <row r="1187" spans="9:18" x14ac:dyDescent="0.25">
      <c r="I1187" s="46"/>
      <c r="J1187" s="26"/>
      <c r="K1187" s="26"/>
      <c r="L1187" s="26"/>
      <c r="M1187" s="26"/>
      <c r="N1187" s="26"/>
      <c r="O1187" s="26"/>
      <c r="P1187" s="26"/>
      <c r="Q1187" s="26"/>
      <c r="R1187" s="26"/>
    </row>
    <row r="1188" spans="9:18" x14ac:dyDescent="0.25">
      <c r="I1188" s="46"/>
      <c r="J1188" s="26"/>
      <c r="K1188" s="26"/>
      <c r="L1188" s="26"/>
      <c r="M1188" s="26"/>
      <c r="N1188" s="26"/>
      <c r="O1188" s="26"/>
      <c r="P1188" s="26"/>
      <c r="Q1188" s="26"/>
      <c r="R1188" s="26"/>
    </row>
    <row r="1189" spans="9:18" x14ac:dyDescent="0.25">
      <c r="I1189" s="46"/>
      <c r="J1189" s="26"/>
      <c r="K1189" s="26"/>
      <c r="L1189" s="26"/>
      <c r="M1189" s="26"/>
      <c r="N1189" s="26"/>
      <c r="O1189" s="26"/>
      <c r="P1189" s="26"/>
      <c r="Q1189" s="26"/>
      <c r="R1189" s="26"/>
    </row>
    <row r="1190" spans="9:18" x14ac:dyDescent="0.25">
      <c r="I1190" s="46"/>
      <c r="J1190" s="26"/>
      <c r="K1190" s="26"/>
      <c r="L1190" s="26"/>
      <c r="M1190" s="26"/>
      <c r="N1190" s="26"/>
      <c r="O1190" s="26"/>
      <c r="P1190" s="26"/>
      <c r="Q1190" s="26"/>
      <c r="R1190" s="26"/>
    </row>
    <row r="1191" spans="9:18" x14ac:dyDescent="0.25">
      <c r="I1191" s="46"/>
      <c r="J1191" s="26"/>
      <c r="K1191" s="26"/>
      <c r="L1191" s="26"/>
      <c r="M1191" s="26"/>
      <c r="N1191" s="26"/>
      <c r="O1191" s="26"/>
      <c r="P1191" s="26"/>
      <c r="Q1191" s="26"/>
      <c r="R1191" s="26"/>
    </row>
    <row r="1192" spans="9:18" x14ac:dyDescent="0.25">
      <c r="I1192" s="46"/>
      <c r="J1192" s="26"/>
      <c r="K1192" s="26"/>
      <c r="L1192" s="26"/>
      <c r="M1192" s="26"/>
      <c r="N1192" s="26"/>
      <c r="O1192" s="26"/>
      <c r="P1192" s="26"/>
      <c r="Q1192" s="26"/>
      <c r="R1192" s="26"/>
    </row>
    <row r="1193" spans="9:18" x14ac:dyDescent="0.25">
      <c r="I1193" s="46"/>
      <c r="J1193" s="26"/>
      <c r="K1193" s="26"/>
      <c r="L1193" s="26"/>
      <c r="M1193" s="26"/>
      <c r="N1193" s="26"/>
      <c r="O1193" s="26"/>
      <c r="P1193" s="26"/>
      <c r="Q1193" s="26"/>
      <c r="R1193" s="26"/>
    </row>
    <row r="1194" spans="9:18" x14ac:dyDescent="0.25">
      <c r="I1194" s="46"/>
      <c r="J1194" s="26"/>
      <c r="K1194" s="26"/>
      <c r="L1194" s="26"/>
      <c r="M1194" s="26"/>
      <c r="N1194" s="26"/>
      <c r="O1194" s="26"/>
      <c r="P1194" s="26"/>
      <c r="Q1194" s="26"/>
      <c r="R1194" s="26"/>
    </row>
    <row r="1195" spans="9:18" x14ac:dyDescent="0.25">
      <c r="I1195" s="46"/>
      <c r="J1195" s="26"/>
      <c r="K1195" s="26"/>
      <c r="L1195" s="26"/>
      <c r="M1195" s="26"/>
      <c r="N1195" s="26"/>
      <c r="O1195" s="26"/>
      <c r="P1195" s="26"/>
      <c r="Q1195" s="26"/>
      <c r="R1195" s="26"/>
    </row>
    <row r="1196" spans="9:18" x14ac:dyDescent="0.25">
      <c r="I1196" s="46"/>
      <c r="J1196" s="26"/>
      <c r="K1196" s="26"/>
      <c r="L1196" s="26"/>
      <c r="M1196" s="26"/>
      <c r="N1196" s="26"/>
      <c r="O1196" s="26"/>
      <c r="P1196" s="26"/>
      <c r="Q1196" s="26"/>
      <c r="R1196" s="26"/>
    </row>
    <row r="1197" spans="9:18" x14ac:dyDescent="0.25">
      <c r="I1197" s="46"/>
      <c r="J1197" s="26"/>
      <c r="K1197" s="26"/>
      <c r="L1197" s="26"/>
      <c r="M1197" s="26"/>
      <c r="N1197" s="26"/>
      <c r="O1197" s="26"/>
      <c r="P1197" s="26"/>
      <c r="Q1197" s="26"/>
      <c r="R1197" s="26"/>
    </row>
    <row r="1198" spans="9:18" x14ac:dyDescent="0.25">
      <c r="I1198" s="46"/>
      <c r="J1198" s="26"/>
      <c r="K1198" s="26"/>
      <c r="L1198" s="26"/>
      <c r="M1198" s="26"/>
      <c r="N1198" s="26"/>
      <c r="O1198" s="26"/>
      <c r="P1198" s="26"/>
      <c r="Q1198" s="26"/>
      <c r="R1198" s="26"/>
    </row>
    <row r="1199" spans="9:18" x14ac:dyDescent="0.25">
      <c r="I1199" s="46"/>
      <c r="J1199" s="26"/>
      <c r="K1199" s="26"/>
      <c r="L1199" s="26"/>
      <c r="M1199" s="26"/>
      <c r="N1199" s="26"/>
      <c r="O1199" s="26"/>
      <c r="P1199" s="26"/>
      <c r="Q1199" s="26"/>
      <c r="R1199" s="26"/>
    </row>
    <row r="1200" spans="9:18" x14ac:dyDescent="0.25">
      <c r="I1200" s="46"/>
      <c r="J1200" s="26"/>
      <c r="K1200" s="26"/>
      <c r="L1200" s="26"/>
      <c r="M1200" s="26"/>
      <c r="N1200" s="26"/>
      <c r="O1200" s="26"/>
      <c r="P1200" s="26"/>
      <c r="Q1200" s="26"/>
      <c r="R1200" s="26"/>
    </row>
    <row r="1201" spans="9:18" x14ac:dyDescent="0.25">
      <c r="I1201" s="46"/>
      <c r="J1201" s="26"/>
      <c r="K1201" s="26"/>
      <c r="L1201" s="26"/>
      <c r="M1201" s="26"/>
      <c r="N1201" s="26"/>
      <c r="O1201" s="26"/>
      <c r="P1201" s="26"/>
      <c r="Q1201" s="26"/>
      <c r="R1201" s="26"/>
    </row>
    <row r="1202" spans="9:18" x14ac:dyDescent="0.25">
      <c r="I1202" s="46"/>
      <c r="J1202" s="26"/>
      <c r="K1202" s="26"/>
      <c r="L1202" s="26"/>
      <c r="M1202" s="26"/>
      <c r="N1202" s="26"/>
      <c r="O1202" s="26"/>
      <c r="P1202" s="26"/>
      <c r="Q1202" s="26"/>
      <c r="R1202" s="26"/>
    </row>
    <row r="1203" spans="9:18" x14ac:dyDescent="0.25">
      <c r="I1203" s="46"/>
      <c r="J1203" s="26"/>
      <c r="K1203" s="26"/>
      <c r="L1203" s="26"/>
      <c r="M1203" s="26"/>
      <c r="N1203" s="26"/>
      <c r="O1203" s="26"/>
      <c r="P1203" s="26"/>
      <c r="Q1203" s="26"/>
      <c r="R1203" s="26"/>
    </row>
    <row r="1204" spans="9:18" x14ac:dyDescent="0.25">
      <c r="I1204" s="46"/>
      <c r="J1204" s="26"/>
      <c r="K1204" s="26"/>
      <c r="L1204" s="26"/>
      <c r="M1204" s="26"/>
      <c r="N1204" s="26"/>
      <c r="O1204" s="26"/>
      <c r="P1204" s="26"/>
      <c r="Q1204" s="26"/>
      <c r="R1204" s="26"/>
    </row>
    <row r="1205" spans="9:18" x14ac:dyDescent="0.25">
      <c r="I1205" s="46"/>
      <c r="J1205" s="26"/>
      <c r="K1205" s="26"/>
      <c r="L1205" s="26"/>
      <c r="M1205" s="26"/>
      <c r="N1205" s="26"/>
      <c r="O1205" s="26"/>
      <c r="P1205" s="26"/>
      <c r="Q1205" s="26"/>
      <c r="R1205" s="26"/>
    </row>
    <row r="1206" spans="9:18" x14ac:dyDescent="0.25">
      <c r="I1206" s="46"/>
      <c r="J1206" s="26"/>
      <c r="K1206" s="26"/>
      <c r="L1206" s="26"/>
      <c r="M1206" s="26"/>
      <c r="N1206" s="26"/>
      <c r="O1206" s="26"/>
      <c r="P1206" s="26"/>
      <c r="Q1206" s="26"/>
      <c r="R1206" s="26"/>
    </row>
    <row r="1207" spans="9:18" x14ac:dyDescent="0.25">
      <c r="I1207" s="46"/>
      <c r="J1207" s="26"/>
      <c r="K1207" s="26"/>
      <c r="L1207" s="26"/>
      <c r="M1207" s="26"/>
      <c r="N1207" s="26"/>
      <c r="O1207" s="26"/>
      <c r="P1207" s="26"/>
      <c r="Q1207" s="26"/>
      <c r="R1207" s="26"/>
    </row>
    <row r="1208" spans="9:18" x14ac:dyDescent="0.25">
      <c r="I1208" s="46"/>
      <c r="J1208" s="26"/>
      <c r="K1208" s="26"/>
      <c r="L1208" s="26"/>
      <c r="M1208" s="26"/>
      <c r="N1208" s="26"/>
      <c r="O1208" s="26"/>
      <c r="P1208" s="26"/>
      <c r="Q1208" s="26"/>
      <c r="R1208" s="26"/>
    </row>
    <row r="1209" spans="9:18" x14ac:dyDescent="0.25">
      <c r="I1209" s="46"/>
      <c r="J1209" s="26"/>
      <c r="K1209" s="26"/>
      <c r="L1209" s="26"/>
      <c r="M1209" s="26"/>
      <c r="N1209" s="26"/>
      <c r="O1209" s="26"/>
      <c r="P1209" s="26"/>
      <c r="Q1209" s="26"/>
      <c r="R1209" s="26"/>
    </row>
    <row r="1210" spans="9:18" x14ac:dyDescent="0.25">
      <c r="I1210" s="46"/>
      <c r="J1210" s="26"/>
      <c r="K1210" s="26"/>
      <c r="L1210" s="26"/>
      <c r="M1210" s="26"/>
      <c r="N1210" s="26"/>
      <c r="O1210" s="26"/>
      <c r="P1210" s="26"/>
      <c r="Q1210" s="26"/>
      <c r="R1210" s="26"/>
    </row>
    <row r="1211" spans="9:18" x14ac:dyDescent="0.25">
      <c r="I1211" s="46"/>
      <c r="J1211" s="26"/>
      <c r="K1211" s="26"/>
      <c r="L1211" s="26"/>
      <c r="M1211" s="26"/>
      <c r="N1211" s="26"/>
      <c r="O1211" s="26"/>
      <c r="P1211" s="26"/>
      <c r="Q1211" s="26"/>
      <c r="R1211" s="26"/>
    </row>
    <row r="1212" spans="9:18" x14ac:dyDescent="0.25">
      <c r="I1212" s="46"/>
      <c r="J1212" s="26"/>
      <c r="K1212" s="26"/>
      <c r="L1212" s="26"/>
      <c r="M1212" s="26"/>
      <c r="N1212" s="26"/>
      <c r="O1212" s="26"/>
      <c r="P1212" s="26"/>
      <c r="Q1212" s="26"/>
      <c r="R1212" s="26"/>
    </row>
    <row r="1213" spans="9:18" x14ac:dyDescent="0.25">
      <c r="I1213" s="46"/>
      <c r="J1213" s="26"/>
      <c r="K1213" s="26"/>
      <c r="L1213" s="26"/>
      <c r="M1213" s="26"/>
      <c r="N1213" s="26"/>
      <c r="O1213" s="26"/>
      <c r="P1213" s="26"/>
      <c r="Q1213" s="26"/>
      <c r="R1213" s="26"/>
    </row>
    <row r="1214" spans="9:18" x14ac:dyDescent="0.25">
      <c r="I1214" s="46"/>
      <c r="J1214" s="26"/>
      <c r="K1214" s="26"/>
      <c r="L1214" s="26"/>
      <c r="M1214" s="26"/>
      <c r="N1214" s="26"/>
      <c r="O1214" s="26"/>
      <c r="P1214" s="26"/>
      <c r="Q1214" s="26"/>
      <c r="R1214" s="26"/>
    </row>
    <row r="1215" spans="9:18" x14ac:dyDescent="0.25">
      <c r="I1215" s="46"/>
      <c r="J1215" s="26"/>
      <c r="K1215" s="26"/>
      <c r="L1215" s="26"/>
      <c r="M1215" s="26"/>
      <c r="N1215" s="26"/>
      <c r="O1215" s="26"/>
      <c r="P1215" s="26"/>
      <c r="Q1215" s="26"/>
      <c r="R1215" s="26"/>
    </row>
    <row r="1216" spans="9:18" x14ac:dyDescent="0.25">
      <c r="I1216" s="46"/>
      <c r="J1216" s="26"/>
      <c r="K1216" s="26"/>
      <c r="L1216" s="26"/>
      <c r="M1216" s="26"/>
      <c r="N1216" s="26"/>
      <c r="O1216" s="26"/>
      <c r="P1216" s="26"/>
      <c r="Q1216" s="26"/>
      <c r="R1216" s="26"/>
    </row>
    <row r="1217" spans="9:18" x14ac:dyDescent="0.25">
      <c r="I1217" s="46"/>
      <c r="J1217" s="26"/>
      <c r="K1217" s="26"/>
      <c r="L1217" s="26"/>
      <c r="M1217" s="26"/>
      <c r="N1217" s="26"/>
      <c r="O1217" s="26"/>
      <c r="P1217" s="26"/>
      <c r="Q1217" s="26"/>
      <c r="R1217" s="26"/>
    </row>
    <row r="1218" spans="9:18" x14ac:dyDescent="0.25">
      <c r="I1218" s="46"/>
      <c r="J1218" s="26"/>
      <c r="K1218" s="26"/>
      <c r="L1218" s="26"/>
      <c r="M1218" s="26"/>
      <c r="N1218" s="26"/>
      <c r="O1218" s="26"/>
      <c r="P1218" s="26"/>
      <c r="Q1218" s="26"/>
      <c r="R1218" s="26"/>
    </row>
    <row r="1219" spans="9:18" x14ac:dyDescent="0.25">
      <c r="I1219" s="46"/>
      <c r="J1219" s="26"/>
      <c r="K1219" s="26"/>
      <c r="L1219" s="26"/>
      <c r="M1219" s="26"/>
      <c r="N1219" s="26"/>
      <c r="O1219" s="26"/>
      <c r="P1219" s="26"/>
      <c r="Q1219" s="26"/>
      <c r="R1219" s="26"/>
    </row>
    <row r="1220" spans="9:18" x14ac:dyDescent="0.25">
      <c r="I1220" s="46"/>
      <c r="J1220" s="26"/>
      <c r="K1220" s="26"/>
      <c r="L1220" s="26"/>
      <c r="M1220" s="26"/>
      <c r="N1220" s="26"/>
      <c r="O1220" s="26"/>
      <c r="P1220" s="26"/>
      <c r="Q1220" s="26"/>
      <c r="R1220" s="26"/>
    </row>
    <row r="1221" spans="9:18" x14ac:dyDescent="0.25">
      <c r="I1221" s="46"/>
      <c r="J1221" s="26"/>
      <c r="K1221" s="26"/>
      <c r="L1221" s="26"/>
      <c r="M1221" s="26"/>
      <c r="N1221" s="26"/>
      <c r="O1221" s="26"/>
      <c r="P1221" s="26"/>
      <c r="Q1221" s="26"/>
      <c r="R1221" s="26"/>
    </row>
    <row r="1222" spans="9:18" x14ac:dyDescent="0.25">
      <c r="I1222" s="46"/>
      <c r="J1222" s="26"/>
      <c r="K1222" s="26"/>
      <c r="L1222" s="26"/>
      <c r="M1222" s="26"/>
      <c r="N1222" s="26"/>
      <c r="O1222" s="26"/>
      <c r="P1222" s="26"/>
      <c r="Q1222" s="26"/>
      <c r="R1222" s="26"/>
    </row>
    <row r="1223" spans="9:18" x14ac:dyDescent="0.25">
      <c r="I1223" s="46"/>
      <c r="J1223" s="26"/>
      <c r="K1223" s="26"/>
      <c r="L1223" s="26"/>
      <c r="M1223" s="26"/>
      <c r="N1223" s="26"/>
      <c r="O1223" s="26"/>
      <c r="P1223" s="26"/>
      <c r="Q1223" s="26"/>
      <c r="R1223" s="26"/>
    </row>
    <row r="1224" spans="9:18" x14ac:dyDescent="0.25">
      <c r="I1224" s="46"/>
      <c r="J1224" s="26"/>
      <c r="K1224" s="26"/>
      <c r="L1224" s="26"/>
      <c r="M1224" s="26"/>
      <c r="N1224" s="26"/>
      <c r="O1224" s="26"/>
      <c r="P1224" s="26"/>
      <c r="Q1224" s="26"/>
      <c r="R1224" s="26"/>
    </row>
    <row r="1225" spans="9:18" x14ac:dyDescent="0.25">
      <c r="I1225" s="46"/>
      <c r="J1225" s="26"/>
      <c r="K1225" s="26"/>
      <c r="L1225" s="26"/>
      <c r="M1225" s="26"/>
      <c r="N1225" s="26"/>
      <c r="O1225" s="26"/>
      <c r="P1225" s="26"/>
      <c r="Q1225" s="26"/>
      <c r="R1225" s="26"/>
    </row>
    <row r="1226" spans="9:18" x14ac:dyDescent="0.25">
      <c r="I1226" s="46"/>
      <c r="J1226" s="26"/>
      <c r="K1226" s="26"/>
      <c r="L1226" s="26"/>
      <c r="M1226" s="26"/>
      <c r="N1226" s="26"/>
      <c r="O1226" s="26"/>
      <c r="P1226" s="26"/>
      <c r="Q1226" s="26"/>
      <c r="R1226" s="26"/>
    </row>
    <row r="1227" spans="9:18" x14ac:dyDescent="0.25">
      <c r="I1227" s="46"/>
      <c r="J1227" s="26"/>
      <c r="K1227" s="26"/>
      <c r="L1227" s="26"/>
      <c r="M1227" s="26"/>
      <c r="N1227" s="26"/>
      <c r="O1227" s="26"/>
      <c r="P1227" s="26"/>
      <c r="Q1227" s="26"/>
      <c r="R1227" s="26"/>
    </row>
    <row r="1228" spans="9:18" x14ac:dyDescent="0.25">
      <c r="I1228" s="46"/>
      <c r="J1228" s="26"/>
      <c r="K1228" s="26"/>
      <c r="L1228" s="26"/>
      <c r="M1228" s="26"/>
      <c r="N1228" s="26"/>
      <c r="O1228" s="26"/>
      <c r="P1228" s="26"/>
      <c r="Q1228" s="26"/>
      <c r="R1228" s="26"/>
    </row>
    <row r="1229" spans="9:18" x14ac:dyDescent="0.25">
      <c r="I1229" s="46"/>
      <c r="J1229" s="26"/>
      <c r="K1229" s="26"/>
      <c r="L1229" s="26"/>
      <c r="M1229" s="26"/>
      <c r="N1229" s="26"/>
      <c r="O1229" s="26"/>
      <c r="P1229" s="26"/>
      <c r="Q1229" s="26"/>
      <c r="R1229" s="26"/>
    </row>
    <row r="1230" spans="9:18" x14ac:dyDescent="0.25">
      <c r="I1230" s="46"/>
      <c r="J1230" s="26"/>
      <c r="K1230" s="26"/>
      <c r="L1230" s="26"/>
      <c r="M1230" s="26"/>
      <c r="N1230" s="26"/>
      <c r="O1230" s="26"/>
      <c r="P1230" s="26"/>
      <c r="Q1230" s="26"/>
      <c r="R1230" s="26"/>
    </row>
    <row r="1231" spans="9:18" x14ac:dyDescent="0.25">
      <c r="I1231" s="46"/>
      <c r="J1231" s="26"/>
      <c r="K1231" s="26"/>
      <c r="L1231" s="26"/>
      <c r="M1231" s="26"/>
      <c r="N1231" s="26"/>
      <c r="O1231" s="26"/>
      <c r="P1231" s="26"/>
      <c r="Q1231" s="26"/>
      <c r="R1231" s="26"/>
    </row>
    <row r="1232" spans="9:18" x14ac:dyDescent="0.25">
      <c r="I1232" s="46"/>
      <c r="J1232" s="26"/>
      <c r="K1232" s="26"/>
      <c r="L1232" s="26"/>
      <c r="M1232" s="26"/>
      <c r="N1232" s="26"/>
      <c r="O1232" s="26"/>
      <c r="P1232" s="26"/>
      <c r="Q1232" s="26"/>
      <c r="R1232" s="26"/>
    </row>
    <row r="1233" spans="9:18" x14ac:dyDescent="0.25">
      <c r="I1233" s="46"/>
      <c r="J1233" s="26"/>
      <c r="K1233" s="26"/>
      <c r="L1233" s="26"/>
      <c r="M1233" s="26"/>
      <c r="N1233" s="26"/>
      <c r="O1233" s="26"/>
      <c r="P1233" s="26"/>
      <c r="Q1233" s="26"/>
      <c r="R1233" s="26"/>
    </row>
    <row r="1234" spans="9:18" x14ac:dyDescent="0.25">
      <c r="I1234" s="46"/>
      <c r="J1234" s="26"/>
      <c r="K1234" s="26"/>
      <c r="L1234" s="26"/>
      <c r="M1234" s="26"/>
      <c r="N1234" s="26"/>
      <c r="O1234" s="26"/>
      <c r="P1234" s="26"/>
      <c r="Q1234" s="26"/>
      <c r="R1234" s="26"/>
    </row>
    <row r="1235" spans="9:18" x14ac:dyDescent="0.25">
      <c r="I1235" s="46"/>
      <c r="J1235" s="26"/>
      <c r="K1235" s="26"/>
      <c r="L1235" s="26"/>
      <c r="M1235" s="26"/>
      <c r="N1235" s="26"/>
      <c r="O1235" s="26"/>
      <c r="P1235" s="26"/>
      <c r="Q1235" s="26"/>
      <c r="R1235" s="26"/>
    </row>
    <row r="1236" spans="9:18" x14ac:dyDescent="0.25">
      <c r="I1236" s="46"/>
      <c r="J1236" s="26"/>
      <c r="K1236" s="26"/>
      <c r="L1236" s="26"/>
      <c r="M1236" s="26"/>
      <c r="N1236" s="26"/>
      <c r="O1236" s="26"/>
      <c r="P1236" s="26"/>
      <c r="Q1236" s="26"/>
      <c r="R1236" s="26"/>
    </row>
    <row r="1237" spans="9:18" x14ac:dyDescent="0.25">
      <c r="I1237" s="46"/>
      <c r="J1237" s="26"/>
      <c r="K1237" s="26"/>
      <c r="L1237" s="26"/>
      <c r="M1237" s="26"/>
      <c r="N1237" s="26"/>
      <c r="O1237" s="26"/>
      <c r="P1237" s="26"/>
      <c r="Q1237" s="26"/>
      <c r="R1237" s="26"/>
    </row>
    <row r="1238" spans="9:18" x14ac:dyDescent="0.25">
      <c r="I1238" s="46"/>
      <c r="J1238" s="26"/>
      <c r="K1238" s="26"/>
      <c r="L1238" s="26"/>
      <c r="M1238" s="26"/>
      <c r="N1238" s="26"/>
      <c r="O1238" s="26"/>
      <c r="P1238" s="26"/>
      <c r="Q1238" s="26"/>
      <c r="R1238" s="26"/>
    </row>
    <row r="1239" spans="9:18" x14ac:dyDescent="0.25">
      <c r="I1239" s="46"/>
      <c r="J1239" s="26"/>
      <c r="K1239" s="26"/>
      <c r="L1239" s="26"/>
      <c r="M1239" s="26"/>
      <c r="N1239" s="26"/>
      <c r="O1239" s="26"/>
      <c r="P1239" s="26"/>
      <c r="Q1239" s="26"/>
      <c r="R1239" s="26"/>
    </row>
    <row r="1240" spans="9:18" x14ac:dyDescent="0.25">
      <c r="I1240" s="46"/>
      <c r="J1240" s="26"/>
      <c r="K1240" s="26"/>
      <c r="L1240" s="26"/>
      <c r="M1240" s="26"/>
      <c r="N1240" s="26"/>
      <c r="O1240" s="26"/>
      <c r="P1240" s="26"/>
      <c r="Q1240" s="26"/>
      <c r="R1240" s="26"/>
    </row>
    <row r="1241" spans="9:18" x14ac:dyDescent="0.25">
      <c r="I1241" s="46"/>
      <c r="J1241" s="26"/>
      <c r="K1241" s="26"/>
      <c r="L1241" s="26"/>
      <c r="M1241" s="26"/>
      <c r="N1241" s="26"/>
      <c r="O1241" s="26"/>
      <c r="P1241" s="26"/>
      <c r="Q1241" s="26"/>
      <c r="R1241" s="26"/>
    </row>
    <row r="1242" spans="9:18" x14ac:dyDescent="0.25">
      <c r="I1242" s="46"/>
      <c r="J1242" s="26"/>
      <c r="K1242" s="26"/>
      <c r="L1242" s="26"/>
      <c r="M1242" s="26"/>
      <c r="N1242" s="26"/>
      <c r="O1242" s="26"/>
      <c r="P1242" s="26"/>
      <c r="Q1242" s="26"/>
      <c r="R1242" s="26"/>
    </row>
    <row r="1243" spans="9:18" x14ac:dyDescent="0.25">
      <c r="I1243" s="46"/>
      <c r="J1243" s="26"/>
      <c r="K1243" s="26"/>
      <c r="L1243" s="26"/>
      <c r="M1243" s="26"/>
      <c r="N1243" s="26"/>
      <c r="O1243" s="26"/>
      <c r="P1243" s="26"/>
      <c r="Q1243" s="26"/>
      <c r="R1243" s="26"/>
    </row>
    <row r="1244" spans="9:18" x14ac:dyDescent="0.25">
      <c r="I1244" s="46"/>
      <c r="J1244" s="26"/>
      <c r="K1244" s="26"/>
      <c r="L1244" s="26"/>
      <c r="M1244" s="26"/>
      <c r="N1244" s="26"/>
      <c r="O1244" s="26"/>
      <c r="P1244" s="26"/>
      <c r="Q1244" s="26"/>
      <c r="R1244" s="26"/>
    </row>
    <row r="1245" spans="9:18" x14ac:dyDescent="0.25">
      <c r="I1245" s="46"/>
      <c r="J1245" s="26"/>
      <c r="K1245" s="26"/>
      <c r="L1245" s="26"/>
      <c r="M1245" s="26"/>
      <c r="N1245" s="26"/>
      <c r="O1245" s="26"/>
      <c r="P1245" s="26"/>
      <c r="Q1245" s="26"/>
      <c r="R1245" s="26"/>
    </row>
    <row r="1246" spans="9:18" x14ac:dyDescent="0.25">
      <c r="I1246" s="46"/>
      <c r="J1246" s="26"/>
      <c r="K1246" s="26"/>
      <c r="L1246" s="26"/>
      <c r="M1246" s="26"/>
      <c r="N1246" s="26"/>
      <c r="O1246" s="26"/>
      <c r="P1246" s="26"/>
      <c r="Q1246" s="26"/>
      <c r="R1246" s="26"/>
    </row>
    <row r="1247" spans="9:18" x14ac:dyDescent="0.25">
      <c r="I1247" s="46"/>
      <c r="J1247" s="26"/>
      <c r="K1247" s="26"/>
      <c r="L1247" s="26"/>
      <c r="M1247" s="26"/>
      <c r="N1247" s="26"/>
      <c r="O1247" s="26"/>
      <c r="P1247" s="26"/>
      <c r="Q1247" s="26"/>
      <c r="R1247" s="26"/>
    </row>
    <row r="1248" spans="9:18" x14ac:dyDescent="0.25">
      <c r="I1248" s="46"/>
      <c r="J1248" s="26"/>
      <c r="K1248" s="26"/>
      <c r="L1248" s="26"/>
      <c r="M1248" s="26"/>
      <c r="N1248" s="26"/>
      <c r="O1248" s="26"/>
      <c r="P1248" s="26"/>
      <c r="Q1248" s="26"/>
      <c r="R1248" s="26"/>
    </row>
    <row r="1249" spans="9:18" x14ac:dyDescent="0.25">
      <c r="I1249" s="46"/>
      <c r="J1249" s="26"/>
      <c r="K1249" s="26"/>
      <c r="L1249" s="26"/>
      <c r="M1249" s="26"/>
      <c r="N1249" s="26"/>
      <c r="O1249" s="26"/>
      <c r="P1249" s="26"/>
      <c r="Q1249" s="26"/>
      <c r="R1249" s="26"/>
    </row>
    <row r="1250" spans="9:18" x14ac:dyDescent="0.25">
      <c r="I1250" s="46"/>
      <c r="J1250" s="26"/>
      <c r="K1250" s="26"/>
      <c r="L1250" s="26"/>
      <c r="M1250" s="26"/>
      <c r="N1250" s="26"/>
      <c r="O1250" s="26"/>
      <c r="P1250" s="26"/>
      <c r="Q1250" s="26"/>
      <c r="R1250" s="26"/>
    </row>
    <row r="1251" spans="9:18" x14ac:dyDescent="0.25">
      <c r="I1251" s="46"/>
      <c r="J1251" s="26"/>
      <c r="K1251" s="26"/>
      <c r="L1251" s="26"/>
      <c r="M1251" s="26"/>
      <c r="N1251" s="26"/>
      <c r="O1251" s="26"/>
      <c r="P1251" s="26"/>
      <c r="Q1251" s="26"/>
      <c r="R1251" s="26"/>
    </row>
    <row r="1252" spans="9:18" x14ac:dyDescent="0.25">
      <c r="I1252" s="46"/>
      <c r="J1252" s="26"/>
      <c r="K1252" s="26"/>
      <c r="L1252" s="26"/>
      <c r="M1252" s="26"/>
      <c r="N1252" s="26"/>
      <c r="O1252" s="26"/>
      <c r="P1252" s="26"/>
      <c r="Q1252" s="26"/>
      <c r="R1252" s="26"/>
    </row>
    <row r="1253" spans="9:18" x14ac:dyDescent="0.25">
      <c r="I1253" s="46"/>
      <c r="J1253" s="26"/>
      <c r="K1253" s="26"/>
      <c r="L1253" s="26"/>
      <c r="M1253" s="26"/>
      <c r="N1253" s="26"/>
      <c r="O1253" s="26"/>
      <c r="P1253" s="26"/>
      <c r="Q1253" s="26"/>
      <c r="R1253" s="26"/>
    </row>
    <row r="1254" spans="9:18" x14ac:dyDescent="0.25">
      <c r="I1254" s="46"/>
      <c r="J1254" s="26"/>
      <c r="K1254" s="26"/>
      <c r="L1254" s="26"/>
      <c r="M1254" s="26"/>
      <c r="N1254" s="26"/>
      <c r="O1254" s="26"/>
      <c r="P1254" s="26"/>
      <c r="Q1254" s="26"/>
      <c r="R1254" s="26"/>
    </row>
    <row r="1255" spans="9:18" x14ac:dyDescent="0.25">
      <c r="I1255" s="46"/>
      <c r="J1255" s="26"/>
      <c r="K1255" s="26"/>
      <c r="L1255" s="26"/>
      <c r="M1255" s="26"/>
      <c r="N1255" s="26"/>
      <c r="O1255" s="26"/>
      <c r="P1255" s="26"/>
      <c r="Q1255" s="26"/>
      <c r="R1255" s="26"/>
    </row>
    <row r="1256" spans="9:18" x14ac:dyDescent="0.25">
      <c r="I1256" s="46"/>
      <c r="J1256" s="26"/>
      <c r="K1256" s="26"/>
      <c r="L1256" s="26"/>
      <c r="M1256" s="26"/>
      <c r="N1256" s="26"/>
      <c r="O1256" s="26"/>
      <c r="P1256" s="26"/>
      <c r="Q1256" s="26"/>
      <c r="R1256" s="26"/>
    </row>
    <row r="1257" spans="9:18" x14ac:dyDescent="0.25">
      <c r="I1257" s="46"/>
      <c r="J1257" s="26"/>
      <c r="K1257" s="26"/>
      <c r="L1257" s="26"/>
      <c r="M1257" s="26"/>
      <c r="N1257" s="26"/>
      <c r="O1257" s="26"/>
      <c r="P1257" s="26"/>
      <c r="Q1257" s="26"/>
      <c r="R1257" s="26"/>
    </row>
    <row r="1258" spans="9:18" x14ac:dyDescent="0.25">
      <c r="I1258" s="46"/>
      <c r="J1258" s="26"/>
      <c r="K1258" s="26"/>
      <c r="L1258" s="26"/>
      <c r="M1258" s="26"/>
      <c r="N1258" s="26"/>
      <c r="O1258" s="26"/>
      <c r="P1258" s="26"/>
      <c r="Q1258" s="26"/>
      <c r="R1258" s="26"/>
    </row>
    <row r="1259" spans="9:18" x14ac:dyDescent="0.25">
      <c r="I1259" s="46"/>
      <c r="J1259" s="26"/>
      <c r="K1259" s="26"/>
      <c r="L1259" s="26"/>
      <c r="M1259" s="26"/>
      <c r="N1259" s="26"/>
      <c r="O1259" s="26"/>
      <c r="P1259" s="26"/>
      <c r="Q1259" s="26"/>
      <c r="R1259" s="26"/>
    </row>
    <row r="1260" spans="9:18" x14ac:dyDescent="0.25">
      <c r="I1260" s="46"/>
      <c r="J1260" s="26"/>
      <c r="K1260" s="26"/>
      <c r="L1260" s="26"/>
      <c r="M1260" s="26"/>
      <c r="N1260" s="26"/>
      <c r="O1260" s="26"/>
      <c r="P1260" s="26"/>
      <c r="Q1260" s="26"/>
      <c r="R1260" s="26"/>
    </row>
    <row r="1261" spans="9:18" x14ac:dyDescent="0.25">
      <c r="I1261" s="46"/>
      <c r="J1261" s="26"/>
      <c r="K1261" s="26"/>
      <c r="L1261" s="26"/>
      <c r="M1261" s="26"/>
      <c r="N1261" s="26"/>
      <c r="O1261" s="26"/>
      <c r="P1261" s="26"/>
      <c r="Q1261" s="26"/>
      <c r="R1261" s="26"/>
    </row>
    <row r="1262" spans="9:18" x14ac:dyDescent="0.25">
      <c r="I1262" s="46"/>
      <c r="J1262" s="26"/>
      <c r="K1262" s="26"/>
      <c r="L1262" s="26"/>
      <c r="M1262" s="26"/>
      <c r="N1262" s="26"/>
      <c r="O1262" s="26"/>
      <c r="P1262" s="26"/>
      <c r="Q1262" s="26"/>
      <c r="R1262" s="26"/>
    </row>
    <row r="1263" spans="9:18" x14ac:dyDescent="0.25">
      <c r="I1263" s="46"/>
      <c r="J1263" s="26"/>
      <c r="K1263" s="26"/>
      <c r="L1263" s="26"/>
      <c r="M1263" s="26"/>
      <c r="N1263" s="26"/>
      <c r="O1263" s="26"/>
      <c r="P1263" s="26"/>
      <c r="Q1263" s="26"/>
      <c r="R1263" s="26"/>
    </row>
    <row r="1264" spans="9:18" x14ac:dyDescent="0.25">
      <c r="I1264" s="46"/>
      <c r="J1264" s="26"/>
      <c r="K1264" s="26"/>
      <c r="L1264" s="26"/>
      <c r="M1264" s="26"/>
      <c r="N1264" s="26"/>
      <c r="O1264" s="26"/>
      <c r="P1264" s="26"/>
      <c r="Q1264" s="26"/>
      <c r="R1264" s="26"/>
    </row>
    <row r="1265" spans="9:18" x14ac:dyDescent="0.25">
      <c r="I1265" s="46"/>
      <c r="J1265" s="26"/>
      <c r="K1265" s="26"/>
      <c r="L1265" s="26"/>
      <c r="M1265" s="26"/>
      <c r="N1265" s="26"/>
      <c r="O1265" s="26"/>
      <c r="P1265" s="26"/>
      <c r="Q1265" s="26"/>
      <c r="R1265" s="26"/>
    </row>
    <row r="1266" spans="9:18" x14ac:dyDescent="0.25">
      <c r="I1266" s="46"/>
      <c r="J1266" s="26"/>
      <c r="K1266" s="26"/>
      <c r="L1266" s="26"/>
      <c r="M1266" s="26"/>
      <c r="N1266" s="26"/>
      <c r="O1266" s="26"/>
      <c r="P1266" s="26"/>
      <c r="Q1266" s="26"/>
      <c r="R1266" s="26"/>
    </row>
    <row r="1267" spans="9:18" x14ac:dyDescent="0.25">
      <c r="I1267" s="46"/>
      <c r="J1267" s="26"/>
      <c r="K1267" s="26"/>
      <c r="L1267" s="26"/>
      <c r="M1267" s="26"/>
      <c r="N1267" s="26"/>
      <c r="O1267" s="26"/>
      <c r="P1267" s="26"/>
      <c r="Q1267" s="26"/>
      <c r="R1267" s="26"/>
    </row>
    <row r="1268" spans="9:18" x14ac:dyDescent="0.25">
      <c r="I1268" s="46"/>
      <c r="J1268" s="26"/>
      <c r="K1268" s="26"/>
      <c r="L1268" s="26"/>
      <c r="M1268" s="26"/>
      <c r="N1268" s="26"/>
      <c r="O1268" s="26"/>
      <c r="P1268" s="26"/>
      <c r="Q1268" s="26"/>
      <c r="R1268" s="26"/>
    </row>
    <row r="1269" spans="9:18" x14ac:dyDescent="0.25">
      <c r="I1269" s="46"/>
      <c r="J1269" s="26"/>
      <c r="K1269" s="26"/>
      <c r="L1269" s="26"/>
      <c r="M1269" s="26"/>
      <c r="N1269" s="26"/>
      <c r="O1269" s="26"/>
      <c r="P1269" s="26"/>
      <c r="Q1269" s="26"/>
      <c r="R1269" s="26"/>
    </row>
    <row r="1270" spans="9:18" x14ac:dyDescent="0.25">
      <c r="I1270" s="46"/>
      <c r="J1270" s="26"/>
      <c r="K1270" s="26"/>
      <c r="L1270" s="26"/>
      <c r="M1270" s="26"/>
      <c r="N1270" s="26"/>
      <c r="O1270" s="26"/>
      <c r="P1270" s="26"/>
      <c r="Q1270" s="26"/>
      <c r="R1270" s="26"/>
    </row>
    <row r="1271" spans="9:18" x14ac:dyDescent="0.25">
      <c r="I1271" s="46"/>
      <c r="J1271" s="26"/>
      <c r="K1271" s="26"/>
      <c r="L1271" s="26"/>
      <c r="M1271" s="26"/>
      <c r="N1271" s="26"/>
      <c r="O1271" s="26"/>
      <c r="P1271" s="26"/>
      <c r="Q1271" s="26"/>
      <c r="R1271" s="26"/>
    </row>
    <row r="1272" spans="9:18" x14ac:dyDescent="0.25">
      <c r="I1272" s="46"/>
      <c r="J1272" s="26"/>
      <c r="K1272" s="26"/>
      <c r="L1272" s="26"/>
      <c r="M1272" s="26"/>
      <c r="N1272" s="26"/>
      <c r="O1272" s="26"/>
      <c r="P1272" s="26"/>
      <c r="Q1272" s="26"/>
      <c r="R1272" s="26"/>
    </row>
    <row r="1273" spans="9:18" x14ac:dyDescent="0.25">
      <c r="I1273" s="46"/>
      <c r="J1273" s="26"/>
      <c r="K1273" s="26"/>
      <c r="L1273" s="26"/>
      <c r="M1273" s="26"/>
      <c r="N1273" s="26"/>
      <c r="O1273" s="26"/>
      <c r="P1273" s="26"/>
      <c r="Q1273" s="26"/>
      <c r="R1273" s="26"/>
    </row>
    <row r="1274" spans="9:18" x14ac:dyDescent="0.25">
      <c r="I1274" s="46"/>
      <c r="J1274" s="26"/>
      <c r="K1274" s="26"/>
      <c r="L1274" s="26"/>
      <c r="M1274" s="26"/>
      <c r="N1274" s="26"/>
      <c r="O1274" s="26"/>
      <c r="P1274" s="26"/>
      <c r="Q1274" s="26"/>
      <c r="R1274" s="26"/>
    </row>
    <row r="1275" spans="9:18" x14ac:dyDescent="0.25">
      <c r="I1275" s="46"/>
      <c r="J1275" s="26"/>
      <c r="K1275" s="26"/>
      <c r="L1275" s="26"/>
      <c r="M1275" s="26"/>
      <c r="N1275" s="26"/>
      <c r="O1275" s="26"/>
      <c r="P1275" s="26"/>
      <c r="Q1275" s="26"/>
      <c r="R1275" s="26"/>
    </row>
    <row r="1276" spans="9:18" x14ac:dyDescent="0.25">
      <c r="I1276" s="46"/>
      <c r="J1276" s="26"/>
      <c r="K1276" s="26"/>
      <c r="L1276" s="26"/>
      <c r="M1276" s="26"/>
      <c r="N1276" s="26"/>
      <c r="O1276" s="26"/>
      <c r="P1276" s="26"/>
      <c r="Q1276" s="26"/>
      <c r="R1276" s="26"/>
    </row>
    <row r="1277" spans="9:18" x14ac:dyDescent="0.25">
      <c r="I1277" s="46"/>
      <c r="J1277" s="26"/>
      <c r="K1277" s="26"/>
      <c r="L1277" s="26"/>
      <c r="M1277" s="26"/>
      <c r="N1277" s="26"/>
      <c r="O1277" s="26"/>
      <c r="P1277" s="26"/>
      <c r="Q1277" s="26"/>
      <c r="R1277" s="26"/>
    </row>
    <row r="1278" spans="9:18" x14ac:dyDescent="0.25">
      <c r="I1278" s="46"/>
      <c r="J1278" s="26"/>
      <c r="K1278" s="26"/>
      <c r="L1278" s="26"/>
      <c r="M1278" s="26"/>
      <c r="N1278" s="26"/>
      <c r="O1278" s="26"/>
      <c r="P1278" s="26"/>
      <c r="Q1278" s="26"/>
      <c r="R1278" s="26"/>
    </row>
    <row r="1279" spans="9:18" x14ac:dyDescent="0.25">
      <c r="I1279" s="46"/>
      <c r="J1279" s="26"/>
      <c r="K1279" s="26"/>
      <c r="L1279" s="26"/>
      <c r="M1279" s="26"/>
      <c r="N1279" s="26"/>
      <c r="O1279" s="26"/>
      <c r="P1279" s="26"/>
      <c r="Q1279" s="26"/>
      <c r="R1279" s="26"/>
    </row>
    <row r="1280" spans="9:18" x14ac:dyDescent="0.25">
      <c r="I1280" s="46"/>
      <c r="J1280" s="26"/>
      <c r="K1280" s="26"/>
      <c r="L1280" s="26"/>
      <c r="M1280" s="26"/>
      <c r="N1280" s="26"/>
      <c r="O1280" s="26"/>
      <c r="P1280" s="26"/>
      <c r="Q1280" s="26"/>
      <c r="R1280" s="26"/>
    </row>
    <row r="1281" spans="9:18" x14ac:dyDescent="0.25">
      <c r="I1281" s="46"/>
      <c r="J1281" s="26"/>
      <c r="K1281" s="26"/>
      <c r="L1281" s="26"/>
      <c r="M1281" s="26"/>
      <c r="N1281" s="26"/>
      <c r="O1281" s="26"/>
      <c r="P1281" s="26"/>
      <c r="Q1281" s="26"/>
      <c r="R1281" s="26"/>
    </row>
    <row r="1282" spans="9:18" x14ac:dyDescent="0.25">
      <c r="I1282" s="46"/>
      <c r="J1282" s="26"/>
      <c r="K1282" s="26"/>
      <c r="L1282" s="26"/>
      <c r="M1282" s="26"/>
      <c r="N1282" s="26"/>
      <c r="O1282" s="26"/>
      <c r="P1282" s="26"/>
      <c r="Q1282" s="26"/>
      <c r="R1282" s="26"/>
    </row>
    <row r="1283" spans="9:18" x14ac:dyDescent="0.25">
      <c r="I1283" s="46"/>
      <c r="J1283" s="26"/>
      <c r="K1283" s="26"/>
      <c r="L1283" s="26"/>
      <c r="M1283" s="26"/>
      <c r="N1283" s="26"/>
      <c r="O1283" s="26"/>
      <c r="P1283" s="26"/>
      <c r="Q1283" s="26"/>
      <c r="R1283" s="26"/>
    </row>
    <row r="1284" spans="9:18" x14ac:dyDescent="0.25">
      <c r="I1284" s="46"/>
      <c r="J1284" s="26"/>
      <c r="K1284" s="26"/>
      <c r="L1284" s="26"/>
      <c r="M1284" s="26"/>
      <c r="N1284" s="26"/>
      <c r="O1284" s="26"/>
      <c r="P1284" s="26"/>
      <c r="Q1284" s="26"/>
      <c r="R1284" s="26"/>
    </row>
    <row r="1285" spans="9:18" x14ac:dyDescent="0.25">
      <c r="I1285" s="46"/>
      <c r="J1285" s="26"/>
      <c r="K1285" s="26"/>
      <c r="L1285" s="26"/>
      <c r="M1285" s="26"/>
      <c r="N1285" s="26"/>
      <c r="O1285" s="26"/>
      <c r="P1285" s="26"/>
      <c r="Q1285" s="26"/>
      <c r="R1285" s="26"/>
    </row>
    <row r="1286" spans="9:18" x14ac:dyDescent="0.25">
      <c r="I1286" s="46"/>
      <c r="J1286" s="26"/>
      <c r="K1286" s="26"/>
      <c r="L1286" s="26"/>
      <c r="M1286" s="26"/>
      <c r="N1286" s="26"/>
      <c r="O1286" s="26"/>
      <c r="P1286" s="26"/>
      <c r="Q1286" s="26"/>
      <c r="R1286" s="26"/>
    </row>
    <row r="1287" spans="9:18" x14ac:dyDescent="0.25">
      <c r="I1287" s="46"/>
      <c r="J1287" s="26"/>
      <c r="K1287" s="26"/>
      <c r="L1287" s="26"/>
      <c r="M1287" s="26"/>
      <c r="N1287" s="26"/>
      <c r="O1287" s="26"/>
      <c r="P1287" s="26"/>
      <c r="Q1287" s="26"/>
      <c r="R1287" s="26"/>
    </row>
    <row r="1288" spans="9:18" x14ac:dyDescent="0.25">
      <c r="I1288" s="46"/>
      <c r="J1288" s="26"/>
      <c r="K1288" s="26"/>
      <c r="L1288" s="26"/>
      <c r="M1288" s="26"/>
      <c r="N1288" s="26"/>
      <c r="O1288" s="26"/>
      <c r="P1288" s="26"/>
      <c r="Q1288" s="26"/>
      <c r="R1288" s="26"/>
    </row>
    <row r="1289" spans="9:18" x14ac:dyDescent="0.25">
      <c r="I1289" s="46"/>
      <c r="J1289" s="26"/>
      <c r="K1289" s="26"/>
      <c r="L1289" s="26"/>
      <c r="M1289" s="26"/>
      <c r="N1289" s="26"/>
      <c r="O1289" s="26"/>
      <c r="P1289" s="26"/>
      <c r="Q1289" s="26"/>
      <c r="R1289" s="26"/>
    </row>
    <row r="1290" spans="9:18" x14ac:dyDescent="0.25">
      <c r="I1290" s="46"/>
      <c r="J1290" s="26"/>
      <c r="K1290" s="26"/>
      <c r="L1290" s="26"/>
      <c r="M1290" s="26"/>
      <c r="N1290" s="26"/>
      <c r="O1290" s="26"/>
      <c r="P1290" s="26"/>
      <c r="Q1290" s="26"/>
      <c r="R1290" s="26"/>
    </row>
    <row r="1291" spans="9:18" x14ac:dyDescent="0.25">
      <c r="I1291" s="46"/>
      <c r="J1291" s="26"/>
      <c r="K1291" s="26"/>
      <c r="L1291" s="26"/>
      <c r="M1291" s="26"/>
      <c r="N1291" s="26"/>
      <c r="O1291" s="26"/>
      <c r="P1291" s="26"/>
      <c r="Q1291" s="26"/>
      <c r="R1291" s="26"/>
    </row>
    <row r="1292" spans="9:18" x14ac:dyDescent="0.25">
      <c r="I1292" s="46"/>
      <c r="J1292" s="26"/>
      <c r="K1292" s="26"/>
      <c r="L1292" s="26"/>
      <c r="M1292" s="26"/>
      <c r="N1292" s="26"/>
      <c r="O1292" s="26"/>
      <c r="P1292" s="26"/>
      <c r="Q1292" s="26"/>
      <c r="R1292" s="26"/>
    </row>
    <row r="1293" spans="9:18" x14ac:dyDescent="0.25">
      <c r="I1293" s="46"/>
      <c r="J1293" s="26"/>
      <c r="K1293" s="26"/>
      <c r="L1293" s="26"/>
      <c r="M1293" s="26"/>
      <c r="N1293" s="26"/>
      <c r="O1293" s="26"/>
      <c r="P1293" s="26"/>
      <c r="Q1293" s="26"/>
      <c r="R1293" s="26"/>
    </row>
    <row r="1294" spans="9:18" x14ac:dyDescent="0.25">
      <c r="I1294" s="46"/>
      <c r="J1294" s="26"/>
      <c r="K1294" s="26"/>
      <c r="L1294" s="26"/>
      <c r="M1294" s="26"/>
      <c r="N1294" s="26"/>
      <c r="O1294" s="26"/>
      <c r="P1294" s="26"/>
      <c r="Q1294" s="26"/>
      <c r="R1294" s="26"/>
    </row>
    <row r="1295" spans="9:18" x14ac:dyDescent="0.25">
      <c r="I1295" s="46"/>
      <c r="J1295" s="26"/>
      <c r="K1295" s="26"/>
      <c r="L1295" s="26"/>
      <c r="M1295" s="26"/>
      <c r="N1295" s="26"/>
      <c r="O1295" s="26"/>
      <c r="P1295" s="26"/>
      <c r="Q1295" s="26"/>
      <c r="R1295" s="26"/>
    </row>
    <row r="1296" spans="9:18" x14ac:dyDescent="0.25">
      <c r="I1296" s="46"/>
      <c r="J1296" s="26"/>
      <c r="K1296" s="26"/>
      <c r="L1296" s="26"/>
      <c r="M1296" s="26"/>
      <c r="N1296" s="26"/>
      <c r="O1296" s="26"/>
      <c r="P1296" s="26"/>
      <c r="Q1296" s="26"/>
      <c r="R1296" s="26"/>
    </row>
    <row r="1297" spans="9:18" x14ac:dyDescent="0.25">
      <c r="I1297" s="46"/>
      <c r="J1297" s="26"/>
      <c r="K1297" s="26"/>
      <c r="L1297" s="26"/>
      <c r="M1297" s="26"/>
      <c r="N1297" s="26"/>
      <c r="O1297" s="26"/>
      <c r="P1297" s="26"/>
      <c r="Q1297" s="26"/>
      <c r="R1297" s="26"/>
    </row>
    <row r="1298" spans="9:18" x14ac:dyDescent="0.25">
      <c r="I1298" s="46"/>
      <c r="J1298" s="26"/>
      <c r="K1298" s="26"/>
      <c r="L1298" s="26"/>
      <c r="M1298" s="26"/>
      <c r="N1298" s="26"/>
      <c r="O1298" s="26"/>
      <c r="P1298" s="26"/>
      <c r="Q1298" s="26"/>
      <c r="R1298" s="26"/>
    </row>
    <row r="1299" spans="9:18" x14ac:dyDescent="0.25">
      <c r="I1299" s="46"/>
      <c r="J1299" s="26"/>
      <c r="K1299" s="26"/>
      <c r="L1299" s="26"/>
      <c r="M1299" s="26"/>
      <c r="N1299" s="26"/>
      <c r="O1299" s="26"/>
      <c r="P1299" s="26"/>
      <c r="Q1299" s="26"/>
      <c r="R1299" s="26"/>
    </row>
    <row r="1300" spans="9:18" x14ac:dyDescent="0.25">
      <c r="I1300" s="46"/>
      <c r="J1300" s="26"/>
      <c r="K1300" s="26"/>
      <c r="L1300" s="26"/>
      <c r="M1300" s="26"/>
      <c r="N1300" s="26"/>
      <c r="O1300" s="26"/>
      <c r="P1300" s="26"/>
      <c r="Q1300" s="26"/>
      <c r="R1300" s="26"/>
    </row>
    <row r="1301" spans="9:18" x14ac:dyDescent="0.25">
      <c r="I1301" s="46"/>
      <c r="J1301" s="26"/>
      <c r="K1301" s="26"/>
      <c r="L1301" s="26"/>
      <c r="M1301" s="26"/>
      <c r="N1301" s="26"/>
      <c r="O1301" s="26"/>
      <c r="P1301" s="26"/>
      <c r="Q1301" s="26"/>
      <c r="R1301" s="26"/>
    </row>
    <row r="1302" spans="9:18" x14ac:dyDescent="0.25">
      <c r="I1302" s="46"/>
      <c r="J1302" s="26"/>
      <c r="K1302" s="26"/>
      <c r="L1302" s="26"/>
      <c r="M1302" s="26"/>
      <c r="N1302" s="26"/>
      <c r="O1302" s="26"/>
      <c r="P1302" s="26"/>
      <c r="Q1302" s="26"/>
      <c r="R1302" s="26"/>
    </row>
    <row r="1303" spans="9:18" x14ac:dyDescent="0.25">
      <c r="I1303" s="46"/>
      <c r="J1303" s="26"/>
      <c r="K1303" s="26"/>
      <c r="L1303" s="26"/>
      <c r="M1303" s="26"/>
      <c r="N1303" s="26"/>
      <c r="O1303" s="26"/>
      <c r="P1303" s="26"/>
      <c r="Q1303" s="26"/>
      <c r="R1303" s="26"/>
    </row>
    <row r="1304" spans="9:18" x14ac:dyDescent="0.25">
      <c r="I1304" s="46"/>
      <c r="J1304" s="26"/>
      <c r="K1304" s="26"/>
      <c r="L1304" s="26"/>
      <c r="M1304" s="26"/>
      <c r="N1304" s="26"/>
      <c r="O1304" s="26"/>
      <c r="P1304" s="26"/>
      <c r="Q1304" s="26"/>
      <c r="R1304" s="26"/>
    </row>
    <row r="1305" spans="9:18" x14ac:dyDescent="0.25">
      <c r="I1305" s="46"/>
      <c r="J1305" s="26"/>
      <c r="K1305" s="26"/>
      <c r="L1305" s="26"/>
      <c r="M1305" s="26"/>
      <c r="N1305" s="26"/>
      <c r="O1305" s="26"/>
      <c r="P1305" s="26"/>
      <c r="Q1305" s="26"/>
      <c r="R1305" s="26"/>
    </row>
    <row r="1306" spans="9:18" x14ac:dyDescent="0.25">
      <c r="I1306" s="46"/>
      <c r="J1306" s="26"/>
      <c r="K1306" s="26"/>
      <c r="L1306" s="26"/>
      <c r="M1306" s="26"/>
      <c r="N1306" s="26"/>
      <c r="O1306" s="26"/>
      <c r="P1306" s="26"/>
      <c r="Q1306" s="26"/>
      <c r="R1306" s="26"/>
    </row>
    <row r="1307" spans="9:18" x14ac:dyDescent="0.25">
      <c r="I1307" s="46"/>
      <c r="J1307" s="26"/>
      <c r="K1307" s="26"/>
      <c r="L1307" s="26"/>
      <c r="M1307" s="26"/>
      <c r="N1307" s="26"/>
      <c r="O1307" s="26"/>
      <c r="P1307" s="26"/>
      <c r="Q1307" s="26"/>
      <c r="R1307" s="26"/>
    </row>
    <row r="1308" spans="9:18" x14ac:dyDescent="0.25">
      <c r="I1308" s="46"/>
      <c r="J1308" s="26"/>
      <c r="K1308" s="26"/>
      <c r="L1308" s="26"/>
      <c r="M1308" s="26"/>
      <c r="N1308" s="26"/>
      <c r="O1308" s="26"/>
      <c r="P1308" s="26"/>
      <c r="Q1308" s="26"/>
      <c r="R1308" s="26"/>
    </row>
    <row r="1309" spans="9:18" x14ac:dyDescent="0.25">
      <c r="I1309" s="46"/>
      <c r="J1309" s="26"/>
      <c r="K1309" s="26"/>
      <c r="L1309" s="26"/>
      <c r="M1309" s="26"/>
      <c r="N1309" s="26"/>
      <c r="O1309" s="26"/>
      <c r="P1309" s="26"/>
      <c r="Q1309" s="26"/>
      <c r="R1309" s="26"/>
    </row>
    <row r="1310" spans="9:18" x14ac:dyDescent="0.25">
      <c r="I1310" s="46"/>
      <c r="J1310" s="26"/>
      <c r="K1310" s="26"/>
      <c r="L1310" s="26"/>
      <c r="M1310" s="26"/>
      <c r="N1310" s="26"/>
      <c r="O1310" s="26"/>
      <c r="P1310" s="26"/>
      <c r="Q1310" s="26"/>
      <c r="R1310" s="26"/>
    </row>
    <row r="1311" spans="9:18" x14ac:dyDescent="0.25">
      <c r="I1311" s="46"/>
      <c r="J1311" s="26"/>
      <c r="K1311" s="26"/>
      <c r="L1311" s="26"/>
      <c r="M1311" s="26"/>
      <c r="N1311" s="26"/>
      <c r="O1311" s="26"/>
      <c r="P1311" s="26"/>
      <c r="Q1311" s="26"/>
      <c r="R1311" s="26"/>
    </row>
    <row r="1312" spans="9:18" x14ac:dyDescent="0.25">
      <c r="I1312" s="46"/>
      <c r="J1312" s="26"/>
      <c r="K1312" s="26"/>
      <c r="L1312" s="26"/>
      <c r="M1312" s="26"/>
      <c r="N1312" s="26"/>
      <c r="O1312" s="26"/>
      <c r="P1312" s="26"/>
      <c r="Q1312" s="26"/>
      <c r="R1312" s="26"/>
    </row>
    <row r="1313" spans="9:18" x14ac:dyDescent="0.25">
      <c r="I1313" s="46"/>
      <c r="J1313" s="26"/>
      <c r="K1313" s="26"/>
      <c r="L1313" s="26"/>
      <c r="M1313" s="26"/>
      <c r="N1313" s="26"/>
      <c r="O1313" s="26"/>
      <c r="P1313" s="26"/>
      <c r="Q1313" s="26"/>
      <c r="R1313" s="26"/>
    </row>
    <row r="1314" spans="9:18" x14ac:dyDescent="0.25">
      <c r="I1314" s="46"/>
      <c r="J1314" s="26"/>
      <c r="K1314" s="26"/>
      <c r="L1314" s="26"/>
      <c r="M1314" s="26"/>
      <c r="N1314" s="26"/>
      <c r="O1314" s="26"/>
      <c r="P1314" s="26"/>
      <c r="Q1314" s="26"/>
      <c r="R1314" s="26"/>
    </row>
    <row r="1315" spans="9:18" x14ac:dyDescent="0.25">
      <c r="I1315" s="46"/>
      <c r="J1315" s="26"/>
      <c r="K1315" s="26"/>
      <c r="L1315" s="26"/>
      <c r="M1315" s="26"/>
      <c r="N1315" s="26"/>
      <c r="O1315" s="26"/>
      <c r="P1315" s="26"/>
      <c r="Q1315" s="26"/>
      <c r="R1315" s="26"/>
    </row>
    <row r="1316" spans="9:18" x14ac:dyDescent="0.25">
      <c r="I1316" s="46"/>
      <c r="J1316" s="26"/>
      <c r="K1316" s="26"/>
      <c r="L1316" s="26"/>
      <c r="M1316" s="26"/>
      <c r="N1316" s="26"/>
      <c r="O1316" s="26"/>
      <c r="P1316" s="26"/>
      <c r="Q1316" s="26"/>
      <c r="R1316" s="26"/>
    </row>
    <row r="1317" spans="9:18" x14ac:dyDescent="0.25">
      <c r="I1317" s="46"/>
      <c r="J1317" s="26"/>
      <c r="K1317" s="26"/>
      <c r="L1317" s="26"/>
      <c r="M1317" s="26"/>
      <c r="N1317" s="26"/>
      <c r="O1317" s="26"/>
      <c r="P1317" s="26"/>
      <c r="Q1317" s="26"/>
      <c r="R1317" s="26"/>
    </row>
    <row r="1318" spans="9:18" x14ac:dyDescent="0.25">
      <c r="I1318" s="46"/>
      <c r="J1318" s="26"/>
      <c r="K1318" s="26"/>
      <c r="L1318" s="26"/>
      <c r="M1318" s="26"/>
      <c r="N1318" s="26"/>
      <c r="O1318" s="26"/>
      <c r="P1318" s="26"/>
      <c r="Q1318" s="26"/>
      <c r="R1318" s="26"/>
    </row>
    <row r="1319" spans="9:18" x14ac:dyDescent="0.25">
      <c r="I1319" s="46"/>
      <c r="J1319" s="26"/>
      <c r="K1319" s="26"/>
      <c r="L1319" s="26"/>
      <c r="M1319" s="26"/>
      <c r="N1319" s="26"/>
      <c r="O1319" s="26"/>
      <c r="P1319" s="26"/>
      <c r="Q1319" s="26"/>
      <c r="R1319" s="26"/>
    </row>
    <row r="1320" spans="9:18" x14ac:dyDescent="0.25">
      <c r="I1320" s="46"/>
      <c r="J1320" s="26"/>
      <c r="K1320" s="26"/>
      <c r="L1320" s="26"/>
      <c r="M1320" s="26"/>
      <c r="N1320" s="26"/>
      <c r="O1320" s="26"/>
      <c r="P1320" s="26"/>
      <c r="Q1320" s="26"/>
      <c r="R1320" s="26"/>
    </row>
    <row r="1321" spans="9:18" x14ac:dyDescent="0.25">
      <c r="I1321" s="46"/>
      <c r="J1321" s="26"/>
      <c r="K1321" s="26"/>
      <c r="L1321" s="26"/>
      <c r="M1321" s="26"/>
      <c r="N1321" s="26"/>
      <c r="O1321" s="26"/>
      <c r="P1321" s="26"/>
      <c r="Q1321" s="26"/>
      <c r="R1321" s="26"/>
    </row>
    <row r="1322" spans="9:18" x14ac:dyDescent="0.25">
      <c r="I1322" s="46"/>
      <c r="J1322" s="26"/>
      <c r="K1322" s="26"/>
      <c r="L1322" s="26"/>
      <c r="M1322" s="26"/>
      <c r="N1322" s="26"/>
      <c r="O1322" s="26"/>
      <c r="P1322" s="26"/>
      <c r="Q1322" s="26"/>
      <c r="R1322" s="26"/>
    </row>
    <row r="1323" spans="9:18" x14ac:dyDescent="0.25">
      <c r="I1323" s="46"/>
      <c r="J1323" s="26"/>
      <c r="K1323" s="26"/>
      <c r="L1323" s="26"/>
      <c r="M1323" s="26"/>
      <c r="N1323" s="26"/>
      <c r="O1323" s="26"/>
      <c r="P1323" s="26"/>
      <c r="Q1323" s="26"/>
      <c r="R1323" s="26"/>
    </row>
    <row r="1324" spans="9:18" x14ac:dyDescent="0.25">
      <c r="I1324" s="46"/>
      <c r="J1324" s="26"/>
      <c r="K1324" s="26"/>
      <c r="L1324" s="26"/>
      <c r="M1324" s="26"/>
      <c r="N1324" s="26"/>
      <c r="O1324" s="26"/>
      <c r="P1324" s="26"/>
      <c r="Q1324" s="26"/>
      <c r="R1324" s="26"/>
    </row>
    <row r="1325" spans="9:18" x14ac:dyDescent="0.25">
      <c r="I1325" s="46"/>
      <c r="J1325" s="26"/>
      <c r="K1325" s="26"/>
      <c r="L1325" s="26"/>
      <c r="M1325" s="26"/>
      <c r="N1325" s="26"/>
      <c r="O1325" s="26"/>
      <c r="P1325" s="26"/>
      <c r="Q1325" s="26"/>
      <c r="R1325" s="26"/>
    </row>
    <row r="1326" spans="9:18" x14ac:dyDescent="0.25">
      <c r="I1326" s="46"/>
      <c r="J1326" s="26"/>
      <c r="K1326" s="26"/>
      <c r="L1326" s="26"/>
      <c r="M1326" s="26"/>
      <c r="N1326" s="26"/>
      <c r="O1326" s="26"/>
      <c r="P1326" s="26"/>
      <c r="Q1326" s="26"/>
      <c r="R1326" s="26"/>
    </row>
    <row r="1327" spans="9:18" x14ac:dyDescent="0.25">
      <c r="I1327" s="46"/>
      <c r="J1327" s="26"/>
      <c r="K1327" s="26"/>
      <c r="L1327" s="26"/>
      <c r="M1327" s="26"/>
      <c r="N1327" s="26"/>
      <c r="O1327" s="26"/>
      <c r="P1327" s="26"/>
      <c r="Q1327" s="26"/>
      <c r="R1327" s="26"/>
    </row>
    <row r="1328" spans="9:18" x14ac:dyDescent="0.25">
      <c r="I1328" s="46"/>
      <c r="J1328" s="26"/>
      <c r="K1328" s="26"/>
      <c r="L1328" s="26"/>
      <c r="M1328" s="26"/>
      <c r="N1328" s="26"/>
      <c r="O1328" s="26"/>
      <c r="P1328" s="26"/>
      <c r="Q1328" s="26"/>
      <c r="R1328" s="26"/>
    </row>
    <row r="1329" spans="9:18" x14ac:dyDescent="0.25">
      <c r="I1329" s="46"/>
      <c r="J1329" s="26"/>
      <c r="K1329" s="26"/>
      <c r="L1329" s="26"/>
      <c r="M1329" s="26"/>
      <c r="N1329" s="26"/>
      <c r="O1329" s="26"/>
      <c r="P1329" s="26"/>
      <c r="Q1329" s="26"/>
      <c r="R1329" s="26"/>
    </row>
    <row r="1330" spans="9:18" x14ac:dyDescent="0.25">
      <c r="I1330" s="46"/>
      <c r="J1330" s="26"/>
      <c r="K1330" s="26"/>
      <c r="L1330" s="26"/>
      <c r="M1330" s="26"/>
      <c r="N1330" s="26"/>
      <c r="O1330" s="26"/>
      <c r="P1330" s="26"/>
      <c r="Q1330" s="26"/>
      <c r="R1330" s="26"/>
    </row>
    <row r="1331" spans="9:18" x14ac:dyDescent="0.25">
      <c r="I1331" s="46"/>
      <c r="J1331" s="26"/>
      <c r="K1331" s="26"/>
      <c r="L1331" s="26"/>
      <c r="M1331" s="26"/>
      <c r="N1331" s="26"/>
      <c r="O1331" s="26"/>
      <c r="P1331" s="26"/>
      <c r="Q1331" s="26"/>
      <c r="R1331" s="26"/>
    </row>
    <row r="1332" spans="9:18" x14ac:dyDescent="0.25">
      <c r="I1332" s="46"/>
      <c r="J1332" s="26"/>
      <c r="K1332" s="26"/>
      <c r="L1332" s="26"/>
      <c r="M1332" s="26"/>
      <c r="N1332" s="26"/>
      <c r="O1332" s="26"/>
      <c r="P1332" s="26"/>
      <c r="Q1332" s="26"/>
      <c r="R1332" s="26"/>
    </row>
    <row r="1333" spans="9:18" x14ac:dyDescent="0.25">
      <c r="I1333" s="46"/>
      <c r="J1333" s="26"/>
      <c r="K1333" s="26"/>
      <c r="L1333" s="26"/>
      <c r="M1333" s="26"/>
      <c r="N1333" s="26"/>
      <c r="O1333" s="26"/>
      <c r="P1333" s="26"/>
      <c r="Q1333" s="26"/>
      <c r="R1333" s="26"/>
    </row>
    <row r="1334" spans="9:18" x14ac:dyDescent="0.25">
      <c r="I1334" s="46"/>
      <c r="J1334" s="26"/>
      <c r="K1334" s="26"/>
      <c r="L1334" s="26"/>
      <c r="M1334" s="26"/>
      <c r="N1334" s="26"/>
      <c r="O1334" s="26"/>
      <c r="P1334" s="26"/>
      <c r="Q1334" s="26"/>
      <c r="R1334" s="26"/>
    </row>
    <row r="1335" spans="9:18" x14ac:dyDescent="0.25">
      <c r="I1335" s="46"/>
      <c r="J1335" s="26"/>
      <c r="K1335" s="26"/>
      <c r="L1335" s="26"/>
      <c r="M1335" s="26"/>
      <c r="N1335" s="26"/>
      <c r="O1335" s="26"/>
      <c r="P1335" s="26"/>
      <c r="Q1335" s="26"/>
      <c r="R1335" s="26"/>
    </row>
    <row r="1336" spans="9:18" x14ac:dyDescent="0.25">
      <c r="I1336" s="46"/>
      <c r="J1336" s="26"/>
      <c r="K1336" s="26"/>
      <c r="L1336" s="26"/>
      <c r="M1336" s="26"/>
      <c r="N1336" s="26"/>
      <c r="O1336" s="26"/>
      <c r="P1336" s="26"/>
      <c r="Q1336" s="26"/>
      <c r="R1336" s="26"/>
    </row>
    <row r="1337" spans="9:18" x14ac:dyDescent="0.25">
      <c r="I1337" s="46"/>
      <c r="J1337" s="26"/>
      <c r="K1337" s="26"/>
      <c r="L1337" s="26"/>
      <c r="M1337" s="26"/>
      <c r="N1337" s="26"/>
      <c r="O1337" s="26"/>
      <c r="P1337" s="26"/>
      <c r="Q1337" s="26"/>
      <c r="R1337" s="26"/>
    </row>
    <row r="1338" spans="9:18" x14ac:dyDescent="0.25">
      <c r="I1338" s="46"/>
      <c r="J1338" s="26"/>
      <c r="K1338" s="26"/>
      <c r="L1338" s="26"/>
      <c r="M1338" s="26"/>
      <c r="N1338" s="26"/>
      <c r="O1338" s="26"/>
      <c r="P1338" s="26"/>
      <c r="Q1338" s="26"/>
      <c r="R1338" s="26"/>
    </row>
    <row r="1339" spans="9:18" x14ac:dyDescent="0.25">
      <c r="I1339" s="46"/>
      <c r="J1339" s="26"/>
      <c r="K1339" s="26"/>
      <c r="L1339" s="26"/>
      <c r="M1339" s="26"/>
      <c r="N1339" s="26"/>
      <c r="O1339" s="26"/>
      <c r="P1339" s="26"/>
      <c r="Q1339" s="26"/>
      <c r="R1339" s="26"/>
    </row>
    <row r="1340" spans="9:18" x14ac:dyDescent="0.25">
      <c r="I1340" s="46"/>
      <c r="J1340" s="26"/>
      <c r="K1340" s="26"/>
      <c r="L1340" s="26"/>
      <c r="M1340" s="26"/>
      <c r="N1340" s="26"/>
      <c r="O1340" s="26"/>
      <c r="P1340" s="26"/>
      <c r="Q1340" s="26"/>
      <c r="R1340" s="26"/>
    </row>
    <row r="1341" spans="9:18" x14ac:dyDescent="0.25">
      <c r="I1341" s="46"/>
      <c r="J1341" s="26"/>
      <c r="K1341" s="26"/>
      <c r="L1341" s="26"/>
      <c r="M1341" s="26"/>
      <c r="N1341" s="26"/>
      <c r="O1341" s="26"/>
      <c r="P1341" s="26"/>
      <c r="Q1341" s="26"/>
      <c r="R1341" s="26"/>
    </row>
    <row r="1342" spans="9:18" x14ac:dyDescent="0.25">
      <c r="I1342" s="46"/>
      <c r="J1342" s="26"/>
      <c r="K1342" s="26"/>
      <c r="L1342" s="26"/>
      <c r="M1342" s="26"/>
      <c r="N1342" s="26"/>
      <c r="O1342" s="26"/>
      <c r="P1342" s="26"/>
      <c r="Q1342" s="26"/>
      <c r="R1342" s="26"/>
    </row>
    <row r="1343" spans="9:18" x14ac:dyDescent="0.25">
      <c r="I1343" s="46"/>
      <c r="J1343" s="26"/>
      <c r="K1343" s="26"/>
      <c r="L1343" s="26"/>
      <c r="M1343" s="26"/>
      <c r="N1343" s="26"/>
      <c r="O1343" s="26"/>
      <c r="P1343" s="26"/>
      <c r="Q1343" s="26"/>
      <c r="R1343" s="26"/>
    </row>
    <row r="1344" spans="9:18" x14ac:dyDescent="0.25">
      <c r="I1344" s="46"/>
      <c r="J1344" s="26"/>
      <c r="K1344" s="26"/>
      <c r="L1344" s="26"/>
      <c r="M1344" s="26"/>
      <c r="N1344" s="26"/>
      <c r="O1344" s="26"/>
      <c r="P1344" s="26"/>
      <c r="Q1344" s="26"/>
      <c r="R1344" s="26"/>
    </row>
    <row r="1345" spans="9:18" x14ac:dyDescent="0.25">
      <c r="I1345" s="46"/>
      <c r="J1345" s="26"/>
      <c r="K1345" s="26"/>
      <c r="L1345" s="26"/>
      <c r="M1345" s="26"/>
      <c r="N1345" s="26"/>
      <c r="O1345" s="26"/>
      <c r="P1345" s="26"/>
      <c r="Q1345" s="26"/>
      <c r="R1345" s="26"/>
    </row>
    <row r="1346" spans="9:18" x14ac:dyDescent="0.25">
      <c r="I1346" s="46"/>
      <c r="J1346" s="26"/>
      <c r="K1346" s="26"/>
      <c r="L1346" s="26"/>
      <c r="M1346" s="26"/>
      <c r="N1346" s="26"/>
      <c r="O1346" s="26"/>
      <c r="P1346" s="26"/>
      <c r="Q1346" s="26"/>
      <c r="R1346" s="26"/>
    </row>
    <row r="1347" spans="9:18" x14ac:dyDescent="0.25">
      <c r="I1347" s="46"/>
      <c r="J1347" s="26"/>
      <c r="K1347" s="26"/>
      <c r="L1347" s="26"/>
      <c r="M1347" s="26"/>
      <c r="N1347" s="26"/>
      <c r="O1347" s="26"/>
      <c r="P1347" s="26"/>
      <c r="Q1347" s="26"/>
      <c r="R1347" s="26"/>
    </row>
    <row r="1348" spans="9:18" x14ac:dyDescent="0.25">
      <c r="I1348" s="46"/>
      <c r="J1348" s="26"/>
      <c r="K1348" s="26"/>
      <c r="L1348" s="26"/>
      <c r="M1348" s="26"/>
      <c r="N1348" s="26"/>
      <c r="O1348" s="26"/>
      <c r="P1348" s="26"/>
      <c r="Q1348" s="26"/>
      <c r="R1348" s="26"/>
    </row>
    <row r="1349" spans="9:18" x14ac:dyDescent="0.25">
      <c r="I1349" s="46"/>
      <c r="J1349" s="26"/>
      <c r="K1349" s="26"/>
      <c r="L1349" s="26"/>
      <c r="M1349" s="26"/>
      <c r="N1349" s="26"/>
      <c r="O1349" s="26"/>
      <c r="P1349" s="26"/>
      <c r="Q1349" s="26"/>
      <c r="R1349" s="26"/>
    </row>
    <row r="1350" spans="9:18" x14ac:dyDescent="0.25">
      <c r="I1350" s="46"/>
      <c r="J1350" s="26"/>
      <c r="K1350" s="26"/>
      <c r="L1350" s="26"/>
      <c r="M1350" s="26"/>
      <c r="N1350" s="26"/>
      <c r="O1350" s="26"/>
      <c r="P1350" s="26"/>
      <c r="Q1350" s="26"/>
      <c r="R1350" s="26"/>
    </row>
    <row r="1351" spans="9:18" x14ac:dyDescent="0.25">
      <c r="I1351" s="46"/>
      <c r="J1351" s="26"/>
      <c r="K1351" s="26"/>
      <c r="L1351" s="26"/>
      <c r="M1351" s="26"/>
      <c r="N1351" s="26"/>
      <c r="O1351" s="26"/>
      <c r="P1351" s="26"/>
      <c r="Q1351" s="26"/>
      <c r="R1351" s="26"/>
    </row>
    <row r="1352" spans="9:18" x14ac:dyDescent="0.25">
      <c r="I1352" s="46"/>
      <c r="J1352" s="26"/>
      <c r="K1352" s="26"/>
      <c r="L1352" s="26"/>
      <c r="M1352" s="26"/>
      <c r="N1352" s="26"/>
      <c r="O1352" s="26"/>
      <c r="P1352" s="26"/>
      <c r="Q1352" s="26"/>
      <c r="R1352" s="26"/>
    </row>
    <row r="1353" spans="9:18" x14ac:dyDescent="0.25">
      <c r="I1353" s="46"/>
      <c r="J1353" s="26"/>
      <c r="K1353" s="26"/>
      <c r="L1353" s="26"/>
      <c r="M1353" s="26"/>
      <c r="N1353" s="26"/>
      <c r="O1353" s="26"/>
      <c r="P1353" s="26"/>
      <c r="Q1353" s="26"/>
      <c r="R1353" s="26"/>
    </row>
    <row r="1354" spans="9:18" x14ac:dyDescent="0.25">
      <c r="I1354" s="46"/>
      <c r="J1354" s="26"/>
      <c r="K1354" s="26"/>
      <c r="L1354" s="26"/>
      <c r="M1354" s="26"/>
      <c r="N1354" s="26"/>
      <c r="O1354" s="26"/>
      <c r="P1354" s="26"/>
      <c r="Q1354" s="26"/>
      <c r="R1354" s="26"/>
    </row>
    <row r="1355" spans="9:18" x14ac:dyDescent="0.25">
      <c r="I1355" s="46"/>
      <c r="J1355" s="26"/>
      <c r="K1355" s="26"/>
      <c r="L1355" s="26"/>
      <c r="M1355" s="26"/>
      <c r="N1355" s="26"/>
      <c r="O1355" s="26"/>
      <c r="P1355" s="26"/>
      <c r="Q1355" s="26"/>
      <c r="R1355" s="26"/>
    </row>
    <row r="1356" spans="9:18" x14ac:dyDescent="0.25">
      <c r="I1356" s="46"/>
      <c r="J1356" s="26"/>
      <c r="K1356" s="26"/>
      <c r="L1356" s="26"/>
      <c r="M1356" s="26"/>
      <c r="N1356" s="26"/>
      <c r="O1356" s="26"/>
      <c r="P1356" s="26"/>
      <c r="Q1356" s="26"/>
      <c r="R1356" s="26"/>
    </row>
    <row r="1357" spans="9:18" x14ac:dyDescent="0.25">
      <c r="I1357" s="46"/>
      <c r="J1357" s="26"/>
      <c r="K1357" s="26"/>
      <c r="L1357" s="26"/>
      <c r="M1357" s="26"/>
      <c r="N1357" s="26"/>
      <c r="O1357" s="26"/>
      <c r="P1357" s="26"/>
      <c r="Q1357" s="26"/>
      <c r="R1357" s="26"/>
    </row>
    <row r="1358" spans="9:18" x14ac:dyDescent="0.25">
      <c r="I1358" s="46"/>
      <c r="J1358" s="26"/>
      <c r="K1358" s="26"/>
      <c r="L1358" s="26"/>
      <c r="M1358" s="26"/>
      <c r="N1358" s="26"/>
      <c r="O1358" s="26"/>
      <c r="P1358" s="26"/>
      <c r="Q1358" s="26"/>
      <c r="R1358" s="26"/>
    </row>
    <row r="1359" spans="9:18" x14ac:dyDescent="0.25">
      <c r="I1359" s="46"/>
      <c r="J1359" s="26"/>
      <c r="K1359" s="26"/>
      <c r="L1359" s="26"/>
      <c r="M1359" s="26"/>
      <c r="N1359" s="26"/>
      <c r="O1359" s="26"/>
      <c r="P1359" s="26"/>
      <c r="Q1359" s="26"/>
      <c r="R1359" s="26"/>
    </row>
    <row r="1360" spans="9:18" x14ac:dyDescent="0.25">
      <c r="I1360" s="46"/>
      <c r="J1360" s="26"/>
      <c r="K1360" s="26"/>
      <c r="L1360" s="26"/>
      <c r="M1360" s="26"/>
      <c r="N1360" s="26"/>
      <c r="O1360" s="26"/>
      <c r="P1360" s="26"/>
      <c r="Q1360" s="26"/>
      <c r="R1360" s="26"/>
    </row>
    <row r="1361" spans="9:18" x14ac:dyDescent="0.25">
      <c r="I1361" s="46"/>
      <c r="J1361" s="26"/>
      <c r="K1361" s="26"/>
      <c r="L1361" s="26"/>
      <c r="M1361" s="26"/>
      <c r="N1361" s="26"/>
      <c r="O1361" s="26"/>
      <c r="P1361" s="26"/>
      <c r="Q1361" s="26"/>
      <c r="R1361" s="26"/>
    </row>
    <row r="1362" spans="9:18" x14ac:dyDescent="0.25">
      <c r="I1362" s="46"/>
      <c r="J1362" s="26"/>
      <c r="K1362" s="26"/>
      <c r="L1362" s="26"/>
      <c r="M1362" s="26"/>
      <c r="N1362" s="26"/>
      <c r="O1362" s="26"/>
      <c r="P1362" s="26"/>
      <c r="Q1362" s="26"/>
      <c r="R1362" s="26"/>
    </row>
    <row r="1363" spans="9:18" x14ac:dyDescent="0.25">
      <c r="I1363" s="46"/>
      <c r="J1363" s="26"/>
      <c r="K1363" s="26"/>
      <c r="L1363" s="26"/>
      <c r="M1363" s="26"/>
      <c r="N1363" s="26"/>
      <c r="O1363" s="26"/>
      <c r="P1363" s="26"/>
      <c r="Q1363" s="26"/>
      <c r="R1363" s="26"/>
    </row>
    <row r="1364" spans="9:18" x14ac:dyDescent="0.25">
      <c r="I1364" s="46"/>
      <c r="J1364" s="26"/>
      <c r="K1364" s="26"/>
      <c r="L1364" s="26"/>
      <c r="M1364" s="26"/>
      <c r="N1364" s="26"/>
      <c r="O1364" s="26"/>
      <c r="P1364" s="26"/>
      <c r="Q1364" s="26"/>
      <c r="R1364" s="26"/>
    </row>
    <row r="1365" spans="9:18" x14ac:dyDescent="0.25">
      <c r="I1365" s="46"/>
      <c r="J1365" s="26"/>
      <c r="K1365" s="26"/>
      <c r="L1365" s="26"/>
      <c r="M1365" s="26"/>
      <c r="N1365" s="26"/>
      <c r="O1365" s="26"/>
      <c r="P1365" s="26"/>
      <c r="Q1365" s="26"/>
      <c r="R1365" s="26"/>
    </row>
    <row r="1366" spans="9:18" x14ac:dyDescent="0.25">
      <c r="I1366" s="46"/>
      <c r="J1366" s="26"/>
      <c r="K1366" s="26"/>
      <c r="L1366" s="26"/>
      <c r="M1366" s="26"/>
      <c r="N1366" s="26"/>
      <c r="O1366" s="26"/>
      <c r="P1366" s="26"/>
      <c r="Q1366" s="26"/>
      <c r="R1366" s="26"/>
    </row>
    <row r="1367" spans="9:18" x14ac:dyDescent="0.25">
      <c r="I1367" s="46"/>
      <c r="J1367" s="26"/>
      <c r="K1367" s="26"/>
      <c r="L1367" s="26"/>
      <c r="M1367" s="26"/>
      <c r="N1367" s="26"/>
      <c r="O1367" s="26"/>
      <c r="P1367" s="26"/>
      <c r="Q1367" s="26"/>
      <c r="R1367" s="26"/>
    </row>
    <row r="1368" spans="9:18" x14ac:dyDescent="0.25">
      <c r="I1368" s="46"/>
      <c r="J1368" s="26"/>
      <c r="K1368" s="26"/>
      <c r="L1368" s="26"/>
      <c r="M1368" s="26"/>
      <c r="N1368" s="26"/>
      <c r="O1368" s="26"/>
      <c r="P1368" s="26"/>
      <c r="Q1368" s="26"/>
      <c r="R1368" s="26"/>
    </row>
    <row r="1369" spans="9:18" x14ac:dyDescent="0.25">
      <c r="I1369" s="46"/>
      <c r="J1369" s="26"/>
      <c r="K1369" s="26"/>
      <c r="L1369" s="26"/>
      <c r="M1369" s="26"/>
      <c r="N1369" s="26"/>
      <c r="O1369" s="26"/>
      <c r="P1369" s="26"/>
      <c r="Q1369" s="26"/>
      <c r="R1369" s="26"/>
    </row>
    <row r="1370" spans="9:18" x14ac:dyDescent="0.25">
      <c r="I1370" s="46"/>
      <c r="J1370" s="26"/>
      <c r="K1370" s="26"/>
      <c r="L1370" s="26"/>
      <c r="M1370" s="26"/>
      <c r="N1370" s="26"/>
      <c r="O1370" s="26"/>
      <c r="P1370" s="26"/>
      <c r="Q1370" s="26"/>
      <c r="R1370" s="26"/>
    </row>
    <row r="1371" spans="9:18" x14ac:dyDescent="0.25">
      <c r="I1371" s="46"/>
      <c r="J1371" s="26"/>
      <c r="K1371" s="26"/>
      <c r="L1371" s="26"/>
      <c r="M1371" s="26"/>
      <c r="N1371" s="26"/>
      <c r="O1371" s="26"/>
      <c r="P1371" s="26"/>
      <c r="Q1371" s="26"/>
      <c r="R1371" s="26"/>
    </row>
    <row r="1372" spans="9:18" x14ac:dyDescent="0.25">
      <c r="I1372" s="46"/>
      <c r="J1372" s="26"/>
      <c r="K1372" s="26"/>
      <c r="L1372" s="26"/>
      <c r="M1372" s="26"/>
      <c r="N1372" s="26"/>
      <c r="O1372" s="26"/>
      <c r="P1372" s="26"/>
      <c r="Q1372" s="26"/>
      <c r="R1372" s="26"/>
    </row>
    <row r="1373" spans="9:18" x14ac:dyDescent="0.25">
      <c r="I1373" s="46"/>
      <c r="J1373" s="26"/>
      <c r="K1373" s="26"/>
      <c r="L1373" s="26"/>
      <c r="M1373" s="26"/>
      <c r="N1373" s="26"/>
      <c r="O1373" s="26"/>
      <c r="P1373" s="26"/>
      <c r="Q1373" s="26"/>
      <c r="R1373" s="26"/>
    </row>
    <row r="1374" spans="9:18" x14ac:dyDescent="0.25">
      <c r="I1374" s="46"/>
      <c r="J1374" s="26"/>
      <c r="K1374" s="26"/>
      <c r="L1374" s="26"/>
      <c r="M1374" s="26"/>
      <c r="N1374" s="26"/>
      <c r="O1374" s="26"/>
      <c r="P1374" s="26"/>
      <c r="Q1374" s="26"/>
      <c r="R1374" s="26"/>
    </row>
    <row r="1375" spans="9:18" x14ac:dyDescent="0.25">
      <c r="I1375" s="46"/>
      <c r="J1375" s="26"/>
      <c r="K1375" s="26"/>
      <c r="L1375" s="26"/>
      <c r="M1375" s="26"/>
      <c r="N1375" s="26"/>
      <c r="O1375" s="26"/>
      <c r="P1375" s="26"/>
      <c r="Q1375" s="26"/>
      <c r="R1375" s="26"/>
    </row>
    <row r="1376" spans="9:18" x14ac:dyDescent="0.25">
      <c r="I1376" s="46"/>
      <c r="J1376" s="26"/>
      <c r="K1376" s="26"/>
      <c r="L1376" s="26"/>
      <c r="M1376" s="26"/>
      <c r="N1376" s="26"/>
      <c r="O1376" s="26"/>
      <c r="P1376" s="26"/>
      <c r="Q1376" s="26"/>
      <c r="R1376" s="26"/>
    </row>
    <row r="1377" spans="9:18" x14ac:dyDescent="0.25">
      <c r="I1377" s="46"/>
      <c r="J1377" s="26"/>
      <c r="K1377" s="26"/>
      <c r="L1377" s="26"/>
      <c r="M1377" s="26"/>
      <c r="N1377" s="26"/>
      <c r="O1377" s="26"/>
      <c r="P1377" s="26"/>
      <c r="Q1377" s="26"/>
      <c r="R1377" s="26"/>
    </row>
    <row r="1378" spans="9:18" x14ac:dyDescent="0.25">
      <c r="I1378" s="46"/>
      <c r="J1378" s="26"/>
      <c r="K1378" s="26"/>
      <c r="L1378" s="26"/>
      <c r="M1378" s="26"/>
      <c r="N1378" s="26"/>
      <c r="O1378" s="26"/>
      <c r="P1378" s="26"/>
      <c r="Q1378" s="26"/>
      <c r="R1378" s="26"/>
    </row>
    <row r="1379" spans="9:18" x14ac:dyDescent="0.25">
      <c r="I1379" s="46"/>
      <c r="J1379" s="26"/>
      <c r="K1379" s="26"/>
      <c r="L1379" s="26"/>
      <c r="M1379" s="26"/>
      <c r="N1379" s="26"/>
      <c r="O1379" s="26"/>
      <c r="P1379" s="26"/>
      <c r="Q1379" s="26"/>
      <c r="R1379" s="26"/>
    </row>
    <row r="1380" spans="9:18" x14ac:dyDescent="0.25">
      <c r="I1380" s="46"/>
      <c r="J1380" s="26"/>
      <c r="K1380" s="26"/>
      <c r="L1380" s="26"/>
      <c r="M1380" s="26"/>
      <c r="N1380" s="26"/>
      <c r="O1380" s="26"/>
      <c r="P1380" s="26"/>
      <c r="Q1380" s="26"/>
      <c r="R1380" s="26"/>
    </row>
    <row r="1381" spans="9:18" x14ac:dyDescent="0.25">
      <c r="I1381" s="46"/>
      <c r="J1381" s="26"/>
      <c r="K1381" s="26"/>
      <c r="L1381" s="26"/>
      <c r="M1381" s="26"/>
      <c r="N1381" s="26"/>
      <c r="O1381" s="26"/>
      <c r="P1381" s="26"/>
      <c r="Q1381" s="26"/>
      <c r="R1381" s="26"/>
    </row>
    <row r="1382" spans="9:18" x14ac:dyDescent="0.25">
      <c r="I1382" s="46"/>
      <c r="J1382" s="26"/>
      <c r="K1382" s="26"/>
      <c r="L1382" s="26"/>
      <c r="M1382" s="26"/>
      <c r="N1382" s="26"/>
      <c r="O1382" s="26"/>
      <c r="P1382" s="26"/>
      <c r="Q1382" s="26"/>
      <c r="R1382" s="26"/>
    </row>
    <row r="1383" spans="9:18" x14ac:dyDescent="0.25">
      <c r="I1383" s="46"/>
      <c r="J1383" s="26"/>
      <c r="K1383" s="26"/>
      <c r="L1383" s="26"/>
      <c r="M1383" s="26"/>
      <c r="N1383" s="26"/>
      <c r="O1383" s="26"/>
      <c r="P1383" s="26"/>
      <c r="Q1383" s="26"/>
      <c r="R1383" s="26"/>
    </row>
    <row r="1384" spans="9:18" x14ac:dyDescent="0.25">
      <c r="I1384" s="46"/>
      <c r="J1384" s="26"/>
      <c r="K1384" s="26"/>
      <c r="L1384" s="26"/>
      <c r="M1384" s="26"/>
      <c r="N1384" s="26"/>
      <c r="O1384" s="26"/>
      <c r="P1384" s="26"/>
      <c r="Q1384" s="26"/>
      <c r="R1384" s="26"/>
    </row>
    <row r="1385" spans="9:18" x14ac:dyDescent="0.25">
      <c r="I1385" s="46"/>
      <c r="J1385" s="26"/>
      <c r="K1385" s="26"/>
      <c r="L1385" s="26"/>
      <c r="M1385" s="26"/>
      <c r="N1385" s="26"/>
      <c r="O1385" s="26"/>
      <c r="P1385" s="26"/>
      <c r="Q1385" s="26"/>
      <c r="R1385" s="26"/>
    </row>
    <row r="1386" spans="9:18" x14ac:dyDescent="0.25">
      <c r="I1386" s="46"/>
      <c r="J1386" s="26"/>
      <c r="K1386" s="26"/>
      <c r="L1386" s="26"/>
      <c r="M1386" s="26"/>
      <c r="N1386" s="26"/>
      <c r="O1386" s="26"/>
      <c r="P1386" s="26"/>
      <c r="Q1386" s="26"/>
      <c r="R1386" s="26"/>
    </row>
    <row r="1387" spans="9:18" x14ac:dyDescent="0.25">
      <c r="I1387" s="46"/>
      <c r="J1387" s="26"/>
      <c r="K1387" s="26"/>
      <c r="L1387" s="26"/>
      <c r="M1387" s="26"/>
      <c r="N1387" s="26"/>
      <c r="O1387" s="26"/>
      <c r="P1387" s="26"/>
      <c r="Q1387" s="26"/>
      <c r="R1387" s="26"/>
    </row>
    <row r="1388" spans="9:18" x14ac:dyDescent="0.25">
      <c r="I1388" s="46"/>
      <c r="J1388" s="26"/>
      <c r="K1388" s="26"/>
      <c r="L1388" s="26"/>
      <c r="M1388" s="26"/>
      <c r="N1388" s="26"/>
      <c r="O1388" s="26"/>
      <c r="P1388" s="26"/>
      <c r="Q1388" s="26"/>
      <c r="R1388" s="26"/>
    </row>
    <row r="1389" spans="9:18" x14ac:dyDescent="0.25">
      <c r="I1389" s="46"/>
      <c r="J1389" s="26"/>
      <c r="K1389" s="26"/>
      <c r="L1389" s="26"/>
      <c r="M1389" s="26"/>
      <c r="N1389" s="26"/>
      <c r="O1389" s="26"/>
      <c r="P1389" s="26"/>
      <c r="Q1389" s="26"/>
      <c r="R1389" s="26"/>
    </row>
    <row r="1390" spans="9:18" x14ac:dyDescent="0.25">
      <c r="I1390" s="46"/>
      <c r="J1390" s="26"/>
      <c r="K1390" s="26"/>
      <c r="L1390" s="26"/>
      <c r="M1390" s="26"/>
      <c r="N1390" s="26"/>
      <c r="O1390" s="26"/>
      <c r="P1390" s="26"/>
      <c r="Q1390" s="26"/>
      <c r="R1390" s="26"/>
    </row>
    <row r="1391" spans="9:18" x14ac:dyDescent="0.25">
      <c r="I1391" s="46"/>
      <c r="J1391" s="26"/>
      <c r="K1391" s="26"/>
      <c r="L1391" s="26"/>
      <c r="M1391" s="26"/>
      <c r="N1391" s="26"/>
      <c r="O1391" s="26"/>
      <c r="P1391" s="26"/>
      <c r="Q1391" s="26"/>
      <c r="R1391" s="26"/>
    </row>
    <row r="1392" spans="9:18" x14ac:dyDescent="0.25">
      <c r="I1392" s="46"/>
      <c r="J1392" s="26"/>
      <c r="K1392" s="26"/>
      <c r="L1392" s="26"/>
      <c r="M1392" s="26"/>
      <c r="N1392" s="26"/>
      <c r="O1392" s="26"/>
      <c r="P1392" s="26"/>
      <c r="Q1392" s="26"/>
      <c r="R1392" s="26"/>
    </row>
    <row r="1393" spans="9:18" x14ac:dyDescent="0.25">
      <c r="I1393" s="46"/>
      <c r="J1393" s="26"/>
      <c r="K1393" s="26"/>
      <c r="L1393" s="26"/>
      <c r="M1393" s="26"/>
      <c r="N1393" s="26"/>
      <c r="O1393" s="26"/>
      <c r="P1393" s="26"/>
      <c r="Q1393" s="26"/>
      <c r="R1393" s="26"/>
    </row>
    <row r="1394" spans="9:18" x14ac:dyDescent="0.25">
      <c r="I1394" s="46"/>
      <c r="J1394" s="26"/>
      <c r="K1394" s="26"/>
      <c r="L1394" s="26"/>
      <c r="M1394" s="26"/>
      <c r="N1394" s="26"/>
      <c r="O1394" s="26"/>
      <c r="P1394" s="26"/>
      <c r="Q1394" s="26"/>
      <c r="R1394" s="26"/>
    </row>
    <row r="1395" spans="9:18" x14ac:dyDescent="0.25">
      <c r="I1395" s="46"/>
      <c r="J1395" s="26"/>
      <c r="K1395" s="26"/>
      <c r="L1395" s="26"/>
      <c r="M1395" s="26"/>
      <c r="N1395" s="26"/>
      <c r="O1395" s="26"/>
      <c r="P1395" s="26"/>
      <c r="Q1395" s="26"/>
      <c r="R1395" s="26"/>
    </row>
    <row r="1396" spans="9:18" x14ac:dyDescent="0.25">
      <c r="I1396" s="46"/>
      <c r="J1396" s="26"/>
      <c r="K1396" s="26"/>
      <c r="L1396" s="26"/>
      <c r="M1396" s="26"/>
      <c r="N1396" s="26"/>
      <c r="O1396" s="26"/>
      <c r="P1396" s="26"/>
      <c r="Q1396" s="26"/>
      <c r="R1396" s="26"/>
    </row>
    <row r="1397" spans="9:18" x14ac:dyDescent="0.25">
      <c r="I1397" s="46"/>
      <c r="J1397" s="26"/>
      <c r="K1397" s="26"/>
      <c r="L1397" s="26"/>
      <c r="M1397" s="26"/>
      <c r="N1397" s="26"/>
      <c r="O1397" s="26"/>
      <c r="P1397" s="26"/>
      <c r="Q1397" s="26"/>
      <c r="R1397" s="26"/>
    </row>
    <row r="1398" spans="9:18" x14ac:dyDescent="0.25">
      <c r="I1398" s="46"/>
      <c r="J1398" s="26"/>
      <c r="K1398" s="26"/>
      <c r="L1398" s="26"/>
      <c r="M1398" s="26"/>
      <c r="N1398" s="26"/>
      <c r="O1398" s="26"/>
      <c r="P1398" s="26"/>
      <c r="Q1398" s="26"/>
      <c r="R1398" s="26"/>
    </row>
    <row r="1399" spans="9:18" x14ac:dyDescent="0.25">
      <c r="I1399" s="46"/>
      <c r="J1399" s="26"/>
      <c r="K1399" s="26"/>
      <c r="L1399" s="26"/>
      <c r="M1399" s="26"/>
      <c r="N1399" s="26"/>
      <c r="O1399" s="26"/>
      <c r="P1399" s="26"/>
      <c r="Q1399" s="26"/>
      <c r="R1399" s="26"/>
    </row>
    <row r="1400" spans="9:18" x14ac:dyDescent="0.25">
      <c r="I1400" s="46"/>
      <c r="J1400" s="26"/>
      <c r="K1400" s="26"/>
      <c r="L1400" s="26"/>
      <c r="M1400" s="26"/>
      <c r="N1400" s="26"/>
      <c r="O1400" s="26"/>
      <c r="P1400" s="26"/>
      <c r="Q1400" s="26"/>
      <c r="R1400" s="26"/>
    </row>
    <row r="1401" spans="9:18" x14ac:dyDescent="0.25">
      <c r="I1401" s="46"/>
      <c r="J1401" s="26"/>
      <c r="K1401" s="26"/>
      <c r="L1401" s="26"/>
      <c r="M1401" s="26"/>
      <c r="N1401" s="26"/>
      <c r="O1401" s="26"/>
      <c r="P1401" s="26"/>
      <c r="Q1401" s="26"/>
      <c r="R1401" s="26"/>
    </row>
    <row r="1402" spans="9:18" x14ac:dyDescent="0.25">
      <c r="I1402" s="46"/>
      <c r="J1402" s="26"/>
      <c r="K1402" s="26"/>
      <c r="L1402" s="26"/>
      <c r="M1402" s="26"/>
      <c r="N1402" s="26"/>
      <c r="O1402" s="26"/>
      <c r="P1402" s="26"/>
      <c r="Q1402" s="26"/>
      <c r="R1402" s="26"/>
    </row>
    <row r="1403" spans="9:18" x14ac:dyDescent="0.25">
      <c r="I1403" s="46"/>
      <c r="J1403" s="26"/>
      <c r="K1403" s="26"/>
      <c r="L1403" s="26"/>
      <c r="M1403" s="26"/>
      <c r="N1403" s="26"/>
      <c r="O1403" s="26"/>
      <c r="P1403" s="26"/>
      <c r="Q1403" s="26"/>
      <c r="R1403" s="26"/>
    </row>
    <row r="1404" spans="9:18" x14ac:dyDescent="0.25">
      <c r="I1404" s="46"/>
      <c r="J1404" s="26"/>
      <c r="K1404" s="26"/>
      <c r="L1404" s="26"/>
      <c r="M1404" s="26"/>
      <c r="N1404" s="26"/>
      <c r="O1404" s="26"/>
      <c r="P1404" s="26"/>
      <c r="Q1404" s="26"/>
      <c r="R1404" s="26"/>
    </row>
    <row r="1405" spans="9:18" x14ac:dyDescent="0.25">
      <c r="I1405" s="46"/>
      <c r="J1405" s="26"/>
      <c r="K1405" s="26"/>
      <c r="L1405" s="26"/>
      <c r="M1405" s="26"/>
      <c r="N1405" s="26"/>
      <c r="O1405" s="26"/>
      <c r="P1405" s="26"/>
      <c r="Q1405" s="26"/>
      <c r="R1405" s="26"/>
    </row>
    <row r="1406" spans="9:18" x14ac:dyDescent="0.25">
      <c r="I1406" s="46"/>
      <c r="J1406" s="26"/>
      <c r="K1406" s="26"/>
      <c r="L1406" s="26"/>
      <c r="M1406" s="26"/>
      <c r="N1406" s="26"/>
      <c r="O1406" s="26"/>
      <c r="P1406" s="26"/>
      <c r="Q1406" s="26"/>
      <c r="R1406" s="26"/>
    </row>
    <row r="1407" spans="9:18" x14ac:dyDescent="0.25">
      <c r="I1407" s="46"/>
      <c r="J1407" s="26"/>
      <c r="K1407" s="26"/>
      <c r="L1407" s="26"/>
      <c r="M1407" s="26"/>
      <c r="N1407" s="26"/>
      <c r="O1407" s="26"/>
      <c r="P1407" s="26"/>
      <c r="Q1407" s="26"/>
      <c r="R1407" s="26"/>
    </row>
    <row r="1408" spans="9:18" x14ac:dyDescent="0.25">
      <c r="I1408" s="46"/>
      <c r="J1408" s="26"/>
      <c r="K1408" s="26"/>
      <c r="L1408" s="26"/>
      <c r="M1408" s="26"/>
      <c r="N1408" s="26"/>
      <c r="O1408" s="26"/>
      <c r="P1408" s="26"/>
      <c r="Q1408" s="26"/>
      <c r="R1408" s="26"/>
    </row>
    <row r="1409" spans="9:18" x14ac:dyDescent="0.25">
      <c r="I1409" s="46"/>
      <c r="J1409" s="26"/>
      <c r="K1409" s="26"/>
      <c r="L1409" s="26"/>
      <c r="M1409" s="26"/>
      <c r="N1409" s="26"/>
      <c r="O1409" s="26"/>
      <c r="P1409" s="26"/>
      <c r="Q1409" s="26"/>
      <c r="R1409" s="26"/>
    </row>
    <row r="1410" spans="9:18" x14ac:dyDescent="0.25">
      <c r="I1410" s="46"/>
      <c r="J1410" s="26"/>
      <c r="K1410" s="26"/>
      <c r="L1410" s="26"/>
      <c r="M1410" s="26"/>
      <c r="N1410" s="26"/>
      <c r="O1410" s="26"/>
      <c r="P1410" s="26"/>
      <c r="Q1410" s="26"/>
      <c r="R1410" s="26"/>
    </row>
    <row r="1411" spans="9:18" x14ac:dyDescent="0.25">
      <c r="I1411" s="46"/>
      <c r="J1411" s="26"/>
      <c r="K1411" s="26"/>
      <c r="L1411" s="26"/>
      <c r="M1411" s="26"/>
      <c r="N1411" s="26"/>
      <c r="O1411" s="26"/>
      <c r="P1411" s="26"/>
      <c r="Q1411" s="26"/>
      <c r="R1411" s="26"/>
    </row>
    <row r="1412" spans="9:18" x14ac:dyDescent="0.25">
      <c r="I1412" s="46"/>
      <c r="J1412" s="26"/>
      <c r="K1412" s="26"/>
      <c r="L1412" s="26"/>
      <c r="M1412" s="26"/>
      <c r="N1412" s="26"/>
      <c r="O1412" s="26"/>
      <c r="P1412" s="26"/>
      <c r="Q1412" s="26"/>
      <c r="R1412" s="26"/>
    </row>
    <row r="1413" spans="9:18" x14ac:dyDescent="0.25">
      <c r="I1413" s="46"/>
      <c r="J1413" s="26"/>
      <c r="K1413" s="26"/>
      <c r="L1413" s="26"/>
      <c r="M1413" s="26"/>
      <c r="N1413" s="26"/>
      <c r="O1413" s="26"/>
      <c r="P1413" s="26"/>
      <c r="Q1413" s="26"/>
      <c r="R1413" s="26"/>
    </row>
    <row r="1414" spans="9:18" x14ac:dyDescent="0.25">
      <c r="I1414" s="46"/>
      <c r="J1414" s="26"/>
      <c r="K1414" s="26"/>
      <c r="L1414" s="26"/>
      <c r="M1414" s="26"/>
      <c r="N1414" s="26"/>
      <c r="O1414" s="26"/>
      <c r="P1414" s="26"/>
      <c r="Q1414" s="26"/>
      <c r="R1414" s="26"/>
    </row>
    <row r="1415" spans="9:18" x14ac:dyDescent="0.25">
      <c r="I1415" s="46"/>
      <c r="J1415" s="26"/>
      <c r="K1415" s="26"/>
      <c r="L1415" s="26"/>
      <c r="M1415" s="26"/>
      <c r="N1415" s="26"/>
      <c r="O1415" s="26"/>
      <c r="P1415" s="26"/>
      <c r="Q1415" s="26"/>
      <c r="R1415" s="26"/>
    </row>
    <row r="1416" spans="9:18" x14ac:dyDescent="0.25">
      <c r="I1416" s="46"/>
      <c r="J1416" s="26"/>
      <c r="K1416" s="26"/>
      <c r="L1416" s="26"/>
      <c r="M1416" s="26"/>
      <c r="N1416" s="26"/>
      <c r="O1416" s="26"/>
      <c r="P1416" s="26"/>
      <c r="Q1416" s="26"/>
      <c r="R1416" s="26"/>
    </row>
    <row r="1417" spans="9:18" x14ac:dyDescent="0.25">
      <c r="I1417" s="46"/>
      <c r="J1417" s="26"/>
      <c r="K1417" s="26"/>
      <c r="L1417" s="26"/>
      <c r="M1417" s="26"/>
      <c r="N1417" s="26"/>
      <c r="O1417" s="26"/>
      <c r="P1417" s="26"/>
      <c r="Q1417" s="26"/>
      <c r="R1417" s="26"/>
    </row>
    <row r="1418" spans="9:18" x14ac:dyDescent="0.25">
      <c r="I1418" s="46"/>
      <c r="J1418" s="26"/>
      <c r="K1418" s="26"/>
      <c r="L1418" s="26"/>
      <c r="M1418" s="26"/>
      <c r="N1418" s="26"/>
      <c r="O1418" s="26"/>
      <c r="P1418" s="26"/>
      <c r="Q1418" s="26"/>
      <c r="R1418" s="26"/>
    </row>
    <row r="1419" spans="9:18" x14ac:dyDescent="0.25">
      <c r="I1419" s="46"/>
      <c r="J1419" s="26"/>
      <c r="K1419" s="26"/>
      <c r="L1419" s="26"/>
      <c r="M1419" s="26"/>
      <c r="N1419" s="26"/>
      <c r="O1419" s="26"/>
      <c r="P1419" s="26"/>
      <c r="Q1419" s="26"/>
      <c r="R1419" s="26"/>
    </row>
    <row r="1420" spans="9:18" x14ac:dyDescent="0.25">
      <c r="I1420" s="46"/>
      <c r="J1420" s="26"/>
      <c r="K1420" s="26"/>
      <c r="L1420" s="26"/>
      <c r="M1420" s="26"/>
      <c r="N1420" s="26"/>
      <c r="O1420" s="26"/>
      <c r="P1420" s="26"/>
      <c r="Q1420" s="26"/>
      <c r="R1420" s="26"/>
    </row>
    <row r="1421" spans="9:18" x14ac:dyDescent="0.25">
      <c r="I1421" s="46"/>
      <c r="J1421" s="26"/>
      <c r="K1421" s="26"/>
      <c r="L1421" s="26"/>
      <c r="M1421" s="26"/>
      <c r="N1421" s="26"/>
      <c r="O1421" s="26"/>
      <c r="P1421" s="26"/>
      <c r="Q1421" s="26"/>
      <c r="R1421" s="26"/>
    </row>
    <row r="1422" spans="9:18" x14ac:dyDescent="0.25">
      <c r="I1422" s="46"/>
      <c r="J1422" s="26"/>
      <c r="K1422" s="26"/>
      <c r="L1422" s="26"/>
      <c r="M1422" s="26"/>
      <c r="N1422" s="26"/>
      <c r="O1422" s="26"/>
      <c r="P1422" s="26"/>
      <c r="Q1422" s="26"/>
      <c r="R1422" s="26"/>
    </row>
    <row r="1423" spans="9:18" x14ac:dyDescent="0.25">
      <c r="I1423" s="46"/>
      <c r="J1423" s="26"/>
      <c r="K1423" s="26"/>
      <c r="L1423" s="26"/>
      <c r="M1423" s="26"/>
      <c r="N1423" s="26"/>
      <c r="O1423" s="26"/>
      <c r="P1423" s="26"/>
      <c r="Q1423" s="26"/>
      <c r="R1423" s="26"/>
    </row>
    <row r="1424" spans="9:18" x14ac:dyDescent="0.25">
      <c r="I1424" s="46"/>
      <c r="J1424" s="26"/>
      <c r="K1424" s="26"/>
      <c r="L1424" s="26"/>
      <c r="M1424" s="26"/>
      <c r="N1424" s="26"/>
      <c r="O1424" s="26"/>
      <c r="P1424" s="26"/>
      <c r="Q1424" s="26"/>
      <c r="R1424" s="26"/>
    </row>
    <row r="1425" spans="9:18" x14ac:dyDescent="0.25">
      <c r="I1425" s="46"/>
      <c r="J1425" s="26"/>
      <c r="K1425" s="26"/>
      <c r="L1425" s="26"/>
      <c r="M1425" s="26"/>
      <c r="N1425" s="26"/>
      <c r="O1425" s="26"/>
      <c r="P1425" s="26"/>
      <c r="Q1425" s="26"/>
      <c r="R1425" s="26"/>
    </row>
    <row r="1426" spans="9:18" x14ac:dyDescent="0.25">
      <c r="I1426" s="46"/>
      <c r="J1426" s="26"/>
      <c r="K1426" s="26"/>
      <c r="L1426" s="26"/>
      <c r="M1426" s="26"/>
      <c r="N1426" s="26"/>
      <c r="O1426" s="26"/>
      <c r="P1426" s="26"/>
      <c r="Q1426" s="26"/>
      <c r="R1426" s="26"/>
    </row>
    <row r="1427" spans="9:18" x14ac:dyDescent="0.25">
      <c r="I1427" s="46"/>
      <c r="J1427" s="26"/>
      <c r="K1427" s="26"/>
      <c r="L1427" s="26"/>
      <c r="M1427" s="26"/>
      <c r="N1427" s="26"/>
      <c r="O1427" s="26"/>
      <c r="P1427" s="26"/>
      <c r="Q1427" s="26"/>
      <c r="R1427" s="26"/>
    </row>
    <row r="1428" spans="9:18" x14ac:dyDescent="0.25">
      <c r="I1428" s="46"/>
      <c r="J1428" s="26"/>
      <c r="K1428" s="26"/>
      <c r="L1428" s="26"/>
      <c r="M1428" s="26"/>
      <c r="N1428" s="26"/>
      <c r="O1428" s="26"/>
      <c r="P1428" s="26"/>
      <c r="Q1428" s="26"/>
      <c r="R1428" s="26"/>
    </row>
    <row r="1429" spans="9:18" x14ac:dyDescent="0.25">
      <c r="I1429" s="46"/>
      <c r="J1429" s="26"/>
      <c r="K1429" s="26"/>
      <c r="L1429" s="26"/>
      <c r="M1429" s="26"/>
      <c r="N1429" s="26"/>
      <c r="O1429" s="26"/>
      <c r="P1429" s="26"/>
      <c r="Q1429" s="26"/>
      <c r="R1429" s="26"/>
    </row>
    <row r="1430" spans="9:18" x14ac:dyDescent="0.25">
      <c r="I1430" s="46"/>
      <c r="J1430" s="26"/>
      <c r="K1430" s="26"/>
      <c r="L1430" s="26"/>
      <c r="M1430" s="26"/>
      <c r="N1430" s="26"/>
      <c r="O1430" s="26"/>
      <c r="P1430" s="26"/>
      <c r="Q1430" s="26"/>
      <c r="R1430" s="26"/>
    </row>
    <row r="1431" spans="9:18" x14ac:dyDescent="0.25">
      <c r="I1431" s="46"/>
      <c r="J1431" s="26"/>
      <c r="K1431" s="26"/>
      <c r="L1431" s="26"/>
      <c r="M1431" s="26"/>
      <c r="N1431" s="26"/>
      <c r="O1431" s="26"/>
      <c r="P1431" s="26"/>
      <c r="Q1431" s="26"/>
      <c r="R1431" s="26"/>
    </row>
    <row r="1432" spans="9:18" x14ac:dyDescent="0.25">
      <c r="I1432" s="46"/>
      <c r="J1432" s="26"/>
      <c r="K1432" s="26"/>
      <c r="L1432" s="26"/>
      <c r="M1432" s="26"/>
      <c r="N1432" s="26"/>
      <c r="O1432" s="26"/>
      <c r="P1432" s="26"/>
      <c r="Q1432" s="26"/>
      <c r="R1432" s="26"/>
    </row>
    <row r="1433" spans="9:18" x14ac:dyDescent="0.25">
      <c r="I1433" s="46"/>
      <c r="J1433" s="26"/>
      <c r="K1433" s="26"/>
      <c r="L1433" s="26"/>
      <c r="M1433" s="26"/>
      <c r="N1433" s="26"/>
      <c r="O1433" s="26"/>
      <c r="P1433" s="26"/>
      <c r="Q1433" s="26"/>
      <c r="R1433" s="26"/>
    </row>
    <row r="1434" spans="9:18" x14ac:dyDescent="0.25">
      <c r="I1434" s="46"/>
      <c r="J1434" s="26"/>
      <c r="K1434" s="26"/>
      <c r="L1434" s="26"/>
      <c r="M1434" s="26"/>
      <c r="N1434" s="26"/>
      <c r="O1434" s="26"/>
      <c r="P1434" s="26"/>
      <c r="Q1434" s="26"/>
      <c r="R1434" s="26"/>
    </row>
    <row r="1435" spans="9:18" x14ac:dyDescent="0.25">
      <c r="I1435" s="46"/>
      <c r="J1435" s="26"/>
      <c r="K1435" s="26"/>
      <c r="L1435" s="26"/>
      <c r="M1435" s="26"/>
      <c r="N1435" s="26"/>
      <c r="O1435" s="26"/>
      <c r="P1435" s="26"/>
      <c r="Q1435" s="26"/>
      <c r="R1435" s="26"/>
    </row>
    <row r="1436" spans="9:18" x14ac:dyDescent="0.25">
      <c r="I1436" s="46"/>
      <c r="J1436" s="26"/>
      <c r="K1436" s="26"/>
      <c r="L1436" s="26"/>
      <c r="M1436" s="26"/>
      <c r="N1436" s="26"/>
      <c r="O1436" s="26"/>
      <c r="P1436" s="26"/>
      <c r="Q1436" s="26"/>
      <c r="R1436" s="26"/>
    </row>
    <row r="1437" spans="9:18" x14ac:dyDescent="0.25">
      <c r="I1437" s="46"/>
      <c r="J1437" s="26"/>
      <c r="K1437" s="26"/>
      <c r="L1437" s="26"/>
      <c r="M1437" s="26"/>
      <c r="N1437" s="26"/>
      <c r="O1437" s="26"/>
      <c r="P1437" s="26"/>
      <c r="Q1437" s="26"/>
      <c r="R1437" s="26"/>
    </row>
    <row r="1438" spans="9:18" x14ac:dyDescent="0.25">
      <c r="I1438" s="46"/>
      <c r="J1438" s="26"/>
      <c r="K1438" s="26"/>
      <c r="L1438" s="26"/>
      <c r="M1438" s="26"/>
      <c r="N1438" s="26"/>
      <c r="O1438" s="26"/>
      <c r="P1438" s="26"/>
      <c r="Q1438" s="26"/>
      <c r="R1438" s="26"/>
    </row>
    <row r="1439" spans="9:18" x14ac:dyDescent="0.25">
      <c r="I1439" s="46"/>
      <c r="J1439" s="26"/>
      <c r="K1439" s="26"/>
      <c r="L1439" s="26"/>
      <c r="M1439" s="26"/>
      <c r="N1439" s="26"/>
      <c r="O1439" s="26"/>
      <c r="P1439" s="26"/>
      <c r="Q1439" s="26"/>
      <c r="R1439" s="26"/>
    </row>
    <row r="1440" spans="9:18" x14ac:dyDescent="0.25">
      <c r="I1440" s="46"/>
      <c r="J1440" s="26"/>
      <c r="K1440" s="26"/>
      <c r="L1440" s="26"/>
      <c r="M1440" s="26"/>
      <c r="N1440" s="26"/>
      <c r="O1440" s="26"/>
      <c r="P1440" s="26"/>
      <c r="Q1440" s="26"/>
      <c r="R1440" s="26"/>
    </row>
    <row r="1441" spans="9:18" x14ac:dyDescent="0.25">
      <c r="I1441" s="46"/>
      <c r="J1441" s="26"/>
      <c r="K1441" s="26"/>
      <c r="L1441" s="26"/>
      <c r="M1441" s="26"/>
      <c r="N1441" s="26"/>
      <c r="O1441" s="26"/>
      <c r="P1441" s="26"/>
      <c r="Q1441" s="26"/>
      <c r="R1441" s="26"/>
    </row>
    <row r="1442" spans="9:18" x14ac:dyDescent="0.25">
      <c r="I1442" s="46"/>
      <c r="J1442" s="26"/>
      <c r="K1442" s="26"/>
      <c r="L1442" s="26"/>
      <c r="M1442" s="26"/>
      <c r="N1442" s="26"/>
      <c r="O1442" s="26"/>
      <c r="P1442" s="26"/>
      <c r="Q1442" s="26"/>
      <c r="R1442" s="26"/>
    </row>
    <row r="1443" spans="9:18" x14ac:dyDescent="0.25">
      <c r="I1443" s="46"/>
      <c r="J1443" s="26"/>
      <c r="K1443" s="26"/>
      <c r="L1443" s="26"/>
      <c r="M1443" s="26"/>
      <c r="N1443" s="26"/>
      <c r="O1443" s="26"/>
      <c r="P1443" s="26"/>
      <c r="Q1443" s="26"/>
      <c r="R1443" s="26"/>
    </row>
    <row r="1444" spans="9:18" x14ac:dyDescent="0.25">
      <c r="I1444" s="46"/>
      <c r="J1444" s="26"/>
      <c r="K1444" s="26"/>
      <c r="L1444" s="26"/>
      <c r="M1444" s="26"/>
      <c r="N1444" s="26"/>
      <c r="O1444" s="26"/>
      <c r="P1444" s="26"/>
      <c r="Q1444" s="26"/>
      <c r="R1444" s="26"/>
    </row>
    <row r="1445" spans="9:18" x14ac:dyDescent="0.25">
      <c r="I1445" s="46"/>
      <c r="J1445" s="26"/>
      <c r="K1445" s="26"/>
      <c r="L1445" s="26"/>
      <c r="M1445" s="26"/>
      <c r="N1445" s="26"/>
      <c r="O1445" s="26"/>
      <c r="P1445" s="26"/>
      <c r="Q1445" s="26"/>
      <c r="R1445" s="26"/>
    </row>
    <row r="1446" spans="9:18" x14ac:dyDescent="0.25">
      <c r="I1446" s="46"/>
      <c r="J1446" s="26"/>
      <c r="K1446" s="26"/>
      <c r="L1446" s="26"/>
      <c r="M1446" s="26"/>
      <c r="N1446" s="26"/>
      <c r="O1446" s="26"/>
      <c r="P1446" s="26"/>
      <c r="Q1446" s="26"/>
      <c r="R1446" s="26"/>
    </row>
    <row r="1447" spans="9:18" x14ac:dyDescent="0.25">
      <c r="I1447" s="46"/>
      <c r="J1447" s="26"/>
      <c r="K1447" s="26"/>
      <c r="L1447" s="26"/>
      <c r="M1447" s="26"/>
      <c r="N1447" s="26"/>
      <c r="O1447" s="26"/>
      <c r="P1447" s="26"/>
      <c r="Q1447" s="26"/>
      <c r="R1447" s="26"/>
    </row>
    <row r="1448" spans="9:18" x14ac:dyDescent="0.25">
      <c r="I1448" s="46"/>
      <c r="J1448" s="26"/>
      <c r="K1448" s="26"/>
      <c r="L1448" s="26"/>
      <c r="M1448" s="26"/>
      <c r="N1448" s="26"/>
      <c r="O1448" s="26"/>
      <c r="P1448" s="26"/>
      <c r="Q1448" s="26"/>
      <c r="R1448" s="26"/>
    </row>
    <row r="1449" spans="9:18" x14ac:dyDescent="0.25">
      <c r="I1449" s="46"/>
      <c r="J1449" s="26"/>
      <c r="K1449" s="26"/>
      <c r="L1449" s="26"/>
      <c r="M1449" s="26"/>
      <c r="N1449" s="26"/>
      <c r="O1449" s="26"/>
      <c r="P1449" s="26"/>
      <c r="Q1449" s="26"/>
      <c r="R1449" s="26"/>
    </row>
    <row r="1450" spans="9:18" x14ac:dyDescent="0.25">
      <c r="I1450" s="46"/>
      <c r="J1450" s="26"/>
      <c r="K1450" s="26"/>
      <c r="L1450" s="26"/>
      <c r="M1450" s="26"/>
      <c r="N1450" s="26"/>
      <c r="O1450" s="26"/>
      <c r="P1450" s="26"/>
      <c r="Q1450" s="26"/>
      <c r="R1450" s="26"/>
    </row>
    <row r="1451" spans="9:18" x14ac:dyDescent="0.25">
      <c r="I1451" s="46"/>
      <c r="J1451" s="26"/>
      <c r="K1451" s="26"/>
      <c r="L1451" s="26"/>
      <c r="M1451" s="26"/>
      <c r="N1451" s="26"/>
      <c r="O1451" s="26"/>
      <c r="P1451" s="26"/>
      <c r="Q1451" s="26"/>
      <c r="R1451" s="26"/>
    </row>
    <row r="1452" spans="9:18" x14ac:dyDescent="0.25">
      <c r="I1452" s="46"/>
      <c r="J1452" s="26"/>
      <c r="K1452" s="26"/>
      <c r="L1452" s="26"/>
      <c r="M1452" s="26"/>
      <c r="N1452" s="26"/>
      <c r="O1452" s="26"/>
      <c r="P1452" s="26"/>
      <c r="Q1452" s="26"/>
      <c r="R1452" s="26"/>
    </row>
    <row r="1453" spans="9:18" x14ac:dyDescent="0.25">
      <c r="I1453" s="46"/>
      <c r="J1453" s="26"/>
      <c r="K1453" s="26"/>
      <c r="L1453" s="26"/>
      <c r="M1453" s="26"/>
      <c r="N1453" s="26"/>
      <c r="O1453" s="26"/>
      <c r="P1453" s="26"/>
      <c r="Q1453" s="26"/>
      <c r="R1453" s="26"/>
    </row>
    <row r="1454" spans="9:18" x14ac:dyDescent="0.25">
      <c r="I1454" s="46"/>
      <c r="J1454" s="26"/>
      <c r="K1454" s="26"/>
      <c r="L1454" s="26"/>
      <c r="M1454" s="26"/>
      <c r="N1454" s="26"/>
      <c r="O1454" s="26"/>
      <c r="P1454" s="26"/>
      <c r="Q1454" s="26"/>
      <c r="R1454" s="26"/>
    </row>
    <row r="1455" spans="9:18" x14ac:dyDescent="0.25">
      <c r="I1455" s="46"/>
      <c r="J1455" s="26"/>
      <c r="K1455" s="26"/>
      <c r="L1455" s="26"/>
      <c r="M1455" s="26"/>
      <c r="N1455" s="26"/>
      <c r="O1455" s="26"/>
      <c r="P1455" s="26"/>
      <c r="Q1455" s="26"/>
      <c r="R1455" s="26"/>
    </row>
    <row r="1456" spans="9:18" x14ac:dyDescent="0.25">
      <c r="I1456" s="46"/>
      <c r="J1456" s="26"/>
      <c r="K1456" s="26"/>
      <c r="L1456" s="26"/>
      <c r="M1456" s="26"/>
      <c r="N1456" s="26"/>
      <c r="O1456" s="26"/>
      <c r="P1456" s="26"/>
      <c r="Q1456" s="26"/>
      <c r="R1456" s="26"/>
    </row>
    <row r="1457" spans="9:18" x14ac:dyDescent="0.25">
      <c r="I1457" s="46"/>
      <c r="J1457" s="26"/>
      <c r="K1457" s="26"/>
      <c r="L1457" s="26"/>
      <c r="M1457" s="26"/>
      <c r="N1457" s="26"/>
      <c r="O1457" s="26"/>
      <c r="P1457" s="26"/>
      <c r="Q1457" s="26"/>
      <c r="R1457" s="26"/>
    </row>
    <row r="1458" spans="9:18" x14ac:dyDescent="0.25">
      <c r="I1458" s="46"/>
      <c r="J1458" s="26"/>
      <c r="K1458" s="26"/>
      <c r="L1458" s="26"/>
      <c r="M1458" s="26"/>
      <c r="N1458" s="26"/>
      <c r="O1458" s="26"/>
      <c r="P1458" s="26"/>
      <c r="Q1458" s="26"/>
      <c r="R1458" s="26"/>
    </row>
    <row r="1459" spans="9:18" x14ac:dyDescent="0.25">
      <c r="I1459" s="46"/>
      <c r="J1459" s="26"/>
      <c r="K1459" s="26"/>
      <c r="L1459" s="26"/>
      <c r="M1459" s="26"/>
      <c r="N1459" s="26"/>
      <c r="O1459" s="26"/>
      <c r="P1459" s="26"/>
      <c r="Q1459" s="26"/>
      <c r="R1459" s="26"/>
    </row>
    <row r="1460" spans="9:18" x14ac:dyDescent="0.25">
      <c r="I1460" s="46"/>
      <c r="J1460" s="26"/>
      <c r="K1460" s="26"/>
      <c r="L1460" s="26"/>
      <c r="M1460" s="26"/>
      <c r="N1460" s="26"/>
      <c r="O1460" s="26"/>
      <c r="P1460" s="26"/>
      <c r="Q1460" s="26"/>
      <c r="R1460" s="26"/>
    </row>
    <row r="1461" spans="9:18" x14ac:dyDescent="0.25">
      <c r="I1461" s="46"/>
      <c r="J1461" s="26"/>
      <c r="K1461" s="26"/>
      <c r="L1461" s="26"/>
      <c r="M1461" s="26"/>
      <c r="N1461" s="26"/>
      <c r="O1461" s="26"/>
      <c r="P1461" s="26"/>
      <c r="Q1461" s="26"/>
      <c r="R1461" s="26"/>
    </row>
    <row r="1462" spans="9:18" x14ac:dyDescent="0.25">
      <c r="I1462" s="46"/>
      <c r="J1462" s="26"/>
      <c r="K1462" s="26"/>
      <c r="L1462" s="26"/>
      <c r="M1462" s="26"/>
      <c r="N1462" s="26"/>
      <c r="O1462" s="26"/>
      <c r="P1462" s="26"/>
      <c r="Q1462" s="26"/>
      <c r="R1462" s="26"/>
    </row>
    <row r="1463" spans="9:18" x14ac:dyDescent="0.25">
      <c r="I1463" s="46"/>
      <c r="J1463" s="26"/>
      <c r="K1463" s="26"/>
      <c r="L1463" s="26"/>
      <c r="M1463" s="26"/>
      <c r="N1463" s="26"/>
      <c r="O1463" s="26"/>
      <c r="P1463" s="26"/>
      <c r="Q1463" s="26"/>
      <c r="R1463" s="26"/>
    </row>
    <row r="1464" spans="9:18" x14ac:dyDescent="0.25">
      <c r="I1464" s="46"/>
      <c r="J1464" s="26"/>
      <c r="K1464" s="26"/>
      <c r="L1464" s="26"/>
      <c r="M1464" s="26"/>
      <c r="N1464" s="26"/>
      <c r="O1464" s="26"/>
      <c r="P1464" s="26"/>
      <c r="Q1464" s="26"/>
      <c r="R1464" s="26"/>
    </row>
    <row r="1465" spans="9:18" x14ac:dyDescent="0.25">
      <c r="I1465" s="46"/>
      <c r="J1465" s="26"/>
      <c r="K1465" s="26"/>
      <c r="L1465" s="26"/>
      <c r="M1465" s="26"/>
      <c r="N1465" s="26"/>
      <c r="O1465" s="26"/>
      <c r="P1465" s="26"/>
      <c r="Q1465" s="26"/>
      <c r="R1465" s="26"/>
    </row>
    <row r="1466" spans="9:18" x14ac:dyDescent="0.25">
      <c r="I1466" s="46"/>
      <c r="J1466" s="26"/>
      <c r="K1466" s="26"/>
      <c r="L1466" s="26"/>
      <c r="M1466" s="26"/>
      <c r="N1466" s="26"/>
      <c r="O1466" s="26"/>
      <c r="P1466" s="26"/>
      <c r="Q1466" s="26"/>
      <c r="R1466" s="26"/>
    </row>
    <row r="1467" spans="9:18" x14ac:dyDescent="0.25">
      <c r="I1467" s="46"/>
      <c r="J1467" s="26"/>
      <c r="K1467" s="26"/>
      <c r="L1467" s="26"/>
      <c r="M1467" s="26"/>
      <c r="N1467" s="26"/>
      <c r="O1467" s="26"/>
      <c r="P1467" s="26"/>
      <c r="Q1467" s="26"/>
      <c r="R1467" s="26"/>
    </row>
    <row r="1468" spans="9:18" x14ac:dyDescent="0.25">
      <c r="I1468" s="46"/>
      <c r="J1468" s="26"/>
      <c r="K1468" s="26"/>
      <c r="L1468" s="26"/>
      <c r="M1468" s="26"/>
      <c r="N1468" s="26"/>
      <c r="O1468" s="26"/>
      <c r="P1468" s="26"/>
      <c r="Q1468" s="26"/>
      <c r="R1468" s="26"/>
    </row>
    <row r="1469" spans="9:18" x14ac:dyDescent="0.25">
      <c r="I1469" s="46"/>
      <c r="J1469" s="26"/>
      <c r="K1469" s="26"/>
      <c r="L1469" s="26"/>
      <c r="M1469" s="26"/>
      <c r="N1469" s="26"/>
      <c r="O1469" s="26"/>
      <c r="P1469" s="26"/>
      <c r="Q1469" s="26"/>
      <c r="R1469" s="26"/>
    </row>
    <row r="1470" spans="9:18" x14ac:dyDescent="0.25">
      <c r="I1470" s="46"/>
      <c r="J1470" s="26"/>
      <c r="K1470" s="26"/>
      <c r="L1470" s="26"/>
      <c r="M1470" s="26"/>
      <c r="N1470" s="26"/>
      <c r="O1470" s="26"/>
      <c r="P1470" s="26"/>
      <c r="Q1470" s="26"/>
      <c r="R1470" s="26"/>
    </row>
    <row r="1471" spans="9:18" x14ac:dyDescent="0.25">
      <c r="I1471" s="46"/>
      <c r="J1471" s="26"/>
      <c r="K1471" s="26"/>
      <c r="L1471" s="26"/>
      <c r="M1471" s="26"/>
      <c r="N1471" s="26"/>
      <c r="O1471" s="26"/>
      <c r="P1471" s="26"/>
      <c r="Q1471" s="26"/>
      <c r="R1471" s="26"/>
    </row>
    <row r="1472" spans="9:18" x14ac:dyDescent="0.25">
      <c r="I1472" s="46"/>
      <c r="J1472" s="26"/>
      <c r="K1472" s="26"/>
      <c r="L1472" s="26"/>
      <c r="M1472" s="26"/>
      <c r="N1472" s="26"/>
      <c r="O1472" s="26"/>
      <c r="P1472" s="26"/>
      <c r="Q1472" s="26"/>
      <c r="R1472" s="26"/>
    </row>
    <row r="1473" spans="9:18" x14ac:dyDescent="0.25">
      <c r="I1473" s="46"/>
      <c r="J1473" s="26"/>
      <c r="K1473" s="26"/>
      <c r="L1473" s="26"/>
      <c r="M1473" s="26"/>
      <c r="N1473" s="26"/>
      <c r="O1473" s="26"/>
      <c r="P1473" s="26"/>
      <c r="Q1473" s="26"/>
      <c r="R1473" s="26"/>
    </row>
    <row r="1474" spans="9:18" x14ac:dyDescent="0.25">
      <c r="I1474" s="46"/>
      <c r="J1474" s="26"/>
      <c r="K1474" s="26"/>
      <c r="L1474" s="26"/>
      <c r="M1474" s="26"/>
      <c r="N1474" s="26"/>
      <c r="O1474" s="26"/>
      <c r="P1474" s="26"/>
      <c r="Q1474" s="26"/>
      <c r="R1474" s="26"/>
    </row>
    <row r="1475" spans="9:18" x14ac:dyDescent="0.25">
      <c r="I1475" s="46"/>
      <c r="J1475" s="26"/>
      <c r="K1475" s="26"/>
      <c r="L1475" s="26"/>
      <c r="M1475" s="26"/>
      <c r="N1475" s="26"/>
      <c r="O1475" s="26"/>
      <c r="P1475" s="26"/>
      <c r="Q1475" s="26"/>
      <c r="R1475" s="26"/>
    </row>
    <row r="1476" spans="9:18" x14ac:dyDescent="0.25">
      <c r="I1476" s="46"/>
      <c r="J1476" s="26"/>
      <c r="K1476" s="26"/>
      <c r="L1476" s="26"/>
      <c r="M1476" s="26"/>
      <c r="N1476" s="26"/>
      <c r="O1476" s="26"/>
      <c r="P1476" s="26"/>
      <c r="Q1476" s="26"/>
      <c r="R1476" s="26"/>
    </row>
    <row r="1477" spans="9:18" x14ac:dyDescent="0.25">
      <c r="I1477" s="46"/>
      <c r="J1477" s="26"/>
      <c r="K1477" s="26"/>
      <c r="L1477" s="26"/>
      <c r="M1477" s="26"/>
      <c r="N1477" s="26"/>
      <c r="O1477" s="26"/>
      <c r="P1477" s="26"/>
      <c r="Q1477" s="26"/>
      <c r="R1477" s="26"/>
    </row>
    <row r="1478" spans="9:18" x14ac:dyDescent="0.25">
      <c r="I1478" s="46"/>
      <c r="J1478" s="26"/>
      <c r="K1478" s="26"/>
      <c r="L1478" s="26"/>
      <c r="M1478" s="26"/>
      <c r="N1478" s="26"/>
      <c r="O1478" s="26"/>
      <c r="P1478" s="26"/>
      <c r="Q1478" s="26"/>
      <c r="R1478" s="26"/>
    </row>
    <row r="1479" spans="9:18" x14ac:dyDescent="0.25">
      <c r="I1479" s="46"/>
      <c r="J1479" s="26"/>
      <c r="K1479" s="26"/>
      <c r="L1479" s="26"/>
      <c r="M1479" s="26"/>
      <c r="N1479" s="26"/>
      <c r="O1479" s="26"/>
      <c r="P1479" s="26"/>
      <c r="Q1479" s="26"/>
      <c r="R1479" s="26"/>
    </row>
    <row r="1480" spans="9:18" x14ac:dyDescent="0.25">
      <c r="I1480" s="46"/>
      <c r="J1480" s="26"/>
      <c r="K1480" s="26"/>
      <c r="L1480" s="26"/>
      <c r="M1480" s="26"/>
      <c r="N1480" s="26"/>
      <c r="O1480" s="26"/>
      <c r="P1480" s="26"/>
      <c r="Q1480" s="26"/>
      <c r="R1480" s="26"/>
    </row>
    <row r="1481" spans="9:18" x14ac:dyDescent="0.25">
      <c r="I1481" s="46"/>
      <c r="J1481" s="26"/>
      <c r="K1481" s="26"/>
      <c r="L1481" s="26"/>
      <c r="M1481" s="26"/>
      <c r="N1481" s="26"/>
      <c r="O1481" s="26"/>
      <c r="P1481" s="26"/>
      <c r="Q1481" s="26"/>
      <c r="R1481" s="26"/>
    </row>
    <row r="1482" spans="9:18" x14ac:dyDescent="0.25">
      <c r="I1482" s="46"/>
      <c r="J1482" s="26"/>
      <c r="K1482" s="26"/>
      <c r="L1482" s="26"/>
      <c r="M1482" s="26"/>
      <c r="N1482" s="26"/>
      <c r="O1482" s="26"/>
      <c r="P1482" s="26"/>
      <c r="Q1482" s="26"/>
      <c r="R1482" s="26"/>
    </row>
    <row r="1483" spans="9:18" x14ac:dyDescent="0.25">
      <c r="I1483" s="46"/>
      <c r="J1483" s="26"/>
      <c r="K1483" s="26"/>
      <c r="L1483" s="26"/>
      <c r="M1483" s="26"/>
      <c r="N1483" s="26"/>
      <c r="O1483" s="26"/>
      <c r="P1483" s="26"/>
      <c r="Q1483" s="26"/>
      <c r="R1483" s="26"/>
    </row>
    <row r="1484" spans="9:18" x14ac:dyDescent="0.25">
      <c r="I1484" s="46"/>
      <c r="J1484" s="26"/>
      <c r="K1484" s="26"/>
      <c r="L1484" s="26"/>
      <c r="M1484" s="26"/>
      <c r="N1484" s="26"/>
      <c r="O1484" s="26"/>
      <c r="P1484" s="26"/>
      <c r="Q1484" s="26"/>
      <c r="R1484" s="26"/>
    </row>
    <row r="1485" spans="9:18" x14ac:dyDescent="0.25">
      <c r="I1485" s="46"/>
      <c r="J1485" s="26"/>
      <c r="K1485" s="26"/>
      <c r="L1485" s="26"/>
      <c r="M1485" s="26"/>
      <c r="N1485" s="26"/>
      <c r="O1485" s="26"/>
      <c r="P1485" s="26"/>
      <c r="Q1485" s="26"/>
      <c r="R1485" s="26"/>
    </row>
    <row r="1486" spans="9:18" x14ac:dyDescent="0.25">
      <c r="I1486" s="46"/>
      <c r="J1486" s="26"/>
      <c r="K1486" s="26"/>
      <c r="L1486" s="26"/>
      <c r="M1486" s="26"/>
      <c r="N1486" s="26"/>
      <c r="O1486" s="26"/>
      <c r="P1486" s="26"/>
      <c r="Q1486" s="26"/>
      <c r="R1486" s="26"/>
    </row>
    <row r="1487" spans="9:18" x14ac:dyDescent="0.25">
      <c r="I1487" s="46"/>
      <c r="J1487" s="26"/>
      <c r="K1487" s="26"/>
      <c r="L1487" s="26"/>
      <c r="M1487" s="26"/>
      <c r="N1487" s="26"/>
      <c r="O1487" s="26"/>
      <c r="P1487" s="26"/>
      <c r="Q1487" s="26"/>
      <c r="R1487" s="26"/>
    </row>
    <row r="1488" spans="9:18" x14ac:dyDescent="0.25">
      <c r="I1488" s="46"/>
      <c r="J1488" s="26"/>
      <c r="K1488" s="26"/>
      <c r="L1488" s="26"/>
      <c r="M1488" s="26"/>
      <c r="N1488" s="26"/>
      <c r="O1488" s="26"/>
      <c r="P1488" s="26"/>
      <c r="Q1488" s="26"/>
      <c r="R1488" s="26"/>
    </row>
    <row r="1489" spans="9:18" x14ac:dyDescent="0.25">
      <c r="I1489" s="46"/>
      <c r="J1489" s="26"/>
      <c r="K1489" s="26"/>
      <c r="L1489" s="26"/>
      <c r="M1489" s="26"/>
      <c r="N1489" s="26"/>
      <c r="O1489" s="26"/>
      <c r="P1489" s="26"/>
      <c r="Q1489" s="26"/>
      <c r="R1489" s="26"/>
    </row>
    <row r="1490" spans="9:18" x14ac:dyDescent="0.25">
      <c r="I1490" s="46"/>
      <c r="J1490" s="26"/>
      <c r="K1490" s="26"/>
      <c r="L1490" s="26"/>
      <c r="M1490" s="26"/>
      <c r="N1490" s="26"/>
      <c r="O1490" s="26"/>
      <c r="P1490" s="26"/>
      <c r="Q1490" s="26"/>
      <c r="R1490" s="26"/>
    </row>
    <row r="1491" spans="9:18" x14ac:dyDescent="0.25">
      <c r="I1491" s="46"/>
      <c r="J1491" s="26"/>
      <c r="K1491" s="26"/>
      <c r="L1491" s="26"/>
      <c r="M1491" s="26"/>
      <c r="N1491" s="26"/>
      <c r="O1491" s="26"/>
      <c r="P1491" s="26"/>
      <c r="Q1491" s="26"/>
      <c r="R1491" s="26"/>
    </row>
    <row r="1492" spans="9:18" x14ac:dyDescent="0.25">
      <c r="I1492" s="46"/>
      <c r="J1492" s="26"/>
      <c r="K1492" s="26"/>
      <c r="L1492" s="26"/>
      <c r="M1492" s="26"/>
      <c r="N1492" s="26"/>
      <c r="O1492" s="26"/>
      <c r="P1492" s="26"/>
      <c r="Q1492" s="26"/>
      <c r="R1492" s="26"/>
    </row>
    <row r="1493" spans="9:18" x14ac:dyDescent="0.25">
      <c r="I1493" s="46"/>
      <c r="J1493" s="26"/>
      <c r="K1493" s="26"/>
      <c r="L1493" s="26"/>
      <c r="M1493" s="26"/>
      <c r="N1493" s="26"/>
      <c r="O1493" s="26"/>
      <c r="P1493" s="26"/>
      <c r="Q1493" s="26"/>
      <c r="R1493" s="26"/>
    </row>
    <row r="1494" spans="9:18" x14ac:dyDescent="0.25">
      <c r="I1494" s="46"/>
      <c r="J1494" s="26"/>
      <c r="K1494" s="26"/>
      <c r="L1494" s="26"/>
      <c r="M1494" s="26"/>
      <c r="N1494" s="26"/>
      <c r="O1494" s="26"/>
      <c r="P1494" s="26"/>
      <c r="Q1494" s="26"/>
      <c r="R1494" s="26"/>
    </row>
    <row r="1495" spans="9:18" x14ac:dyDescent="0.25">
      <c r="I1495" s="46"/>
      <c r="J1495" s="26"/>
      <c r="K1495" s="26"/>
      <c r="L1495" s="26"/>
      <c r="M1495" s="26"/>
      <c r="N1495" s="26"/>
      <c r="O1495" s="26"/>
      <c r="P1495" s="26"/>
      <c r="Q1495" s="26"/>
      <c r="R1495" s="26"/>
    </row>
    <row r="1496" spans="9:18" x14ac:dyDescent="0.25">
      <c r="I1496" s="46"/>
      <c r="J1496" s="26"/>
      <c r="K1496" s="26"/>
      <c r="L1496" s="26"/>
      <c r="M1496" s="26"/>
      <c r="N1496" s="26"/>
      <c r="O1496" s="26"/>
      <c r="P1496" s="26"/>
      <c r="Q1496" s="26"/>
      <c r="R1496" s="26"/>
    </row>
    <row r="1497" spans="9:18" x14ac:dyDescent="0.25">
      <c r="I1497" s="46"/>
      <c r="J1497" s="26"/>
      <c r="K1497" s="26"/>
      <c r="L1497" s="26"/>
      <c r="M1497" s="26"/>
      <c r="N1497" s="26"/>
      <c r="O1497" s="26"/>
      <c r="P1497" s="26"/>
      <c r="Q1497" s="26"/>
      <c r="R1497" s="26"/>
    </row>
    <row r="1498" spans="9:18" x14ac:dyDescent="0.25">
      <c r="I1498" s="46"/>
      <c r="J1498" s="26"/>
      <c r="K1498" s="26"/>
      <c r="L1498" s="26"/>
      <c r="M1498" s="26"/>
      <c r="N1498" s="26"/>
      <c r="O1498" s="26"/>
      <c r="P1498" s="26"/>
      <c r="Q1498" s="26"/>
      <c r="R1498" s="26"/>
    </row>
    <row r="1499" spans="9:18" x14ac:dyDescent="0.25">
      <c r="I1499" s="46"/>
      <c r="J1499" s="26"/>
      <c r="K1499" s="26"/>
      <c r="L1499" s="26"/>
      <c r="M1499" s="26"/>
      <c r="N1499" s="26"/>
      <c r="O1499" s="26"/>
      <c r="P1499" s="26"/>
      <c r="Q1499" s="26"/>
      <c r="R1499" s="26"/>
    </row>
    <row r="1500" spans="9:18" x14ac:dyDescent="0.25">
      <c r="I1500" s="46"/>
      <c r="J1500" s="26"/>
      <c r="K1500" s="26"/>
      <c r="L1500" s="26"/>
      <c r="M1500" s="26"/>
      <c r="N1500" s="26"/>
      <c r="O1500" s="26"/>
      <c r="P1500" s="26"/>
      <c r="Q1500" s="26"/>
      <c r="R1500" s="26"/>
    </row>
    <row r="1501" spans="9:18" x14ac:dyDescent="0.25">
      <c r="I1501" s="46"/>
      <c r="J1501" s="26"/>
      <c r="K1501" s="26"/>
      <c r="L1501" s="26"/>
      <c r="M1501" s="26"/>
      <c r="N1501" s="26"/>
      <c r="O1501" s="26"/>
      <c r="P1501" s="26"/>
      <c r="Q1501" s="26"/>
      <c r="R1501" s="26"/>
    </row>
    <row r="1502" spans="9:18" x14ac:dyDescent="0.25">
      <c r="I1502" s="46"/>
      <c r="J1502" s="26"/>
      <c r="K1502" s="26"/>
      <c r="L1502" s="26"/>
      <c r="M1502" s="26"/>
      <c r="N1502" s="26"/>
      <c r="O1502" s="26"/>
      <c r="P1502" s="26"/>
      <c r="Q1502" s="26"/>
      <c r="R1502" s="26"/>
    </row>
    <row r="1503" spans="9:18" x14ac:dyDescent="0.25">
      <c r="I1503" s="46"/>
      <c r="J1503" s="26"/>
      <c r="K1503" s="26"/>
      <c r="L1503" s="26"/>
      <c r="M1503" s="26"/>
      <c r="N1503" s="26"/>
      <c r="O1503" s="26"/>
      <c r="P1503" s="26"/>
      <c r="Q1503" s="26"/>
      <c r="R1503" s="26"/>
    </row>
    <row r="1504" spans="9:18" x14ac:dyDescent="0.25">
      <c r="I1504" s="46"/>
      <c r="J1504" s="26"/>
      <c r="K1504" s="26"/>
      <c r="L1504" s="26"/>
      <c r="M1504" s="26"/>
      <c r="N1504" s="26"/>
      <c r="O1504" s="26"/>
      <c r="P1504" s="26"/>
      <c r="Q1504" s="26"/>
      <c r="R1504" s="26"/>
    </row>
    <row r="1505" spans="9:18" x14ac:dyDescent="0.25">
      <c r="I1505" s="46"/>
      <c r="J1505" s="26"/>
      <c r="K1505" s="26"/>
      <c r="L1505" s="26"/>
      <c r="M1505" s="26"/>
      <c r="N1505" s="26"/>
      <c r="O1505" s="26"/>
      <c r="P1505" s="26"/>
      <c r="Q1505" s="26"/>
      <c r="R1505" s="26"/>
    </row>
    <row r="1506" spans="9:18" x14ac:dyDescent="0.25">
      <c r="I1506" s="46"/>
      <c r="J1506" s="26"/>
      <c r="K1506" s="26"/>
      <c r="L1506" s="26"/>
      <c r="M1506" s="26"/>
      <c r="N1506" s="26"/>
      <c r="O1506" s="26"/>
      <c r="P1506" s="26"/>
      <c r="Q1506" s="26"/>
      <c r="R1506" s="26"/>
    </row>
    <row r="1507" spans="9:18" x14ac:dyDescent="0.25">
      <c r="I1507" s="46"/>
      <c r="J1507" s="26"/>
      <c r="K1507" s="26"/>
      <c r="L1507" s="26"/>
      <c r="M1507" s="26"/>
      <c r="N1507" s="26"/>
      <c r="O1507" s="26"/>
      <c r="P1507" s="26"/>
      <c r="Q1507" s="26"/>
      <c r="R1507" s="26"/>
    </row>
    <row r="1508" spans="9:18" x14ac:dyDescent="0.25">
      <c r="I1508" s="46"/>
      <c r="J1508" s="26"/>
      <c r="K1508" s="26"/>
      <c r="L1508" s="26"/>
      <c r="M1508" s="26"/>
      <c r="N1508" s="26"/>
      <c r="O1508" s="26"/>
      <c r="P1508" s="26"/>
      <c r="Q1508" s="26"/>
      <c r="R1508" s="26"/>
    </row>
    <row r="1509" spans="9:18" x14ac:dyDescent="0.25">
      <c r="I1509" s="46"/>
      <c r="J1509" s="26"/>
      <c r="K1509" s="26"/>
      <c r="L1509" s="26"/>
      <c r="M1509" s="26"/>
      <c r="N1509" s="26"/>
      <c r="O1509" s="26"/>
      <c r="P1509" s="26"/>
      <c r="Q1509" s="26"/>
      <c r="R1509" s="26"/>
    </row>
    <row r="1510" spans="9:18" x14ac:dyDescent="0.25">
      <c r="I1510" s="46"/>
      <c r="J1510" s="26"/>
      <c r="K1510" s="26"/>
      <c r="L1510" s="26"/>
      <c r="M1510" s="26"/>
      <c r="N1510" s="26"/>
      <c r="O1510" s="26"/>
      <c r="P1510" s="26"/>
      <c r="Q1510" s="26"/>
      <c r="R1510" s="26"/>
    </row>
    <row r="1511" spans="9:18" x14ac:dyDescent="0.25">
      <c r="I1511" s="46"/>
      <c r="J1511" s="26"/>
      <c r="K1511" s="26"/>
      <c r="L1511" s="26"/>
      <c r="M1511" s="26"/>
      <c r="N1511" s="26"/>
      <c r="O1511" s="26"/>
      <c r="P1511" s="26"/>
      <c r="Q1511" s="26"/>
      <c r="R1511" s="26"/>
    </row>
    <row r="1512" spans="9:18" x14ac:dyDescent="0.25">
      <c r="I1512" s="46"/>
      <c r="J1512" s="26"/>
      <c r="K1512" s="26"/>
      <c r="L1512" s="26"/>
      <c r="M1512" s="26"/>
      <c r="N1512" s="26"/>
      <c r="O1512" s="26"/>
      <c r="P1512" s="26"/>
      <c r="Q1512" s="26"/>
      <c r="R1512" s="26"/>
    </row>
    <row r="1513" spans="9:18" x14ac:dyDescent="0.25">
      <c r="I1513" s="46"/>
      <c r="J1513" s="26"/>
      <c r="K1513" s="26"/>
      <c r="L1513" s="26"/>
      <c r="M1513" s="26"/>
      <c r="N1513" s="26"/>
      <c r="O1513" s="26"/>
      <c r="P1513" s="26"/>
      <c r="Q1513" s="26"/>
      <c r="R1513" s="26"/>
    </row>
    <row r="1514" spans="9:18" x14ac:dyDescent="0.25">
      <c r="I1514" s="46"/>
      <c r="J1514" s="26"/>
      <c r="K1514" s="26"/>
      <c r="L1514" s="26"/>
      <c r="M1514" s="26"/>
      <c r="N1514" s="26"/>
      <c r="O1514" s="26"/>
      <c r="P1514" s="26"/>
      <c r="Q1514" s="26"/>
      <c r="R1514" s="26"/>
    </row>
    <row r="1515" spans="9:18" x14ac:dyDescent="0.25">
      <c r="I1515" s="46"/>
      <c r="J1515" s="26"/>
      <c r="K1515" s="26"/>
      <c r="L1515" s="26"/>
      <c r="M1515" s="26"/>
      <c r="N1515" s="26"/>
      <c r="O1515" s="26"/>
      <c r="P1515" s="26"/>
      <c r="Q1515" s="26"/>
      <c r="R1515" s="26"/>
    </row>
    <row r="1516" spans="9:18" x14ac:dyDescent="0.25">
      <c r="I1516" s="46"/>
      <c r="J1516" s="26"/>
      <c r="K1516" s="26"/>
      <c r="L1516" s="26"/>
      <c r="M1516" s="26"/>
      <c r="N1516" s="26"/>
      <c r="O1516" s="26"/>
      <c r="P1516" s="26"/>
      <c r="Q1516" s="26"/>
      <c r="R1516" s="26"/>
    </row>
    <row r="1517" spans="9:18" x14ac:dyDescent="0.25">
      <c r="I1517" s="46"/>
      <c r="J1517" s="26"/>
      <c r="K1517" s="26"/>
      <c r="L1517" s="26"/>
      <c r="M1517" s="26"/>
      <c r="N1517" s="26"/>
      <c r="O1517" s="26"/>
      <c r="P1517" s="26"/>
      <c r="Q1517" s="26"/>
      <c r="R1517" s="26"/>
    </row>
    <row r="1518" spans="9:18" x14ac:dyDescent="0.25">
      <c r="I1518" s="46"/>
      <c r="J1518" s="26"/>
      <c r="K1518" s="26"/>
      <c r="L1518" s="26"/>
      <c r="M1518" s="26"/>
      <c r="N1518" s="26"/>
      <c r="O1518" s="26"/>
      <c r="P1518" s="26"/>
      <c r="Q1518" s="26"/>
      <c r="R1518" s="26"/>
    </row>
    <row r="1519" spans="9:18" x14ac:dyDescent="0.25">
      <c r="I1519" s="46"/>
      <c r="J1519" s="26"/>
      <c r="K1519" s="26"/>
      <c r="L1519" s="26"/>
      <c r="M1519" s="26"/>
      <c r="N1519" s="26"/>
      <c r="O1519" s="26"/>
      <c r="P1519" s="26"/>
      <c r="Q1519" s="26"/>
      <c r="R1519" s="26"/>
    </row>
    <row r="1520" spans="9:18" x14ac:dyDescent="0.25">
      <c r="I1520" s="46"/>
      <c r="J1520" s="26"/>
      <c r="K1520" s="26"/>
      <c r="L1520" s="26"/>
      <c r="M1520" s="26"/>
      <c r="N1520" s="26"/>
      <c r="O1520" s="26"/>
      <c r="P1520" s="26"/>
      <c r="Q1520" s="26"/>
      <c r="R1520" s="26"/>
    </row>
    <row r="1521" spans="9:18" x14ac:dyDescent="0.25">
      <c r="I1521" s="46"/>
      <c r="J1521" s="26"/>
      <c r="K1521" s="26"/>
      <c r="L1521" s="26"/>
      <c r="M1521" s="26"/>
      <c r="N1521" s="26"/>
      <c r="O1521" s="26"/>
      <c r="P1521" s="26"/>
      <c r="Q1521" s="26"/>
      <c r="R1521" s="26"/>
    </row>
    <row r="1522" spans="9:18" x14ac:dyDescent="0.25">
      <c r="I1522" s="46"/>
      <c r="J1522" s="26"/>
      <c r="K1522" s="26"/>
      <c r="L1522" s="26"/>
      <c r="M1522" s="26"/>
      <c r="N1522" s="26"/>
      <c r="O1522" s="26"/>
      <c r="P1522" s="26"/>
      <c r="Q1522" s="26"/>
      <c r="R1522" s="26"/>
    </row>
    <row r="1523" spans="9:18" x14ac:dyDescent="0.25">
      <c r="I1523" s="46"/>
      <c r="J1523" s="26"/>
      <c r="K1523" s="26"/>
      <c r="L1523" s="26"/>
      <c r="M1523" s="26"/>
      <c r="N1523" s="26"/>
      <c r="O1523" s="26"/>
      <c r="P1523" s="26"/>
      <c r="Q1523" s="26"/>
      <c r="R1523" s="26"/>
    </row>
    <row r="1524" spans="9:18" x14ac:dyDescent="0.25">
      <c r="I1524" s="46"/>
      <c r="J1524" s="26"/>
      <c r="K1524" s="26"/>
      <c r="L1524" s="26"/>
      <c r="M1524" s="26"/>
      <c r="N1524" s="26"/>
      <c r="O1524" s="26"/>
      <c r="P1524" s="26"/>
      <c r="Q1524" s="26"/>
      <c r="R1524" s="26"/>
    </row>
    <row r="1525" spans="9:18" x14ac:dyDescent="0.25">
      <c r="I1525" s="46"/>
      <c r="J1525" s="26"/>
      <c r="K1525" s="26"/>
      <c r="L1525" s="26"/>
      <c r="M1525" s="26"/>
      <c r="N1525" s="26"/>
      <c r="O1525" s="26"/>
      <c r="P1525" s="26"/>
      <c r="Q1525" s="26"/>
      <c r="R1525" s="26"/>
    </row>
    <row r="1526" spans="9:18" x14ac:dyDescent="0.25">
      <c r="I1526" s="46"/>
      <c r="J1526" s="26"/>
      <c r="K1526" s="26"/>
      <c r="L1526" s="26"/>
      <c r="M1526" s="26"/>
      <c r="N1526" s="26"/>
      <c r="O1526" s="26"/>
      <c r="P1526" s="26"/>
      <c r="Q1526" s="26"/>
      <c r="R1526" s="26"/>
    </row>
    <row r="1527" spans="9:18" x14ac:dyDescent="0.25">
      <c r="I1527" s="46"/>
      <c r="J1527" s="26"/>
      <c r="K1527" s="26"/>
      <c r="L1527" s="26"/>
      <c r="M1527" s="26"/>
      <c r="N1527" s="26"/>
      <c r="O1527" s="26"/>
      <c r="P1527" s="26"/>
      <c r="Q1527" s="26"/>
      <c r="R1527" s="26"/>
    </row>
    <row r="1528" spans="9:18" x14ac:dyDescent="0.25">
      <c r="I1528" s="46"/>
      <c r="J1528" s="26"/>
      <c r="K1528" s="26"/>
      <c r="L1528" s="26"/>
      <c r="M1528" s="26"/>
      <c r="N1528" s="26"/>
      <c r="O1528" s="26"/>
      <c r="P1528" s="26"/>
      <c r="Q1528" s="26"/>
      <c r="R1528" s="26"/>
    </row>
    <row r="1529" spans="9:18" x14ac:dyDescent="0.25">
      <c r="I1529" s="46"/>
      <c r="J1529" s="26"/>
      <c r="K1529" s="26"/>
      <c r="L1529" s="26"/>
      <c r="M1529" s="26"/>
      <c r="N1529" s="26"/>
      <c r="O1529" s="26"/>
      <c r="P1529" s="26"/>
      <c r="Q1529" s="26"/>
      <c r="R1529" s="26"/>
    </row>
    <row r="1530" spans="9:18" x14ac:dyDescent="0.25">
      <c r="I1530" s="46"/>
      <c r="J1530" s="26"/>
      <c r="K1530" s="26"/>
      <c r="L1530" s="26"/>
      <c r="M1530" s="26"/>
      <c r="N1530" s="26"/>
      <c r="O1530" s="26"/>
      <c r="P1530" s="26"/>
      <c r="Q1530" s="26"/>
      <c r="R1530" s="26"/>
    </row>
    <row r="1531" spans="9:18" x14ac:dyDescent="0.25">
      <c r="I1531" s="46"/>
      <c r="J1531" s="26"/>
      <c r="K1531" s="26"/>
      <c r="L1531" s="26"/>
      <c r="M1531" s="26"/>
      <c r="N1531" s="26"/>
      <c r="O1531" s="26"/>
      <c r="P1531" s="26"/>
      <c r="Q1531" s="26"/>
      <c r="R1531" s="26"/>
    </row>
    <row r="1532" spans="9:18" x14ac:dyDescent="0.25">
      <c r="I1532" s="46"/>
      <c r="J1532" s="26"/>
      <c r="K1532" s="26"/>
      <c r="L1532" s="26"/>
      <c r="M1532" s="26"/>
      <c r="N1532" s="26"/>
      <c r="O1532" s="26"/>
      <c r="P1532" s="26"/>
      <c r="Q1532" s="26"/>
      <c r="R1532" s="26"/>
    </row>
    <row r="1533" spans="9:18" x14ac:dyDescent="0.25">
      <c r="I1533" s="46"/>
      <c r="J1533" s="26"/>
      <c r="K1533" s="26"/>
      <c r="L1533" s="26"/>
      <c r="M1533" s="26"/>
      <c r="N1533" s="26"/>
      <c r="O1533" s="26"/>
      <c r="P1533" s="26"/>
      <c r="Q1533" s="26"/>
      <c r="R1533" s="26"/>
    </row>
    <row r="1534" spans="9:18" x14ac:dyDescent="0.25">
      <c r="I1534" s="46"/>
      <c r="J1534" s="26"/>
      <c r="K1534" s="26"/>
      <c r="L1534" s="26"/>
      <c r="M1534" s="26"/>
      <c r="N1534" s="26"/>
      <c r="O1534" s="26"/>
      <c r="P1534" s="26"/>
      <c r="Q1534" s="26"/>
      <c r="R1534" s="26"/>
    </row>
    <row r="1535" spans="9:18" x14ac:dyDescent="0.25">
      <c r="I1535" s="46"/>
      <c r="J1535" s="26"/>
      <c r="K1535" s="26"/>
      <c r="L1535" s="26"/>
      <c r="M1535" s="26"/>
      <c r="N1535" s="26"/>
      <c r="O1535" s="26"/>
      <c r="P1535" s="26"/>
      <c r="Q1535" s="26"/>
      <c r="R1535" s="26"/>
    </row>
    <row r="1536" spans="9:18" x14ac:dyDescent="0.25">
      <c r="I1536" s="46"/>
      <c r="J1536" s="26"/>
      <c r="K1536" s="26"/>
      <c r="L1536" s="26"/>
      <c r="M1536" s="26"/>
      <c r="N1536" s="26"/>
      <c r="O1536" s="26"/>
      <c r="P1536" s="26"/>
      <c r="Q1536" s="26"/>
      <c r="R1536" s="26"/>
    </row>
    <row r="1537" spans="9:18" x14ac:dyDescent="0.25">
      <c r="I1537" s="46"/>
      <c r="J1537" s="26"/>
      <c r="K1537" s="26"/>
      <c r="L1537" s="26"/>
      <c r="M1537" s="26"/>
      <c r="N1537" s="26"/>
      <c r="O1537" s="26"/>
      <c r="P1537" s="26"/>
      <c r="Q1537" s="26"/>
      <c r="R1537" s="26"/>
    </row>
    <row r="1538" spans="9:18" x14ac:dyDescent="0.25">
      <c r="I1538" s="46"/>
      <c r="J1538" s="26"/>
      <c r="K1538" s="26"/>
      <c r="L1538" s="26"/>
      <c r="M1538" s="26"/>
      <c r="N1538" s="26"/>
      <c r="O1538" s="26"/>
      <c r="P1538" s="26"/>
      <c r="Q1538" s="26"/>
      <c r="R1538" s="26"/>
    </row>
    <row r="1539" spans="9:18" x14ac:dyDescent="0.25">
      <c r="I1539" s="46"/>
      <c r="J1539" s="26"/>
      <c r="K1539" s="26"/>
      <c r="L1539" s="26"/>
      <c r="M1539" s="26"/>
      <c r="N1539" s="26"/>
      <c r="O1539" s="26"/>
      <c r="P1539" s="26"/>
      <c r="Q1539" s="26"/>
      <c r="R1539" s="26"/>
    </row>
    <row r="1540" spans="9:18" x14ac:dyDescent="0.25">
      <c r="I1540" s="46"/>
      <c r="J1540" s="26"/>
      <c r="K1540" s="26"/>
      <c r="L1540" s="26"/>
      <c r="M1540" s="26"/>
      <c r="N1540" s="26"/>
      <c r="O1540" s="26"/>
      <c r="P1540" s="26"/>
      <c r="Q1540" s="26"/>
      <c r="R1540" s="26"/>
    </row>
    <row r="1541" spans="9:18" x14ac:dyDescent="0.25">
      <c r="I1541" s="46"/>
      <c r="J1541" s="26"/>
      <c r="K1541" s="26"/>
      <c r="L1541" s="26"/>
      <c r="M1541" s="26"/>
      <c r="N1541" s="26"/>
      <c r="O1541" s="26"/>
      <c r="P1541" s="26"/>
      <c r="Q1541" s="26"/>
      <c r="R1541" s="26"/>
    </row>
    <row r="1542" spans="9:18" x14ac:dyDescent="0.25">
      <c r="I1542" s="46"/>
      <c r="J1542" s="26"/>
      <c r="K1542" s="26"/>
      <c r="L1542" s="26"/>
      <c r="M1542" s="26"/>
      <c r="N1542" s="26"/>
      <c r="O1542" s="26"/>
      <c r="P1542" s="26"/>
      <c r="Q1542" s="26"/>
      <c r="R1542" s="26"/>
    </row>
    <row r="1543" spans="9:18" x14ac:dyDescent="0.25">
      <c r="I1543" s="46"/>
      <c r="J1543" s="26"/>
      <c r="K1543" s="26"/>
      <c r="L1543" s="26"/>
      <c r="M1543" s="26"/>
      <c r="N1543" s="26"/>
      <c r="O1543" s="26"/>
      <c r="P1543" s="26"/>
      <c r="Q1543" s="26"/>
      <c r="R1543" s="26"/>
    </row>
    <row r="1544" spans="9:18" x14ac:dyDescent="0.25">
      <c r="I1544" s="46"/>
      <c r="J1544" s="26"/>
      <c r="K1544" s="26"/>
      <c r="L1544" s="26"/>
      <c r="M1544" s="26"/>
      <c r="N1544" s="26"/>
      <c r="O1544" s="26"/>
      <c r="P1544" s="26"/>
      <c r="Q1544" s="26"/>
      <c r="R1544" s="26"/>
    </row>
    <row r="1545" spans="9:18" x14ac:dyDescent="0.25">
      <c r="I1545" s="46"/>
      <c r="J1545" s="26"/>
      <c r="K1545" s="26"/>
      <c r="L1545" s="26"/>
      <c r="M1545" s="26"/>
      <c r="N1545" s="26"/>
      <c r="O1545" s="26"/>
      <c r="P1545" s="26"/>
      <c r="Q1545" s="26"/>
      <c r="R1545" s="26"/>
    </row>
    <row r="1546" spans="9:18" x14ac:dyDescent="0.25">
      <c r="I1546" s="46"/>
      <c r="J1546" s="26"/>
      <c r="K1546" s="26"/>
      <c r="L1546" s="26"/>
      <c r="M1546" s="26"/>
      <c r="N1546" s="26"/>
      <c r="O1546" s="26"/>
      <c r="P1546" s="26"/>
      <c r="Q1546" s="26"/>
      <c r="R1546" s="26"/>
    </row>
    <row r="1547" spans="9:18" x14ac:dyDescent="0.25">
      <c r="I1547" s="46"/>
      <c r="J1547" s="26"/>
      <c r="K1547" s="26"/>
      <c r="L1547" s="26"/>
      <c r="M1547" s="26"/>
      <c r="N1547" s="26"/>
      <c r="O1547" s="26"/>
      <c r="P1547" s="26"/>
      <c r="Q1547" s="26"/>
      <c r="R1547" s="26"/>
    </row>
    <row r="1548" spans="9:18" x14ac:dyDescent="0.25">
      <c r="I1548" s="46"/>
      <c r="J1548" s="26"/>
      <c r="K1548" s="26"/>
      <c r="L1548" s="26"/>
      <c r="M1548" s="26"/>
      <c r="N1548" s="26"/>
      <c r="O1548" s="26"/>
      <c r="P1548" s="26"/>
      <c r="Q1548" s="26"/>
      <c r="R1548" s="26"/>
    </row>
    <row r="1549" spans="9:18" x14ac:dyDescent="0.25">
      <c r="I1549" s="46"/>
      <c r="J1549" s="26"/>
      <c r="K1549" s="26"/>
      <c r="L1549" s="26"/>
      <c r="M1549" s="26"/>
      <c r="N1549" s="26"/>
      <c r="O1549" s="26"/>
      <c r="P1549" s="26"/>
      <c r="Q1549" s="26"/>
      <c r="R1549" s="26"/>
    </row>
    <row r="1550" spans="9:18" x14ac:dyDescent="0.25">
      <c r="I1550" s="46"/>
      <c r="J1550" s="26"/>
      <c r="K1550" s="26"/>
      <c r="L1550" s="26"/>
      <c r="M1550" s="26"/>
      <c r="N1550" s="26"/>
      <c r="O1550" s="26"/>
      <c r="P1550" s="26"/>
      <c r="Q1550" s="26"/>
      <c r="R1550" s="26"/>
    </row>
    <row r="1551" spans="9:18" x14ac:dyDescent="0.25">
      <c r="I1551" s="46"/>
      <c r="J1551" s="26"/>
      <c r="K1551" s="26"/>
      <c r="L1551" s="26"/>
      <c r="M1551" s="26"/>
      <c r="N1551" s="26"/>
      <c r="O1551" s="26"/>
      <c r="P1551" s="26"/>
      <c r="Q1551" s="26"/>
      <c r="R1551" s="26"/>
    </row>
    <row r="1552" spans="9:18" x14ac:dyDescent="0.25">
      <c r="I1552" s="46"/>
      <c r="J1552" s="26"/>
      <c r="K1552" s="26"/>
      <c r="L1552" s="26"/>
      <c r="M1552" s="26"/>
      <c r="N1552" s="26"/>
      <c r="O1552" s="26"/>
      <c r="P1552" s="26"/>
      <c r="Q1552" s="26"/>
      <c r="R1552" s="26"/>
    </row>
    <row r="1553" spans="9:18" x14ac:dyDescent="0.25">
      <c r="I1553" s="46"/>
      <c r="J1553" s="26"/>
      <c r="K1553" s="26"/>
      <c r="L1553" s="26"/>
      <c r="M1553" s="26"/>
      <c r="N1553" s="26"/>
      <c r="O1553" s="26"/>
      <c r="P1553" s="26"/>
      <c r="Q1553" s="26"/>
      <c r="R1553" s="26"/>
    </row>
    <row r="1554" spans="9:18" x14ac:dyDescent="0.25">
      <c r="I1554" s="46"/>
      <c r="J1554" s="26"/>
      <c r="K1554" s="26"/>
      <c r="L1554" s="26"/>
      <c r="M1554" s="26"/>
      <c r="N1554" s="26"/>
      <c r="O1554" s="26"/>
      <c r="P1554" s="26"/>
      <c r="Q1554" s="26"/>
      <c r="R1554" s="26"/>
    </row>
    <row r="1555" spans="9:18" x14ac:dyDescent="0.25">
      <c r="I1555" s="46"/>
      <c r="J1555" s="26"/>
      <c r="K1555" s="26"/>
      <c r="L1555" s="26"/>
      <c r="M1555" s="26"/>
      <c r="N1555" s="26"/>
      <c r="O1555" s="26"/>
      <c r="P1555" s="26"/>
      <c r="Q1555" s="26"/>
      <c r="R1555" s="26"/>
    </row>
    <row r="1556" spans="9:18" x14ac:dyDescent="0.25">
      <c r="I1556" s="46"/>
      <c r="J1556" s="26"/>
      <c r="K1556" s="26"/>
      <c r="L1556" s="26"/>
      <c r="M1556" s="26"/>
      <c r="N1556" s="26"/>
      <c r="O1556" s="26"/>
      <c r="P1556" s="26"/>
      <c r="Q1556" s="26"/>
      <c r="R1556" s="26"/>
    </row>
    <row r="1557" spans="9:18" x14ac:dyDescent="0.25">
      <c r="I1557" s="46"/>
      <c r="J1557" s="26"/>
      <c r="K1557" s="26"/>
      <c r="L1557" s="26"/>
      <c r="M1557" s="26"/>
      <c r="N1557" s="26"/>
      <c r="O1557" s="26"/>
      <c r="P1557" s="26"/>
      <c r="Q1557" s="26"/>
      <c r="R1557" s="26"/>
    </row>
    <row r="1558" spans="9:18" x14ac:dyDescent="0.25">
      <c r="I1558" s="46"/>
      <c r="J1558" s="26"/>
      <c r="K1558" s="26"/>
      <c r="L1558" s="26"/>
      <c r="M1558" s="26"/>
      <c r="N1558" s="26"/>
      <c r="O1558" s="26"/>
      <c r="P1558" s="26"/>
      <c r="Q1558" s="26"/>
      <c r="R1558" s="26"/>
    </row>
    <row r="1559" spans="9:18" x14ac:dyDescent="0.25">
      <c r="I1559" s="46"/>
      <c r="J1559" s="26"/>
      <c r="K1559" s="26"/>
      <c r="L1559" s="26"/>
      <c r="M1559" s="26"/>
      <c r="N1559" s="26"/>
      <c r="O1559" s="26"/>
      <c r="P1559" s="26"/>
      <c r="Q1559" s="26"/>
      <c r="R1559" s="26"/>
    </row>
    <row r="1560" spans="9:18" x14ac:dyDescent="0.25">
      <c r="I1560" s="46"/>
      <c r="J1560" s="26"/>
      <c r="K1560" s="26"/>
      <c r="L1560" s="26"/>
      <c r="M1560" s="26"/>
      <c r="N1560" s="26"/>
      <c r="O1560" s="26"/>
      <c r="P1560" s="26"/>
      <c r="Q1560" s="26"/>
      <c r="R1560" s="26"/>
    </row>
    <row r="1561" spans="9:18" x14ac:dyDescent="0.25">
      <c r="I1561" s="46"/>
      <c r="J1561" s="26"/>
      <c r="K1561" s="26"/>
      <c r="L1561" s="26"/>
      <c r="M1561" s="26"/>
      <c r="N1561" s="26"/>
      <c r="O1561" s="26"/>
      <c r="P1561" s="26"/>
      <c r="Q1561" s="26"/>
      <c r="R1561" s="26"/>
    </row>
    <row r="1562" spans="9:18" x14ac:dyDescent="0.25">
      <c r="I1562" s="46"/>
      <c r="J1562" s="26"/>
      <c r="K1562" s="26"/>
      <c r="L1562" s="26"/>
      <c r="M1562" s="26"/>
      <c r="N1562" s="26"/>
      <c r="O1562" s="26"/>
      <c r="P1562" s="26"/>
      <c r="Q1562" s="26"/>
      <c r="R1562" s="26"/>
    </row>
    <row r="1563" spans="9:18" x14ac:dyDescent="0.25">
      <c r="I1563" s="46"/>
      <c r="J1563" s="26"/>
      <c r="K1563" s="26"/>
      <c r="L1563" s="26"/>
      <c r="M1563" s="26"/>
      <c r="N1563" s="26"/>
      <c r="O1563" s="26"/>
      <c r="P1563" s="26"/>
      <c r="Q1563" s="26"/>
      <c r="R1563" s="26"/>
    </row>
    <row r="1564" spans="9:18" x14ac:dyDescent="0.25">
      <c r="I1564" s="46"/>
      <c r="J1564" s="26"/>
      <c r="K1564" s="26"/>
      <c r="L1564" s="26"/>
      <c r="M1564" s="26"/>
      <c r="N1564" s="26"/>
      <c r="O1564" s="26"/>
      <c r="P1564" s="26"/>
      <c r="Q1564" s="26"/>
      <c r="R1564" s="26"/>
    </row>
    <row r="1565" spans="9:18" x14ac:dyDescent="0.25">
      <c r="I1565" s="46"/>
      <c r="J1565" s="26"/>
      <c r="K1565" s="26"/>
      <c r="L1565" s="26"/>
      <c r="M1565" s="26"/>
      <c r="N1565" s="26"/>
      <c r="O1565" s="26"/>
      <c r="P1565" s="26"/>
      <c r="Q1565" s="26"/>
      <c r="R1565" s="26"/>
    </row>
    <row r="1566" spans="9:18" x14ac:dyDescent="0.25">
      <c r="I1566" s="46"/>
      <c r="J1566" s="26"/>
      <c r="K1566" s="26"/>
      <c r="L1566" s="26"/>
      <c r="M1566" s="26"/>
      <c r="N1566" s="26"/>
      <c r="O1566" s="26"/>
      <c r="P1566" s="26"/>
      <c r="Q1566" s="26"/>
      <c r="R1566" s="26"/>
    </row>
    <row r="1567" spans="9:18" x14ac:dyDescent="0.25">
      <c r="I1567" s="46"/>
      <c r="J1567" s="26"/>
      <c r="K1567" s="26"/>
      <c r="L1567" s="26"/>
      <c r="M1567" s="26"/>
      <c r="N1567" s="26"/>
      <c r="O1567" s="26"/>
      <c r="P1567" s="26"/>
      <c r="Q1567" s="26"/>
      <c r="R1567" s="26"/>
    </row>
    <row r="1568" spans="9:18" x14ac:dyDescent="0.25">
      <c r="I1568" s="46"/>
      <c r="J1568" s="26"/>
      <c r="K1568" s="26"/>
      <c r="L1568" s="26"/>
      <c r="M1568" s="26"/>
      <c r="N1568" s="26"/>
      <c r="O1568" s="26"/>
      <c r="P1568" s="26"/>
      <c r="Q1568" s="26"/>
      <c r="R1568" s="26"/>
    </row>
    <row r="1569" spans="9:18" x14ac:dyDescent="0.25">
      <c r="I1569" s="46"/>
      <c r="J1569" s="26"/>
      <c r="K1569" s="26"/>
      <c r="L1569" s="26"/>
      <c r="M1569" s="26"/>
      <c r="N1569" s="26"/>
      <c r="O1569" s="26"/>
      <c r="P1569" s="26"/>
      <c r="Q1569" s="26"/>
      <c r="R1569" s="26"/>
    </row>
    <row r="1570" spans="9:18" x14ac:dyDescent="0.25">
      <c r="I1570" s="46"/>
      <c r="J1570" s="26"/>
      <c r="K1570" s="26"/>
      <c r="L1570" s="26"/>
      <c r="M1570" s="26"/>
      <c r="N1570" s="26"/>
      <c r="O1570" s="26"/>
      <c r="P1570" s="26"/>
      <c r="Q1570" s="26"/>
      <c r="R1570" s="26"/>
    </row>
    <row r="1571" spans="9:18" x14ac:dyDescent="0.25">
      <c r="I1571" s="46"/>
      <c r="J1571" s="26"/>
      <c r="K1571" s="26"/>
      <c r="L1571" s="26"/>
      <c r="M1571" s="26"/>
      <c r="N1571" s="26"/>
      <c r="O1571" s="26"/>
      <c r="P1571" s="26"/>
      <c r="Q1571" s="26"/>
      <c r="R1571" s="26"/>
    </row>
    <row r="1572" spans="9:18" x14ac:dyDescent="0.25">
      <c r="I1572" s="46"/>
      <c r="J1572" s="26"/>
      <c r="K1572" s="26"/>
      <c r="L1572" s="26"/>
      <c r="M1572" s="26"/>
      <c r="N1572" s="26"/>
      <c r="O1572" s="26"/>
      <c r="P1572" s="26"/>
      <c r="Q1572" s="26"/>
      <c r="R1572" s="26"/>
    </row>
    <row r="1573" spans="9:18" x14ac:dyDescent="0.25">
      <c r="I1573" s="46"/>
      <c r="J1573" s="26"/>
      <c r="K1573" s="26"/>
      <c r="L1573" s="26"/>
      <c r="M1573" s="26"/>
      <c r="N1573" s="26"/>
      <c r="O1573" s="26"/>
      <c r="P1573" s="26"/>
      <c r="Q1573" s="26"/>
      <c r="R1573" s="26"/>
    </row>
    <row r="1574" spans="9:18" x14ac:dyDescent="0.25">
      <c r="I1574" s="46"/>
      <c r="J1574" s="26"/>
      <c r="K1574" s="26"/>
      <c r="L1574" s="26"/>
      <c r="M1574" s="26"/>
      <c r="N1574" s="26"/>
      <c r="O1574" s="26"/>
      <c r="P1574" s="26"/>
      <c r="Q1574" s="26"/>
      <c r="R1574" s="26"/>
    </row>
    <row r="1575" spans="9:18" x14ac:dyDescent="0.25">
      <c r="I1575" s="46"/>
      <c r="J1575" s="26"/>
      <c r="K1575" s="26"/>
      <c r="L1575" s="26"/>
      <c r="M1575" s="26"/>
      <c r="N1575" s="26"/>
      <c r="O1575" s="26"/>
      <c r="P1575" s="26"/>
      <c r="Q1575" s="26"/>
      <c r="R1575" s="26"/>
    </row>
    <row r="1576" spans="9:18" x14ac:dyDescent="0.25">
      <c r="I1576" s="46"/>
      <c r="J1576" s="26"/>
      <c r="K1576" s="26"/>
      <c r="L1576" s="26"/>
      <c r="M1576" s="26"/>
      <c r="N1576" s="26"/>
      <c r="O1576" s="26"/>
      <c r="P1576" s="26"/>
      <c r="Q1576" s="26"/>
      <c r="R1576" s="26"/>
    </row>
    <row r="1577" spans="9:18" x14ac:dyDescent="0.25">
      <c r="I1577" s="46"/>
      <c r="J1577" s="26"/>
      <c r="K1577" s="26"/>
      <c r="L1577" s="26"/>
      <c r="M1577" s="26"/>
      <c r="N1577" s="26"/>
      <c r="O1577" s="26"/>
      <c r="P1577" s="26"/>
      <c r="Q1577" s="26"/>
      <c r="R1577" s="26"/>
    </row>
    <row r="1578" spans="9:18" x14ac:dyDescent="0.25">
      <c r="I1578" s="46"/>
      <c r="J1578" s="26"/>
      <c r="K1578" s="26"/>
      <c r="L1578" s="26"/>
      <c r="M1578" s="26"/>
      <c r="N1578" s="26"/>
      <c r="O1578" s="26"/>
      <c r="P1578" s="26"/>
      <c r="Q1578" s="26"/>
      <c r="R1578" s="26"/>
    </row>
    <row r="1579" spans="9:18" x14ac:dyDescent="0.25">
      <c r="I1579" s="46"/>
      <c r="J1579" s="26"/>
      <c r="K1579" s="26"/>
      <c r="L1579" s="26"/>
      <c r="M1579" s="26"/>
      <c r="N1579" s="26"/>
      <c r="O1579" s="26"/>
      <c r="P1579" s="26"/>
      <c r="Q1579" s="26"/>
      <c r="R1579" s="26"/>
    </row>
    <row r="1580" spans="9:18" x14ac:dyDescent="0.25">
      <c r="I1580" s="46"/>
      <c r="J1580" s="26"/>
      <c r="K1580" s="26"/>
      <c r="L1580" s="26"/>
      <c r="M1580" s="26"/>
      <c r="N1580" s="26"/>
      <c r="O1580" s="26"/>
      <c r="P1580" s="26"/>
      <c r="Q1580" s="26"/>
      <c r="R1580" s="26"/>
    </row>
    <row r="1581" spans="9:18" x14ac:dyDescent="0.25">
      <c r="I1581" s="46"/>
      <c r="J1581" s="26"/>
      <c r="K1581" s="26"/>
      <c r="L1581" s="26"/>
      <c r="M1581" s="26"/>
      <c r="N1581" s="26"/>
      <c r="O1581" s="26"/>
      <c r="P1581" s="26"/>
      <c r="Q1581" s="26"/>
      <c r="R1581" s="26"/>
    </row>
    <row r="1582" spans="9:18" x14ac:dyDescent="0.25">
      <c r="I1582" s="46"/>
      <c r="J1582" s="26"/>
      <c r="K1582" s="26"/>
      <c r="L1582" s="26"/>
      <c r="M1582" s="26"/>
      <c r="N1582" s="26"/>
      <c r="O1582" s="26"/>
      <c r="P1582" s="26"/>
      <c r="Q1582" s="26"/>
      <c r="R1582" s="26"/>
    </row>
    <row r="1583" spans="9:18" x14ac:dyDescent="0.25">
      <c r="I1583" s="46"/>
      <c r="J1583" s="26"/>
      <c r="K1583" s="26"/>
      <c r="L1583" s="26"/>
      <c r="M1583" s="26"/>
      <c r="N1583" s="26"/>
      <c r="O1583" s="26"/>
      <c r="P1583" s="26"/>
      <c r="Q1583" s="26"/>
      <c r="R1583" s="26"/>
    </row>
    <row r="1584" spans="9:18" x14ac:dyDescent="0.25">
      <c r="I1584" s="46"/>
      <c r="J1584" s="26"/>
      <c r="K1584" s="26"/>
      <c r="L1584" s="26"/>
      <c r="M1584" s="26"/>
      <c r="N1584" s="26"/>
      <c r="O1584" s="26"/>
      <c r="P1584" s="26"/>
      <c r="Q1584" s="26"/>
      <c r="R1584" s="26"/>
    </row>
    <row r="1585" spans="9:18" x14ac:dyDescent="0.25">
      <c r="I1585" s="46"/>
      <c r="J1585" s="26"/>
      <c r="K1585" s="26"/>
      <c r="L1585" s="26"/>
      <c r="M1585" s="26"/>
      <c r="N1585" s="26"/>
      <c r="O1585" s="26"/>
      <c r="P1585" s="26"/>
      <c r="Q1585" s="26"/>
      <c r="R1585" s="26"/>
    </row>
    <row r="1586" spans="9:18" x14ac:dyDescent="0.25">
      <c r="I1586" s="46"/>
      <c r="J1586" s="26"/>
      <c r="K1586" s="26"/>
      <c r="L1586" s="26"/>
      <c r="M1586" s="26"/>
      <c r="N1586" s="26"/>
      <c r="O1586" s="26"/>
      <c r="P1586" s="26"/>
      <c r="Q1586" s="26"/>
      <c r="R1586" s="26"/>
    </row>
    <row r="1587" spans="9:18" x14ac:dyDescent="0.25">
      <c r="I1587" s="46"/>
      <c r="J1587" s="26"/>
      <c r="K1587" s="26"/>
      <c r="L1587" s="26"/>
      <c r="M1587" s="26"/>
      <c r="N1587" s="26"/>
      <c r="O1587" s="26"/>
      <c r="P1587" s="26"/>
      <c r="Q1587" s="26"/>
      <c r="R1587" s="26"/>
    </row>
    <row r="1588" spans="9:18" x14ac:dyDescent="0.25">
      <c r="I1588" s="46"/>
      <c r="J1588" s="26"/>
      <c r="K1588" s="26"/>
      <c r="L1588" s="26"/>
      <c r="M1588" s="26"/>
      <c r="N1588" s="26"/>
      <c r="O1588" s="26"/>
      <c r="P1588" s="26"/>
      <c r="Q1588" s="26"/>
      <c r="R1588" s="26"/>
    </row>
    <row r="1589" spans="9:18" x14ac:dyDescent="0.25">
      <c r="I1589" s="46"/>
      <c r="J1589" s="26"/>
      <c r="K1589" s="26"/>
      <c r="L1589" s="26"/>
      <c r="M1589" s="26"/>
      <c r="N1589" s="26"/>
      <c r="O1589" s="26"/>
      <c r="P1589" s="26"/>
      <c r="Q1589" s="26"/>
      <c r="R1589" s="26"/>
    </row>
    <row r="1590" spans="9:18" x14ac:dyDescent="0.25">
      <c r="I1590" s="46"/>
      <c r="J1590" s="26"/>
      <c r="K1590" s="26"/>
      <c r="L1590" s="26"/>
      <c r="M1590" s="26"/>
      <c r="N1590" s="26"/>
      <c r="O1590" s="26"/>
      <c r="P1590" s="26"/>
      <c r="Q1590" s="26"/>
      <c r="R1590" s="26"/>
    </row>
    <row r="1591" spans="9:18" x14ac:dyDescent="0.25">
      <c r="I1591" s="46"/>
      <c r="J1591" s="26"/>
      <c r="K1591" s="26"/>
      <c r="L1591" s="26"/>
      <c r="M1591" s="26"/>
      <c r="N1591" s="26"/>
      <c r="O1591" s="26"/>
      <c r="P1591" s="26"/>
      <c r="Q1591" s="26"/>
      <c r="R1591" s="26"/>
    </row>
    <row r="1592" spans="9:18" x14ac:dyDescent="0.25">
      <c r="I1592" s="46"/>
      <c r="J1592" s="26"/>
      <c r="K1592" s="26"/>
      <c r="L1592" s="26"/>
      <c r="M1592" s="26"/>
      <c r="N1592" s="26"/>
      <c r="O1592" s="26"/>
      <c r="P1592" s="26"/>
      <c r="Q1592" s="26"/>
      <c r="R1592" s="26"/>
    </row>
    <row r="1593" spans="9:18" x14ac:dyDescent="0.25">
      <c r="I1593" s="46"/>
      <c r="J1593" s="26"/>
      <c r="K1593" s="26"/>
      <c r="L1593" s="26"/>
      <c r="M1593" s="26"/>
      <c r="N1593" s="26"/>
      <c r="O1593" s="26"/>
      <c r="P1593" s="26"/>
      <c r="Q1593" s="26"/>
      <c r="R1593" s="26"/>
    </row>
    <row r="1594" spans="9:18" x14ac:dyDescent="0.25">
      <c r="I1594" s="46"/>
      <c r="J1594" s="26"/>
      <c r="K1594" s="26"/>
      <c r="L1594" s="26"/>
      <c r="M1594" s="26"/>
      <c r="N1594" s="26"/>
      <c r="O1594" s="26"/>
      <c r="P1594" s="26"/>
      <c r="Q1594" s="26"/>
      <c r="R1594" s="26"/>
    </row>
    <row r="1595" spans="9:18" x14ac:dyDescent="0.25">
      <c r="I1595" s="46"/>
      <c r="J1595" s="26"/>
      <c r="K1595" s="26"/>
      <c r="L1595" s="26"/>
      <c r="M1595" s="26"/>
      <c r="N1595" s="26"/>
      <c r="O1595" s="26"/>
      <c r="P1595" s="26"/>
      <c r="Q1595" s="26"/>
      <c r="R1595" s="26"/>
    </row>
    <row r="1596" spans="9:18" x14ac:dyDescent="0.25">
      <c r="I1596" s="46"/>
      <c r="J1596" s="26"/>
      <c r="K1596" s="26"/>
      <c r="L1596" s="26"/>
      <c r="M1596" s="26"/>
      <c r="N1596" s="26"/>
      <c r="O1596" s="26"/>
      <c r="P1596" s="26"/>
      <c r="Q1596" s="26"/>
      <c r="R1596" s="26"/>
    </row>
    <row r="1597" spans="9:18" x14ac:dyDescent="0.25">
      <c r="I1597" s="46"/>
      <c r="J1597" s="26"/>
      <c r="K1597" s="26"/>
      <c r="L1597" s="26"/>
      <c r="M1597" s="26"/>
      <c r="N1597" s="26"/>
      <c r="O1597" s="26"/>
      <c r="P1597" s="26"/>
      <c r="Q1597" s="26"/>
      <c r="R1597" s="26"/>
    </row>
    <row r="1598" spans="9:18" x14ac:dyDescent="0.25">
      <c r="I1598" s="46"/>
      <c r="J1598" s="26"/>
      <c r="K1598" s="26"/>
      <c r="L1598" s="26"/>
      <c r="M1598" s="26"/>
      <c r="N1598" s="26"/>
      <c r="O1598" s="26"/>
      <c r="P1598" s="26"/>
      <c r="Q1598" s="26"/>
      <c r="R1598" s="26"/>
    </row>
    <row r="1599" spans="9:18" x14ac:dyDescent="0.25">
      <c r="I1599" s="46"/>
      <c r="J1599" s="26"/>
      <c r="K1599" s="26"/>
      <c r="L1599" s="26"/>
      <c r="M1599" s="26"/>
      <c r="N1599" s="26"/>
      <c r="O1599" s="26"/>
      <c r="P1599" s="26"/>
      <c r="Q1599" s="26"/>
      <c r="R1599" s="26"/>
    </row>
    <row r="1600" spans="9:18" x14ac:dyDescent="0.25">
      <c r="I1600" s="46"/>
      <c r="J1600" s="26"/>
      <c r="K1600" s="26"/>
      <c r="L1600" s="26"/>
      <c r="M1600" s="26"/>
      <c r="N1600" s="26"/>
      <c r="O1600" s="26"/>
      <c r="P1600" s="26"/>
      <c r="Q1600" s="26"/>
      <c r="R1600" s="26"/>
    </row>
    <row r="1601" spans="9:18" x14ac:dyDescent="0.25">
      <c r="I1601" s="46"/>
      <c r="J1601" s="26"/>
      <c r="K1601" s="26"/>
      <c r="L1601" s="26"/>
      <c r="M1601" s="26"/>
      <c r="N1601" s="26"/>
      <c r="O1601" s="26"/>
      <c r="P1601" s="26"/>
      <c r="Q1601" s="26"/>
      <c r="R1601" s="26"/>
    </row>
    <row r="1602" spans="9:18" x14ac:dyDescent="0.25">
      <c r="I1602" s="46"/>
      <c r="J1602" s="26"/>
      <c r="K1602" s="26"/>
      <c r="L1602" s="26"/>
      <c r="M1602" s="26"/>
      <c r="N1602" s="26"/>
      <c r="O1602" s="26"/>
      <c r="P1602" s="26"/>
      <c r="Q1602" s="26"/>
      <c r="R1602" s="26"/>
    </row>
    <row r="1603" spans="9:18" x14ac:dyDescent="0.25">
      <c r="I1603" s="46"/>
      <c r="J1603" s="26"/>
      <c r="K1603" s="26"/>
      <c r="L1603" s="26"/>
      <c r="M1603" s="26"/>
      <c r="N1603" s="26"/>
      <c r="O1603" s="26"/>
      <c r="P1603" s="26"/>
      <c r="Q1603" s="26"/>
      <c r="R1603" s="26"/>
    </row>
    <row r="1604" spans="9:18" x14ac:dyDescent="0.25">
      <c r="I1604" s="46"/>
      <c r="J1604" s="26"/>
      <c r="K1604" s="26"/>
      <c r="L1604" s="26"/>
      <c r="M1604" s="26"/>
      <c r="N1604" s="26"/>
      <c r="O1604" s="26"/>
      <c r="P1604" s="26"/>
      <c r="Q1604" s="26"/>
      <c r="R1604" s="26"/>
    </row>
    <row r="1605" spans="9:18" x14ac:dyDescent="0.25">
      <c r="I1605" s="46"/>
      <c r="J1605" s="26"/>
      <c r="K1605" s="26"/>
      <c r="L1605" s="26"/>
      <c r="M1605" s="26"/>
      <c r="N1605" s="26"/>
      <c r="O1605" s="26"/>
      <c r="P1605" s="26"/>
      <c r="Q1605" s="26"/>
      <c r="R1605" s="26"/>
    </row>
    <row r="1606" spans="9:18" x14ac:dyDescent="0.25">
      <c r="I1606" s="46"/>
      <c r="J1606" s="26"/>
      <c r="K1606" s="26"/>
      <c r="L1606" s="26"/>
      <c r="M1606" s="26"/>
      <c r="N1606" s="26"/>
      <c r="O1606" s="26"/>
      <c r="P1606" s="26"/>
      <c r="Q1606" s="26"/>
      <c r="R1606" s="26"/>
    </row>
    <row r="1607" spans="9:18" x14ac:dyDescent="0.25">
      <c r="I1607" s="46"/>
      <c r="J1607" s="26"/>
      <c r="K1607" s="26"/>
      <c r="L1607" s="26"/>
      <c r="M1607" s="26"/>
      <c r="N1607" s="26"/>
      <c r="O1607" s="26"/>
      <c r="P1607" s="26"/>
      <c r="Q1607" s="26"/>
      <c r="R1607" s="26"/>
    </row>
    <row r="1608" spans="9:18" x14ac:dyDescent="0.25">
      <c r="I1608" s="46"/>
      <c r="J1608" s="26"/>
      <c r="K1608" s="26"/>
      <c r="L1608" s="26"/>
      <c r="M1608" s="26"/>
      <c r="N1608" s="26"/>
      <c r="O1608" s="26"/>
      <c r="P1608" s="26"/>
      <c r="Q1608" s="26"/>
      <c r="R1608" s="26"/>
    </row>
    <row r="1609" spans="9:18" x14ac:dyDescent="0.25">
      <c r="I1609" s="46"/>
      <c r="J1609" s="26"/>
      <c r="K1609" s="26"/>
      <c r="L1609" s="26"/>
      <c r="M1609" s="26"/>
      <c r="N1609" s="26"/>
      <c r="O1609" s="26"/>
      <c r="P1609" s="26"/>
      <c r="Q1609" s="26"/>
      <c r="R1609" s="26"/>
    </row>
    <row r="1610" spans="9:18" x14ac:dyDescent="0.25">
      <c r="I1610" s="46"/>
      <c r="J1610" s="26"/>
      <c r="K1610" s="26"/>
      <c r="L1610" s="26"/>
      <c r="M1610" s="26"/>
      <c r="N1610" s="26"/>
      <c r="O1610" s="26"/>
      <c r="P1610" s="26"/>
      <c r="Q1610" s="26"/>
      <c r="R1610" s="26"/>
    </row>
    <row r="1611" spans="9:18" x14ac:dyDescent="0.25">
      <c r="I1611" s="46"/>
      <c r="J1611" s="26"/>
      <c r="K1611" s="26"/>
      <c r="L1611" s="26"/>
      <c r="M1611" s="26"/>
      <c r="N1611" s="26"/>
      <c r="O1611" s="26"/>
      <c r="P1611" s="26"/>
      <c r="Q1611" s="26"/>
      <c r="R1611" s="26"/>
    </row>
    <row r="1612" spans="9:18" x14ac:dyDescent="0.25">
      <c r="I1612" s="46"/>
      <c r="J1612" s="26"/>
      <c r="K1612" s="26"/>
      <c r="L1612" s="26"/>
      <c r="M1612" s="26"/>
      <c r="N1612" s="26"/>
      <c r="O1612" s="26"/>
      <c r="P1612" s="26"/>
      <c r="Q1612" s="26"/>
      <c r="R1612" s="26"/>
    </row>
    <row r="1613" spans="9:18" x14ac:dyDescent="0.25">
      <c r="I1613" s="46"/>
      <c r="J1613" s="26"/>
      <c r="K1613" s="26"/>
      <c r="L1613" s="26"/>
      <c r="M1613" s="26"/>
      <c r="N1613" s="26"/>
      <c r="O1613" s="26"/>
      <c r="P1613" s="26"/>
      <c r="Q1613" s="26"/>
      <c r="R1613" s="26"/>
    </row>
    <row r="1614" spans="9:18" x14ac:dyDescent="0.25">
      <c r="I1614" s="46"/>
      <c r="J1614" s="26"/>
      <c r="K1614" s="26"/>
      <c r="L1614" s="26"/>
      <c r="M1614" s="26"/>
      <c r="N1614" s="26"/>
      <c r="O1614" s="26"/>
      <c r="P1614" s="26"/>
      <c r="Q1614" s="26"/>
      <c r="R1614" s="26"/>
    </row>
    <row r="1615" spans="9:18" x14ac:dyDescent="0.25">
      <c r="I1615" s="46"/>
      <c r="J1615" s="26"/>
      <c r="K1615" s="26"/>
      <c r="L1615" s="26"/>
      <c r="M1615" s="26"/>
      <c r="N1615" s="26"/>
      <c r="O1615" s="26"/>
      <c r="P1615" s="26"/>
      <c r="Q1615" s="26"/>
      <c r="R1615" s="26"/>
    </row>
    <row r="1616" spans="9:18" x14ac:dyDescent="0.25">
      <c r="I1616" s="46"/>
      <c r="J1616" s="26"/>
      <c r="K1616" s="26"/>
      <c r="L1616" s="26"/>
      <c r="M1616" s="26"/>
      <c r="N1616" s="26"/>
      <c r="O1616" s="26"/>
      <c r="P1616" s="26"/>
      <c r="Q1616" s="26"/>
      <c r="R1616" s="26"/>
    </row>
    <row r="1617" spans="9:18" x14ac:dyDescent="0.25">
      <c r="I1617" s="46"/>
      <c r="J1617" s="26"/>
      <c r="K1617" s="26"/>
      <c r="L1617" s="26"/>
      <c r="M1617" s="26"/>
      <c r="N1617" s="26"/>
      <c r="O1617" s="26"/>
      <c r="P1617" s="26"/>
      <c r="Q1617" s="26"/>
      <c r="R1617" s="26"/>
    </row>
    <row r="1618" spans="9:18" x14ac:dyDescent="0.25">
      <c r="I1618" s="46"/>
      <c r="J1618" s="26"/>
      <c r="K1618" s="26"/>
      <c r="L1618" s="26"/>
      <c r="M1618" s="26"/>
      <c r="N1618" s="26"/>
      <c r="O1618" s="26"/>
      <c r="P1618" s="26"/>
      <c r="Q1618" s="26"/>
      <c r="R1618" s="26"/>
    </row>
    <row r="1619" spans="9:18" x14ac:dyDescent="0.25">
      <c r="I1619" s="46"/>
      <c r="J1619" s="26"/>
      <c r="K1619" s="26"/>
      <c r="L1619" s="26"/>
      <c r="M1619" s="26"/>
      <c r="N1619" s="26"/>
      <c r="O1619" s="26"/>
      <c r="P1619" s="26"/>
      <c r="Q1619" s="26"/>
      <c r="R1619" s="26"/>
    </row>
    <row r="1620" spans="9:18" x14ac:dyDescent="0.25">
      <c r="I1620" s="46"/>
      <c r="J1620" s="26"/>
      <c r="K1620" s="26"/>
      <c r="L1620" s="26"/>
      <c r="M1620" s="26"/>
      <c r="N1620" s="26"/>
      <c r="O1620" s="26"/>
      <c r="P1620" s="26"/>
      <c r="Q1620" s="26"/>
      <c r="R1620" s="26"/>
    </row>
    <row r="1621" spans="9:18" x14ac:dyDescent="0.25">
      <c r="I1621" s="46"/>
      <c r="J1621" s="26"/>
      <c r="K1621" s="26"/>
      <c r="L1621" s="26"/>
      <c r="M1621" s="26"/>
      <c r="N1621" s="26"/>
      <c r="O1621" s="26"/>
      <c r="P1621" s="26"/>
      <c r="Q1621" s="26"/>
      <c r="R1621" s="26"/>
    </row>
    <row r="1622" spans="9:18" x14ac:dyDescent="0.25">
      <c r="I1622" s="46"/>
      <c r="J1622" s="26"/>
      <c r="K1622" s="26"/>
      <c r="L1622" s="26"/>
      <c r="M1622" s="26"/>
      <c r="N1622" s="26"/>
      <c r="O1622" s="26"/>
      <c r="P1622" s="26"/>
      <c r="Q1622" s="26"/>
      <c r="R1622" s="26"/>
    </row>
    <row r="1623" spans="9:18" x14ac:dyDescent="0.25">
      <c r="I1623" s="46"/>
      <c r="J1623" s="26"/>
      <c r="K1623" s="26"/>
      <c r="L1623" s="26"/>
      <c r="M1623" s="26"/>
      <c r="N1623" s="26"/>
      <c r="O1623" s="26"/>
      <c r="P1623" s="26"/>
      <c r="Q1623" s="26"/>
      <c r="R1623" s="26"/>
    </row>
    <row r="1624" spans="9:18" x14ac:dyDescent="0.25">
      <c r="I1624" s="46"/>
      <c r="J1624" s="26"/>
      <c r="K1624" s="26"/>
      <c r="L1624" s="26"/>
      <c r="M1624" s="26"/>
      <c r="N1624" s="26"/>
      <c r="O1624" s="26"/>
      <c r="P1624" s="26"/>
      <c r="Q1624" s="26"/>
      <c r="R1624" s="26"/>
    </row>
    <row r="1625" spans="9:18" x14ac:dyDescent="0.25">
      <c r="I1625" s="46"/>
      <c r="J1625" s="26"/>
      <c r="K1625" s="26"/>
      <c r="L1625" s="26"/>
      <c r="M1625" s="26"/>
      <c r="N1625" s="26"/>
      <c r="O1625" s="26"/>
      <c r="P1625" s="26"/>
      <c r="Q1625" s="26"/>
      <c r="R1625" s="26"/>
    </row>
    <row r="1626" spans="9:18" x14ac:dyDescent="0.25">
      <c r="I1626" s="46"/>
      <c r="J1626" s="26"/>
      <c r="K1626" s="26"/>
      <c r="L1626" s="26"/>
      <c r="M1626" s="26"/>
      <c r="N1626" s="26"/>
      <c r="O1626" s="26"/>
      <c r="P1626" s="26"/>
      <c r="Q1626" s="26"/>
      <c r="R1626" s="26"/>
    </row>
    <row r="1627" spans="9:18" x14ac:dyDescent="0.25">
      <c r="I1627" s="46"/>
      <c r="J1627" s="26"/>
      <c r="K1627" s="26"/>
      <c r="L1627" s="26"/>
      <c r="M1627" s="26"/>
      <c r="N1627" s="26"/>
      <c r="O1627" s="26"/>
      <c r="P1627" s="26"/>
      <c r="Q1627" s="26"/>
      <c r="R1627" s="26"/>
    </row>
    <row r="1628" spans="9:18" x14ac:dyDescent="0.25">
      <c r="I1628" s="46"/>
      <c r="J1628" s="26"/>
      <c r="K1628" s="26"/>
      <c r="L1628" s="26"/>
      <c r="M1628" s="26"/>
      <c r="N1628" s="26"/>
      <c r="O1628" s="26"/>
      <c r="P1628" s="26"/>
      <c r="Q1628" s="26"/>
      <c r="R1628" s="26"/>
    </row>
    <row r="1629" spans="9:18" x14ac:dyDescent="0.25">
      <c r="I1629" s="46"/>
      <c r="J1629" s="26"/>
      <c r="K1629" s="26"/>
      <c r="L1629" s="26"/>
      <c r="M1629" s="26"/>
      <c r="N1629" s="26"/>
      <c r="O1629" s="26"/>
      <c r="P1629" s="26"/>
      <c r="Q1629" s="26"/>
      <c r="R1629" s="26"/>
    </row>
    <row r="1630" spans="9:18" x14ac:dyDescent="0.25">
      <c r="I1630" s="46"/>
      <c r="J1630" s="26"/>
      <c r="K1630" s="26"/>
      <c r="L1630" s="26"/>
      <c r="M1630" s="26"/>
      <c r="N1630" s="26"/>
      <c r="O1630" s="26"/>
      <c r="P1630" s="26"/>
      <c r="Q1630" s="26"/>
      <c r="R1630" s="26"/>
    </row>
    <row r="1631" spans="9:18" x14ac:dyDescent="0.25">
      <c r="I1631" s="46"/>
      <c r="J1631" s="26"/>
      <c r="K1631" s="26"/>
      <c r="L1631" s="26"/>
      <c r="M1631" s="26"/>
      <c r="N1631" s="26"/>
      <c r="O1631" s="26"/>
      <c r="P1631" s="26"/>
      <c r="Q1631" s="26"/>
      <c r="R1631" s="26"/>
    </row>
    <row r="1632" spans="9:18" x14ac:dyDescent="0.25">
      <c r="I1632" s="46"/>
      <c r="J1632" s="26"/>
      <c r="K1632" s="26"/>
      <c r="L1632" s="26"/>
      <c r="M1632" s="26"/>
      <c r="N1632" s="26"/>
      <c r="O1632" s="26"/>
      <c r="P1632" s="26"/>
      <c r="Q1632" s="26"/>
      <c r="R1632" s="26"/>
    </row>
    <row r="1633" spans="9:18" x14ac:dyDescent="0.25">
      <c r="I1633" s="46"/>
      <c r="J1633" s="26"/>
      <c r="K1633" s="26"/>
      <c r="L1633" s="26"/>
      <c r="M1633" s="26"/>
      <c r="N1633" s="26"/>
      <c r="O1633" s="26"/>
      <c r="P1633" s="26"/>
      <c r="Q1633" s="26"/>
      <c r="R1633" s="26"/>
    </row>
    <row r="1634" spans="9:18" x14ac:dyDescent="0.25">
      <c r="I1634" s="46"/>
      <c r="J1634" s="26"/>
      <c r="K1634" s="26"/>
      <c r="L1634" s="26"/>
      <c r="M1634" s="26"/>
      <c r="N1634" s="26"/>
      <c r="O1634" s="26"/>
      <c r="P1634" s="26"/>
      <c r="Q1634" s="26"/>
      <c r="R1634" s="26"/>
    </row>
    <row r="1635" spans="9:18" x14ac:dyDescent="0.25">
      <c r="I1635" s="46"/>
      <c r="J1635" s="26"/>
      <c r="K1635" s="26"/>
      <c r="L1635" s="26"/>
      <c r="M1635" s="26"/>
      <c r="N1635" s="26"/>
      <c r="O1635" s="26"/>
      <c r="P1635" s="26"/>
      <c r="Q1635" s="26"/>
      <c r="R1635" s="26"/>
    </row>
    <row r="1636" spans="9:18" x14ac:dyDescent="0.25">
      <c r="I1636" s="46"/>
      <c r="J1636" s="26"/>
      <c r="K1636" s="26"/>
      <c r="L1636" s="26"/>
      <c r="M1636" s="26"/>
      <c r="N1636" s="26"/>
      <c r="O1636" s="26"/>
      <c r="P1636" s="26"/>
      <c r="Q1636" s="26"/>
      <c r="R1636" s="26"/>
    </row>
    <row r="1637" spans="9:18" x14ac:dyDescent="0.25">
      <c r="I1637" s="46"/>
      <c r="J1637" s="26"/>
      <c r="K1637" s="26"/>
      <c r="L1637" s="26"/>
      <c r="M1637" s="26"/>
      <c r="N1637" s="26"/>
      <c r="O1637" s="26"/>
      <c r="P1637" s="26"/>
      <c r="Q1637" s="26"/>
      <c r="R1637" s="26"/>
    </row>
    <row r="1638" spans="9:18" x14ac:dyDescent="0.25">
      <c r="I1638" s="46"/>
      <c r="J1638" s="26"/>
      <c r="K1638" s="26"/>
      <c r="L1638" s="26"/>
      <c r="M1638" s="26"/>
      <c r="N1638" s="26"/>
      <c r="O1638" s="26"/>
      <c r="P1638" s="26"/>
      <c r="Q1638" s="26"/>
      <c r="R1638" s="26"/>
    </row>
    <row r="1639" spans="9:18" x14ac:dyDescent="0.25">
      <c r="I1639" s="46"/>
      <c r="J1639" s="26"/>
      <c r="K1639" s="26"/>
      <c r="L1639" s="26"/>
      <c r="M1639" s="26"/>
      <c r="N1639" s="26"/>
      <c r="O1639" s="26"/>
      <c r="P1639" s="26"/>
      <c r="Q1639" s="26"/>
      <c r="R1639" s="26"/>
    </row>
    <row r="1640" spans="9:18" x14ac:dyDescent="0.25">
      <c r="I1640" s="46"/>
      <c r="J1640" s="26"/>
      <c r="K1640" s="26"/>
      <c r="L1640" s="26"/>
      <c r="M1640" s="26"/>
      <c r="N1640" s="26"/>
      <c r="O1640" s="26"/>
      <c r="P1640" s="26"/>
      <c r="Q1640" s="26"/>
      <c r="R1640" s="26"/>
    </row>
    <row r="1641" spans="9:18" x14ac:dyDescent="0.25">
      <c r="I1641" s="46"/>
      <c r="J1641" s="26"/>
      <c r="K1641" s="26"/>
      <c r="L1641" s="26"/>
      <c r="M1641" s="26"/>
      <c r="N1641" s="26"/>
      <c r="O1641" s="26"/>
      <c r="P1641" s="26"/>
      <c r="Q1641" s="26"/>
      <c r="R1641" s="26"/>
    </row>
    <row r="1642" spans="9:18" x14ac:dyDescent="0.25">
      <c r="I1642" s="46"/>
      <c r="J1642" s="26"/>
      <c r="K1642" s="26"/>
      <c r="L1642" s="26"/>
      <c r="M1642" s="26"/>
      <c r="N1642" s="26"/>
      <c r="O1642" s="26"/>
      <c r="P1642" s="26"/>
      <c r="Q1642" s="26"/>
      <c r="R1642" s="26"/>
    </row>
    <row r="1643" spans="9:18" x14ac:dyDescent="0.25">
      <c r="I1643" s="46"/>
      <c r="J1643" s="26"/>
      <c r="K1643" s="26"/>
      <c r="L1643" s="26"/>
      <c r="M1643" s="26"/>
      <c r="N1643" s="26"/>
      <c r="O1643" s="26"/>
      <c r="P1643" s="26"/>
      <c r="Q1643" s="26"/>
      <c r="R1643" s="26"/>
    </row>
    <row r="1644" spans="9:18" x14ac:dyDescent="0.25">
      <c r="I1644" s="46"/>
      <c r="J1644" s="26"/>
      <c r="K1644" s="26"/>
      <c r="L1644" s="26"/>
      <c r="M1644" s="26"/>
      <c r="N1644" s="26"/>
      <c r="O1644" s="26"/>
      <c r="P1644" s="26"/>
      <c r="Q1644" s="26"/>
      <c r="R1644" s="26"/>
    </row>
    <row r="1645" spans="9:18" x14ac:dyDescent="0.25">
      <c r="I1645" s="46"/>
      <c r="J1645" s="26"/>
      <c r="K1645" s="26"/>
      <c r="L1645" s="26"/>
      <c r="M1645" s="26"/>
      <c r="N1645" s="26"/>
      <c r="O1645" s="26"/>
      <c r="P1645" s="26"/>
      <c r="Q1645" s="26"/>
      <c r="R1645" s="26"/>
    </row>
    <row r="1646" spans="9:18" x14ac:dyDescent="0.25">
      <c r="I1646" s="46"/>
      <c r="J1646" s="26"/>
      <c r="K1646" s="26"/>
      <c r="L1646" s="26"/>
      <c r="M1646" s="26"/>
      <c r="N1646" s="26"/>
      <c r="O1646" s="26"/>
      <c r="P1646" s="26"/>
      <c r="Q1646" s="26"/>
      <c r="R1646" s="26"/>
    </row>
    <row r="1647" spans="9:18" x14ac:dyDescent="0.25">
      <c r="I1647" s="46"/>
      <c r="J1647" s="26"/>
      <c r="K1647" s="26"/>
      <c r="L1647" s="26"/>
      <c r="M1647" s="26"/>
      <c r="N1647" s="26"/>
      <c r="O1647" s="26"/>
      <c r="P1647" s="26"/>
      <c r="Q1647" s="26"/>
      <c r="R1647" s="26"/>
    </row>
    <row r="1648" spans="9:18" x14ac:dyDescent="0.25">
      <c r="I1648" s="46"/>
      <c r="J1648" s="26"/>
      <c r="K1648" s="26"/>
      <c r="L1648" s="26"/>
      <c r="M1648" s="26"/>
      <c r="N1648" s="26"/>
      <c r="O1648" s="26"/>
      <c r="P1648" s="26"/>
      <c r="Q1648" s="26"/>
      <c r="R1648" s="26"/>
    </row>
    <row r="1649" spans="9:18" x14ac:dyDescent="0.25">
      <c r="I1649" s="46"/>
      <c r="J1649" s="26"/>
      <c r="K1649" s="26"/>
      <c r="L1649" s="26"/>
      <c r="M1649" s="26"/>
      <c r="N1649" s="26"/>
      <c r="O1649" s="26"/>
      <c r="P1649" s="26"/>
      <c r="Q1649" s="26"/>
      <c r="R1649" s="26"/>
    </row>
    <row r="1650" spans="9:18" x14ac:dyDescent="0.25">
      <c r="I1650" s="46"/>
      <c r="J1650" s="26"/>
      <c r="K1650" s="26"/>
      <c r="L1650" s="26"/>
      <c r="M1650" s="26"/>
      <c r="N1650" s="26"/>
      <c r="O1650" s="26"/>
      <c r="P1650" s="26"/>
      <c r="Q1650" s="26"/>
      <c r="R1650" s="26"/>
    </row>
    <row r="1651" spans="9:18" x14ac:dyDescent="0.25">
      <c r="I1651" s="46"/>
      <c r="J1651" s="26"/>
      <c r="K1651" s="26"/>
      <c r="L1651" s="26"/>
      <c r="M1651" s="26"/>
      <c r="N1651" s="26"/>
      <c r="O1651" s="26"/>
      <c r="P1651" s="26"/>
      <c r="Q1651" s="26"/>
      <c r="R1651" s="26"/>
    </row>
    <row r="1652" spans="9:18" x14ac:dyDescent="0.25">
      <c r="I1652" s="46"/>
      <c r="J1652" s="26"/>
      <c r="K1652" s="26"/>
      <c r="L1652" s="26"/>
      <c r="M1652" s="26"/>
      <c r="N1652" s="26"/>
      <c r="O1652" s="26"/>
      <c r="P1652" s="26"/>
      <c r="Q1652" s="26"/>
      <c r="R1652" s="26"/>
    </row>
    <row r="1653" spans="9:18" x14ac:dyDescent="0.25">
      <c r="I1653" s="46"/>
      <c r="J1653" s="26"/>
      <c r="K1653" s="26"/>
      <c r="L1653" s="26"/>
      <c r="M1653" s="26"/>
      <c r="N1653" s="26"/>
      <c r="O1653" s="26"/>
      <c r="P1653" s="26"/>
      <c r="Q1653" s="26"/>
      <c r="R1653" s="26"/>
    </row>
    <row r="1654" spans="9:18" x14ac:dyDescent="0.25">
      <c r="I1654" s="46"/>
      <c r="J1654" s="26"/>
      <c r="K1654" s="26"/>
      <c r="L1654" s="26"/>
      <c r="M1654" s="26"/>
      <c r="N1654" s="26"/>
      <c r="O1654" s="26"/>
      <c r="P1654" s="26"/>
      <c r="Q1654" s="26"/>
      <c r="R1654" s="26"/>
    </row>
    <row r="1655" spans="9:18" x14ac:dyDescent="0.25">
      <c r="I1655" s="46"/>
      <c r="J1655" s="26"/>
      <c r="K1655" s="26"/>
      <c r="L1655" s="26"/>
      <c r="M1655" s="26"/>
      <c r="N1655" s="26"/>
      <c r="O1655" s="26"/>
      <c r="P1655" s="26"/>
      <c r="Q1655" s="26"/>
      <c r="R1655" s="26"/>
    </row>
    <row r="1656" spans="9:18" x14ac:dyDescent="0.25">
      <c r="I1656" s="46"/>
      <c r="J1656" s="26"/>
      <c r="K1656" s="26"/>
      <c r="L1656" s="26"/>
      <c r="M1656" s="26"/>
      <c r="N1656" s="26"/>
      <c r="O1656" s="26"/>
      <c r="P1656" s="26"/>
      <c r="Q1656" s="26"/>
      <c r="R1656" s="26"/>
    </row>
    <row r="1657" spans="9:18" x14ac:dyDescent="0.25">
      <c r="I1657" s="46"/>
      <c r="J1657" s="26"/>
      <c r="K1657" s="26"/>
      <c r="L1657" s="26"/>
      <c r="M1657" s="26"/>
      <c r="N1657" s="26"/>
      <c r="O1657" s="26"/>
      <c r="P1657" s="26"/>
      <c r="Q1657" s="26"/>
      <c r="R1657" s="26"/>
    </row>
    <row r="1658" spans="9:18" x14ac:dyDescent="0.25">
      <c r="I1658" s="46"/>
      <c r="J1658" s="26"/>
      <c r="K1658" s="26"/>
      <c r="L1658" s="26"/>
      <c r="M1658" s="26"/>
      <c r="N1658" s="26"/>
      <c r="O1658" s="26"/>
      <c r="P1658" s="26"/>
      <c r="Q1658" s="26"/>
      <c r="R1658" s="26"/>
    </row>
    <row r="1659" spans="9:18" x14ac:dyDescent="0.25">
      <c r="I1659" s="46"/>
      <c r="J1659" s="26"/>
      <c r="K1659" s="26"/>
      <c r="L1659" s="26"/>
      <c r="M1659" s="26"/>
      <c r="N1659" s="26"/>
      <c r="O1659" s="26"/>
      <c r="P1659" s="26"/>
      <c r="Q1659" s="26"/>
      <c r="R1659" s="26"/>
    </row>
    <row r="1660" spans="9:18" x14ac:dyDescent="0.25">
      <c r="I1660" s="46"/>
      <c r="J1660" s="26"/>
      <c r="K1660" s="26"/>
      <c r="L1660" s="26"/>
      <c r="M1660" s="26"/>
      <c r="N1660" s="26"/>
      <c r="O1660" s="26"/>
      <c r="P1660" s="26"/>
      <c r="Q1660" s="26"/>
      <c r="R1660" s="26"/>
    </row>
    <row r="1661" spans="9:18" x14ac:dyDescent="0.25">
      <c r="I1661" s="46"/>
      <c r="J1661" s="26"/>
      <c r="K1661" s="26"/>
      <c r="L1661" s="26"/>
      <c r="M1661" s="26"/>
      <c r="N1661" s="26"/>
      <c r="O1661" s="26"/>
      <c r="P1661" s="26"/>
      <c r="Q1661" s="26"/>
      <c r="R1661" s="26"/>
    </row>
    <row r="1662" spans="9:18" x14ac:dyDescent="0.25">
      <c r="I1662" s="46"/>
      <c r="J1662" s="26"/>
      <c r="K1662" s="26"/>
      <c r="L1662" s="26"/>
      <c r="M1662" s="26"/>
      <c r="N1662" s="26"/>
      <c r="O1662" s="26"/>
      <c r="P1662" s="26"/>
      <c r="Q1662" s="26"/>
      <c r="R1662" s="26"/>
    </row>
    <row r="1663" spans="9:18" x14ac:dyDescent="0.25">
      <c r="I1663" s="46"/>
      <c r="J1663" s="26"/>
      <c r="K1663" s="26"/>
      <c r="L1663" s="26"/>
      <c r="M1663" s="26"/>
      <c r="N1663" s="26"/>
      <c r="O1663" s="26"/>
      <c r="P1663" s="26"/>
      <c r="Q1663" s="26"/>
      <c r="R1663" s="26"/>
    </row>
    <row r="1664" spans="9:18" x14ac:dyDescent="0.25">
      <c r="I1664" s="46"/>
      <c r="J1664" s="26"/>
      <c r="K1664" s="26"/>
      <c r="L1664" s="26"/>
      <c r="M1664" s="26"/>
      <c r="N1664" s="26"/>
      <c r="O1664" s="26"/>
      <c r="P1664" s="26"/>
      <c r="Q1664" s="26"/>
      <c r="R1664" s="26"/>
    </row>
    <row r="1665" spans="9:18" x14ac:dyDescent="0.25">
      <c r="I1665" s="46"/>
      <c r="J1665" s="26"/>
      <c r="K1665" s="26"/>
      <c r="L1665" s="26"/>
      <c r="M1665" s="26"/>
      <c r="N1665" s="26"/>
      <c r="O1665" s="26"/>
      <c r="P1665" s="26"/>
      <c r="Q1665" s="26"/>
      <c r="R1665" s="26"/>
    </row>
    <row r="1666" spans="9:18" x14ac:dyDescent="0.25">
      <c r="I1666" s="46"/>
      <c r="J1666" s="26"/>
      <c r="K1666" s="26"/>
      <c r="L1666" s="26"/>
      <c r="M1666" s="26"/>
      <c r="N1666" s="26"/>
      <c r="O1666" s="26"/>
      <c r="P1666" s="26"/>
      <c r="Q1666" s="26"/>
      <c r="R1666" s="26"/>
    </row>
    <row r="1667" spans="9:18" x14ac:dyDescent="0.25">
      <c r="I1667" s="46"/>
      <c r="J1667" s="26"/>
      <c r="K1667" s="26"/>
      <c r="L1667" s="26"/>
      <c r="M1667" s="26"/>
      <c r="N1667" s="26"/>
      <c r="O1667" s="26"/>
      <c r="P1667" s="26"/>
      <c r="Q1667" s="26"/>
      <c r="R1667" s="26"/>
    </row>
    <row r="1668" spans="9:18" x14ac:dyDescent="0.25">
      <c r="I1668" s="46"/>
      <c r="J1668" s="26"/>
      <c r="K1668" s="26"/>
      <c r="L1668" s="26"/>
      <c r="M1668" s="26"/>
      <c r="N1668" s="26"/>
      <c r="O1668" s="26"/>
      <c r="P1668" s="26"/>
      <c r="Q1668" s="26"/>
      <c r="R1668" s="26"/>
    </row>
    <row r="1669" spans="9:18" x14ac:dyDescent="0.25">
      <c r="I1669" s="46"/>
      <c r="J1669" s="26"/>
      <c r="K1669" s="26"/>
      <c r="L1669" s="26"/>
      <c r="M1669" s="26"/>
      <c r="N1669" s="26"/>
      <c r="O1669" s="26"/>
      <c r="P1669" s="26"/>
      <c r="Q1669" s="26"/>
      <c r="R1669" s="26"/>
    </row>
    <row r="1670" spans="9:18" x14ac:dyDescent="0.25">
      <c r="I1670" s="46"/>
      <c r="J1670" s="26"/>
      <c r="K1670" s="26"/>
      <c r="L1670" s="26"/>
      <c r="M1670" s="26"/>
      <c r="N1670" s="26"/>
      <c r="O1670" s="26"/>
      <c r="P1670" s="26"/>
      <c r="Q1670" s="26"/>
      <c r="R1670" s="26"/>
    </row>
    <row r="1671" spans="9:18" x14ac:dyDescent="0.25">
      <c r="I1671" s="46"/>
      <c r="J1671" s="26"/>
      <c r="K1671" s="26"/>
      <c r="L1671" s="26"/>
      <c r="M1671" s="26"/>
      <c r="N1671" s="26"/>
      <c r="O1671" s="26"/>
      <c r="P1671" s="26"/>
      <c r="Q1671" s="26"/>
      <c r="R1671" s="26"/>
    </row>
    <row r="1672" spans="9:18" x14ac:dyDescent="0.25">
      <c r="I1672" s="46"/>
      <c r="J1672" s="26"/>
      <c r="K1672" s="26"/>
      <c r="L1672" s="26"/>
      <c r="M1672" s="26"/>
      <c r="N1672" s="26"/>
      <c r="O1672" s="26"/>
      <c r="P1672" s="26"/>
      <c r="Q1672" s="26"/>
      <c r="R1672" s="26"/>
    </row>
    <row r="1673" spans="9:18" x14ac:dyDescent="0.25">
      <c r="I1673" s="46"/>
      <c r="J1673" s="26"/>
      <c r="K1673" s="26"/>
      <c r="L1673" s="26"/>
      <c r="M1673" s="26"/>
      <c r="N1673" s="26"/>
      <c r="O1673" s="26"/>
      <c r="P1673" s="26"/>
      <c r="Q1673" s="26"/>
      <c r="R1673" s="26"/>
    </row>
    <row r="1674" spans="9:18" x14ac:dyDescent="0.25">
      <c r="I1674" s="46"/>
      <c r="J1674" s="26"/>
      <c r="K1674" s="26"/>
      <c r="L1674" s="26"/>
      <c r="M1674" s="26"/>
      <c r="N1674" s="26"/>
      <c r="O1674" s="26"/>
      <c r="P1674" s="26"/>
      <c r="Q1674" s="26"/>
      <c r="R1674" s="26"/>
    </row>
    <row r="1675" spans="9:18" x14ac:dyDescent="0.25">
      <c r="I1675" s="46"/>
      <c r="J1675" s="26"/>
      <c r="K1675" s="26"/>
      <c r="L1675" s="26"/>
      <c r="M1675" s="26"/>
      <c r="N1675" s="26"/>
      <c r="O1675" s="26"/>
      <c r="P1675" s="26"/>
      <c r="Q1675" s="26"/>
      <c r="R1675" s="26"/>
    </row>
    <row r="1676" spans="9:18" x14ac:dyDescent="0.25">
      <c r="I1676" s="46"/>
      <c r="J1676" s="26"/>
      <c r="K1676" s="26"/>
      <c r="L1676" s="26"/>
      <c r="M1676" s="26"/>
      <c r="N1676" s="26"/>
      <c r="O1676" s="26"/>
      <c r="P1676" s="26"/>
      <c r="Q1676" s="26"/>
      <c r="R1676" s="26"/>
    </row>
    <row r="1677" spans="9:18" x14ac:dyDescent="0.25">
      <c r="I1677" s="46"/>
      <c r="J1677" s="26"/>
      <c r="K1677" s="26"/>
      <c r="L1677" s="26"/>
      <c r="M1677" s="26"/>
      <c r="N1677" s="26"/>
      <c r="O1677" s="26"/>
      <c r="P1677" s="26"/>
      <c r="Q1677" s="26"/>
      <c r="R1677" s="26"/>
    </row>
    <row r="1678" spans="9:18" x14ac:dyDescent="0.25">
      <c r="I1678" s="46"/>
      <c r="J1678" s="26"/>
      <c r="K1678" s="26"/>
      <c r="L1678" s="26"/>
      <c r="M1678" s="26"/>
      <c r="N1678" s="26"/>
      <c r="O1678" s="26"/>
      <c r="P1678" s="26"/>
      <c r="Q1678" s="26"/>
      <c r="R1678" s="26"/>
    </row>
    <row r="1679" spans="9:18" x14ac:dyDescent="0.25">
      <c r="I1679" s="46"/>
      <c r="J1679" s="26"/>
      <c r="K1679" s="26"/>
      <c r="L1679" s="26"/>
      <c r="M1679" s="26"/>
      <c r="N1679" s="26"/>
      <c r="O1679" s="26"/>
      <c r="P1679" s="26"/>
      <c r="Q1679" s="26"/>
      <c r="R1679" s="26"/>
    </row>
    <row r="1680" spans="9:18" x14ac:dyDescent="0.25">
      <c r="I1680" s="46"/>
      <c r="J1680" s="26"/>
      <c r="K1680" s="26"/>
      <c r="L1680" s="26"/>
      <c r="M1680" s="26"/>
      <c r="N1680" s="26"/>
      <c r="O1680" s="26"/>
      <c r="P1680" s="26"/>
      <c r="Q1680" s="26"/>
      <c r="R1680" s="26"/>
    </row>
    <row r="1681" spans="9:18" x14ac:dyDescent="0.25">
      <c r="I1681" s="46"/>
      <c r="J1681" s="26"/>
      <c r="K1681" s="26"/>
      <c r="L1681" s="26"/>
      <c r="M1681" s="26"/>
      <c r="N1681" s="26"/>
      <c r="O1681" s="26"/>
      <c r="P1681" s="26"/>
      <c r="Q1681" s="26"/>
      <c r="R1681" s="26"/>
    </row>
    <row r="1682" spans="9:18" x14ac:dyDescent="0.25">
      <c r="I1682" s="46"/>
      <c r="J1682" s="26"/>
      <c r="K1682" s="26"/>
      <c r="L1682" s="26"/>
      <c r="M1682" s="26"/>
      <c r="N1682" s="26"/>
      <c r="O1682" s="26"/>
      <c r="P1682" s="26"/>
      <c r="Q1682" s="26"/>
      <c r="R1682" s="26"/>
    </row>
    <row r="1683" spans="9:18" x14ac:dyDescent="0.25">
      <c r="I1683" s="46"/>
      <c r="J1683" s="26"/>
      <c r="K1683" s="26"/>
      <c r="L1683" s="26"/>
      <c r="M1683" s="26"/>
      <c r="N1683" s="26"/>
      <c r="O1683" s="26"/>
      <c r="P1683" s="26"/>
      <c r="Q1683" s="26"/>
      <c r="R1683" s="26"/>
    </row>
    <row r="1684" spans="9:18" x14ac:dyDescent="0.25">
      <c r="I1684" s="46"/>
      <c r="J1684" s="26"/>
      <c r="K1684" s="26"/>
      <c r="L1684" s="26"/>
      <c r="M1684" s="26"/>
      <c r="N1684" s="26"/>
      <c r="O1684" s="26"/>
      <c r="P1684" s="26"/>
      <c r="Q1684" s="26"/>
      <c r="R1684" s="26"/>
    </row>
    <row r="1685" spans="9:18" x14ac:dyDescent="0.25">
      <c r="I1685" s="46"/>
      <c r="J1685" s="26"/>
      <c r="K1685" s="26"/>
      <c r="L1685" s="26"/>
      <c r="M1685" s="26"/>
      <c r="N1685" s="26"/>
      <c r="O1685" s="26"/>
      <c r="P1685" s="26"/>
      <c r="Q1685" s="26"/>
      <c r="R1685" s="26"/>
    </row>
    <row r="1686" spans="9:18" x14ac:dyDescent="0.25">
      <c r="I1686" s="4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9:18" x14ac:dyDescent="0.25">
      <c r="I1687" s="46"/>
      <c r="J1687" s="26"/>
      <c r="K1687" s="26"/>
      <c r="L1687" s="26"/>
      <c r="M1687" s="26"/>
      <c r="N1687" s="26"/>
      <c r="O1687" s="26"/>
      <c r="P1687" s="26"/>
      <c r="Q1687" s="26"/>
      <c r="R1687" s="26"/>
    </row>
    <row r="1688" spans="9:18" x14ac:dyDescent="0.25">
      <c r="I1688" s="46"/>
      <c r="J1688" s="26"/>
      <c r="K1688" s="26"/>
      <c r="L1688" s="26"/>
      <c r="M1688" s="26"/>
      <c r="N1688" s="26"/>
      <c r="O1688" s="26"/>
      <c r="P1688" s="26"/>
      <c r="Q1688" s="26"/>
      <c r="R1688" s="26"/>
    </row>
    <row r="1689" spans="9:18" x14ac:dyDescent="0.25">
      <c r="I1689" s="46"/>
      <c r="J1689" s="26"/>
      <c r="K1689" s="26"/>
      <c r="L1689" s="26"/>
      <c r="M1689" s="26"/>
      <c r="N1689" s="26"/>
      <c r="O1689" s="26"/>
      <c r="P1689" s="26"/>
      <c r="Q1689" s="26"/>
      <c r="R1689" s="26"/>
    </row>
    <row r="1690" spans="9:18" x14ac:dyDescent="0.25">
      <c r="I1690" s="46"/>
      <c r="J1690" s="26"/>
      <c r="K1690" s="26"/>
      <c r="L1690" s="26"/>
      <c r="M1690" s="26"/>
      <c r="N1690" s="26"/>
      <c r="O1690" s="26"/>
      <c r="P1690" s="26"/>
      <c r="Q1690" s="26"/>
      <c r="R1690" s="26"/>
    </row>
    <row r="1691" spans="9:18" x14ac:dyDescent="0.25">
      <c r="I1691" s="46"/>
      <c r="J1691" s="26"/>
      <c r="K1691" s="26"/>
      <c r="L1691" s="26"/>
      <c r="M1691" s="26"/>
      <c r="N1691" s="26"/>
      <c r="O1691" s="26"/>
      <c r="P1691" s="26"/>
      <c r="Q1691" s="26"/>
      <c r="R1691" s="26"/>
    </row>
    <row r="1692" spans="9:18" x14ac:dyDescent="0.25">
      <c r="I1692" s="46"/>
      <c r="J1692" s="26"/>
      <c r="K1692" s="26"/>
      <c r="L1692" s="26"/>
      <c r="M1692" s="26"/>
      <c r="N1692" s="26"/>
      <c r="O1692" s="26"/>
      <c r="P1692" s="26"/>
      <c r="Q1692" s="26"/>
      <c r="R1692" s="26"/>
    </row>
    <row r="1693" spans="9:18" x14ac:dyDescent="0.25">
      <c r="I1693" s="46"/>
      <c r="J1693" s="26"/>
      <c r="K1693" s="26"/>
      <c r="L1693" s="26"/>
      <c r="M1693" s="26"/>
      <c r="N1693" s="26"/>
      <c r="O1693" s="26"/>
      <c r="P1693" s="26"/>
      <c r="Q1693" s="26"/>
      <c r="R1693" s="26"/>
    </row>
    <row r="1694" spans="9:18" x14ac:dyDescent="0.25">
      <c r="I1694" s="46"/>
      <c r="J1694" s="26"/>
      <c r="K1694" s="26"/>
      <c r="L1694" s="26"/>
      <c r="M1694" s="26"/>
      <c r="N1694" s="26"/>
      <c r="O1694" s="26"/>
      <c r="P1694" s="26"/>
      <c r="Q1694" s="26"/>
      <c r="R1694" s="26"/>
    </row>
    <row r="1695" spans="9:18" x14ac:dyDescent="0.25">
      <c r="I1695" s="46"/>
      <c r="J1695" s="26"/>
      <c r="K1695" s="26"/>
      <c r="L1695" s="26"/>
      <c r="M1695" s="26"/>
      <c r="N1695" s="26"/>
      <c r="O1695" s="26"/>
      <c r="P1695" s="26"/>
      <c r="Q1695" s="26"/>
      <c r="R1695" s="26"/>
    </row>
    <row r="1696" spans="9:18" x14ac:dyDescent="0.25">
      <c r="I1696" s="46"/>
      <c r="J1696" s="26"/>
      <c r="K1696" s="26"/>
      <c r="L1696" s="26"/>
      <c r="M1696" s="26"/>
      <c r="N1696" s="26"/>
      <c r="O1696" s="26"/>
      <c r="P1696" s="26"/>
      <c r="Q1696" s="26"/>
      <c r="R1696" s="26"/>
    </row>
    <row r="1697" spans="9:18" x14ac:dyDescent="0.25">
      <c r="I1697" s="46"/>
      <c r="J1697" s="26"/>
      <c r="K1697" s="26"/>
      <c r="L1697" s="26"/>
      <c r="M1697" s="26"/>
      <c r="N1697" s="26"/>
      <c r="O1697" s="26"/>
      <c r="P1697" s="26"/>
      <c r="Q1697" s="26"/>
      <c r="R1697" s="26"/>
    </row>
    <row r="1698" spans="9:18" x14ac:dyDescent="0.25">
      <c r="I1698" s="46"/>
      <c r="J1698" s="26"/>
      <c r="K1698" s="26"/>
      <c r="L1698" s="26"/>
      <c r="M1698" s="26"/>
      <c r="N1698" s="26"/>
      <c r="O1698" s="26"/>
      <c r="P1698" s="26"/>
      <c r="Q1698" s="26"/>
      <c r="R1698" s="26"/>
    </row>
    <row r="1699" spans="9:18" x14ac:dyDescent="0.25">
      <c r="I1699" s="46"/>
      <c r="J1699" s="26"/>
      <c r="K1699" s="26"/>
      <c r="L1699" s="26"/>
      <c r="M1699" s="26"/>
      <c r="N1699" s="26"/>
      <c r="O1699" s="26"/>
      <c r="P1699" s="26"/>
      <c r="Q1699" s="26"/>
      <c r="R1699" s="26"/>
    </row>
    <row r="1700" spans="9:18" x14ac:dyDescent="0.25">
      <c r="I1700" s="46"/>
      <c r="J1700" s="26"/>
      <c r="K1700" s="26"/>
      <c r="L1700" s="26"/>
      <c r="M1700" s="26"/>
      <c r="N1700" s="26"/>
      <c r="O1700" s="26"/>
      <c r="P1700" s="26"/>
      <c r="Q1700" s="26"/>
      <c r="R1700" s="26"/>
    </row>
    <row r="1701" spans="9:18" x14ac:dyDescent="0.25">
      <c r="I1701" s="46"/>
      <c r="J1701" s="26"/>
      <c r="K1701" s="26"/>
      <c r="L1701" s="26"/>
      <c r="M1701" s="26"/>
      <c r="N1701" s="26"/>
      <c r="O1701" s="26"/>
      <c r="P1701" s="26"/>
      <c r="Q1701" s="26"/>
      <c r="R1701" s="26"/>
    </row>
    <row r="1702" spans="9:18" x14ac:dyDescent="0.25">
      <c r="I1702" s="46"/>
      <c r="J1702" s="26"/>
      <c r="K1702" s="26"/>
      <c r="L1702" s="26"/>
      <c r="M1702" s="26"/>
      <c r="N1702" s="26"/>
      <c r="O1702" s="26"/>
      <c r="P1702" s="26"/>
      <c r="Q1702" s="26"/>
      <c r="R1702" s="26"/>
    </row>
    <row r="1703" spans="9:18" x14ac:dyDescent="0.25">
      <c r="I1703" s="46"/>
      <c r="J1703" s="26"/>
      <c r="K1703" s="26"/>
      <c r="L1703" s="26"/>
      <c r="M1703" s="26"/>
      <c r="N1703" s="26"/>
      <c r="O1703" s="26"/>
      <c r="P1703" s="26"/>
      <c r="Q1703" s="26"/>
      <c r="R1703" s="26"/>
    </row>
    <row r="1704" spans="9:18" x14ac:dyDescent="0.25">
      <c r="I1704" s="46"/>
      <c r="J1704" s="26"/>
      <c r="K1704" s="26"/>
      <c r="L1704" s="26"/>
      <c r="M1704" s="26"/>
      <c r="N1704" s="26"/>
      <c r="O1704" s="26"/>
      <c r="P1704" s="26"/>
      <c r="Q1704" s="26"/>
      <c r="R1704" s="26"/>
    </row>
    <row r="1705" spans="9:18" x14ac:dyDescent="0.25">
      <c r="I1705" s="46"/>
      <c r="J1705" s="26"/>
      <c r="K1705" s="26"/>
      <c r="L1705" s="26"/>
      <c r="M1705" s="26"/>
      <c r="N1705" s="26"/>
      <c r="O1705" s="26"/>
      <c r="P1705" s="26"/>
      <c r="Q1705" s="26"/>
      <c r="R1705" s="26"/>
    </row>
    <row r="1706" spans="9:18" x14ac:dyDescent="0.25">
      <c r="I1706" s="46"/>
      <c r="J1706" s="26"/>
      <c r="K1706" s="26"/>
      <c r="L1706" s="26"/>
      <c r="M1706" s="26"/>
      <c r="N1706" s="26"/>
      <c r="O1706" s="26"/>
      <c r="P1706" s="26"/>
      <c r="Q1706" s="26"/>
      <c r="R1706" s="26"/>
    </row>
    <row r="1707" spans="9:18" x14ac:dyDescent="0.25">
      <c r="I1707" s="46"/>
      <c r="J1707" s="26"/>
      <c r="K1707" s="26"/>
      <c r="L1707" s="26"/>
      <c r="M1707" s="26"/>
      <c r="N1707" s="26"/>
      <c r="O1707" s="26"/>
      <c r="P1707" s="26"/>
      <c r="Q1707" s="26"/>
      <c r="R1707" s="26"/>
    </row>
    <row r="1708" spans="9:18" x14ac:dyDescent="0.25">
      <c r="I1708" s="46"/>
      <c r="J1708" s="26"/>
      <c r="K1708" s="26"/>
      <c r="L1708" s="26"/>
      <c r="M1708" s="26"/>
      <c r="N1708" s="26"/>
      <c r="O1708" s="26"/>
      <c r="P1708" s="26"/>
      <c r="Q1708" s="26"/>
      <c r="R1708" s="26"/>
    </row>
    <row r="1709" spans="9:18" x14ac:dyDescent="0.25">
      <c r="I1709" s="46"/>
      <c r="J1709" s="26"/>
      <c r="K1709" s="26"/>
      <c r="L1709" s="26"/>
      <c r="M1709" s="26"/>
      <c r="N1709" s="26"/>
      <c r="O1709" s="26"/>
      <c r="P1709" s="26"/>
      <c r="Q1709" s="26"/>
      <c r="R1709" s="26"/>
    </row>
    <row r="1710" spans="9:18" x14ac:dyDescent="0.25">
      <c r="I1710" s="46"/>
      <c r="J1710" s="26"/>
      <c r="K1710" s="26"/>
      <c r="L1710" s="26"/>
      <c r="M1710" s="26"/>
      <c r="N1710" s="26"/>
      <c r="O1710" s="26"/>
      <c r="P1710" s="26"/>
      <c r="Q1710" s="26"/>
      <c r="R1710" s="26"/>
    </row>
    <row r="1711" spans="9:18" x14ac:dyDescent="0.25">
      <c r="I1711" s="46"/>
      <c r="J1711" s="26"/>
      <c r="K1711" s="26"/>
      <c r="L1711" s="26"/>
      <c r="M1711" s="26"/>
      <c r="N1711" s="26"/>
      <c r="O1711" s="26"/>
      <c r="P1711" s="26"/>
      <c r="Q1711" s="26"/>
      <c r="R1711" s="26"/>
    </row>
    <row r="1712" spans="9:18" x14ac:dyDescent="0.25">
      <c r="I1712" s="46"/>
      <c r="J1712" s="26"/>
      <c r="K1712" s="26"/>
      <c r="L1712" s="26"/>
      <c r="M1712" s="26"/>
      <c r="N1712" s="26"/>
      <c r="O1712" s="26"/>
      <c r="P1712" s="26"/>
      <c r="Q1712" s="26"/>
      <c r="R1712" s="26"/>
    </row>
    <row r="1713" spans="9:18" x14ac:dyDescent="0.25">
      <c r="I1713" s="46"/>
      <c r="J1713" s="26"/>
      <c r="K1713" s="26"/>
      <c r="L1713" s="26"/>
      <c r="M1713" s="26"/>
      <c r="N1713" s="26"/>
      <c r="O1713" s="26"/>
      <c r="P1713" s="26"/>
      <c r="Q1713" s="26"/>
      <c r="R1713" s="26"/>
    </row>
    <row r="1714" spans="9:18" x14ac:dyDescent="0.25">
      <c r="I1714" s="46"/>
      <c r="J1714" s="26"/>
      <c r="K1714" s="26"/>
      <c r="L1714" s="26"/>
      <c r="M1714" s="26"/>
      <c r="N1714" s="26"/>
      <c r="O1714" s="26"/>
      <c r="P1714" s="26"/>
      <c r="Q1714" s="26"/>
      <c r="R1714" s="26"/>
    </row>
    <row r="1715" spans="9:18" x14ac:dyDescent="0.25">
      <c r="I1715" s="46"/>
      <c r="J1715" s="26"/>
      <c r="K1715" s="26"/>
      <c r="L1715" s="26"/>
      <c r="M1715" s="26"/>
      <c r="N1715" s="26"/>
      <c r="O1715" s="26"/>
      <c r="P1715" s="26"/>
      <c r="Q1715" s="26"/>
      <c r="R1715" s="26"/>
    </row>
    <row r="1716" spans="9:18" x14ac:dyDescent="0.25">
      <c r="I1716" s="46"/>
      <c r="J1716" s="26"/>
      <c r="K1716" s="26"/>
      <c r="L1716" s="26"/>
      <c r="M1716" s="26"/>
      <c r="N1716" s="26"/>
      <c r="O1716" s="26"/>
      <c r="P1716" s="26"/>
      <c r="Q1716" s="26"/>
      <c r="R1716" s="26"/>
    </row>
    <row r="1717" spans="9:18" x14ac:dyDescent="0.25">
      <c r="I1717" s="46"/>
      <c r="J1717" s="26"/>
      <c r="K1717" s="26"/>
      <c r="L1717" s="26"/>
      <c r="M1717" s="26"/>
      <c r="N1717" s="26"/>
      <c r="O1717" s="26"/>
      <c r="P1717" s="26"/>
      <c r="Q1717" s="26"/>
      <c r="R1717" s="26"/>
    </row>
    <row r="1718" spans="9:18" x14ac:dyDescent="0.25">
      <c r="I1718" s="46"/>
      <c r="J1718" s="26"/>
      <c r="K1718" s="26"/>
      <c r="L1718" s="26"/>
      <c r="M1718" s="26"/>
      <c r="N1718" s="26"/>
      <c r="O1718" s="26"/>
      <c r="P1718" s="26"/>
      <c r="Q1718" s="26"/>
      <c r="R1718" s="26"/>
    </row>
    <row r="1719" spans="9:18" x14ac:dyDescent="0.25">
      <c r="I1719" s="46"/>
      <c r="J1719" s="26"/>
      <c r="K1719" s="26"/>
      <c r="L1719" s="26"/>
      <c r="M1719" s="26"/>
      <c r="N1719" s="26"/>
      <c r="O1719" s="26"/>
      <c r="P1719" s="26"/>
      <c r="Q1719" s="26"/>
      <c r="R1719" s="26"/>
    </row>
    <row r="1720" spans="9:18" x14ac:dyDescent="0.25">
      <c r="I1720" s="46"/>
      <c r="J1720" s="26"/>
      <c r="K1720" s="26"/>
      <c r="L1720" s="26"/>
      <c r="M1720" s="26"/>
      <c r="N1720" s="26"/>
      <c r="O1720" s="26"/>
      <c r="P1720" s="26"/>
      <c r="Q1720" s="26"/>
      <c r="R1720" s="26"/>
    </row>
    <row r="1721" spans="9:18" x14ac:dyDescent="0.25">
      <c r="I1721" s="46"/>
      <c r="J1721" s="26"/>
      <c r="K1721" s="26"/>
      <c r="L1721" s="26"/>
      <c r="M1721" s="26"/>
      <c r="N1721" s="26"/>
      <c r="O1721" s="26"/>
      <c r="P1721" s="26"/>
      <c r="Q1721" s="26"/>
      <c r="R1721" s="26"/>
    </row>
    <row r="1722" spans="9:18" x14ac:dyDescent="0.25">
      <c r="I1722" s="46"/>
      <c r="J1722" s="26"/>
      <c r="K1722" s="26"/>
      <c r="L1722" s="26"/>
      <c r="M1722" s="26"/>
      <c r="N1722" s="26"/>
      <c r="O1722" s="26"/>
      <c r="P1722" s="26"/>
      <c r="Q1722" s="26"/>
      <c r="R1722" s="26"/>
    </row>
    <row r="1723" spans="9:18" x14ac:dyDescent="0.25">
      <c r="I1723" s="46"/>
      <c r="J1723" s="26"/>
      <c r="K1723" s="26"/>
      <c r="L1723" s="26"/>
      <c r="M1723" s="26"/>
      <c r="N1723" s="26"/>
      <c r="O1723" s="26"/>
      <c r="P1723" s="26"/>
      <c r="Q1723" s="26"/>
      <c r="R1723" s="26"/>
    </row>
    <row r="1724" spans="9:18" x14ac:dyDescent="0.25">
      <c r="I1724" s="46"/>
      <c r="J1724" s="26"/>
      <c r="K1724" s="26"/>
      <c r="L1724" s="26"/>
      <c r="M1724" s="26"/>
      <c r="N1724" s="26"/>
      <c r="O1724" s="26"/>
      <c r="P1724" s="26"/>
      <c r="Q1724" s="26"/>
      <c r="R1724" s="26"/>
    </row>
    <row r="1725" spans="9:18" x14ac:dyDescent="0.25">
      <c r="I1725" s="46"/>
      <c r="J1725" s="26"/>
      <c r="K1725" s="26"/>
      <c r="L1725" s="26"/>
      <c r="M1725" s="26"/>
      <c r="N1725" s="26"/>
      <c r="O1725" s="26"/>
      <c r="P1725" s="26"/>
      <c r="Q1725" s="26"/>
      <c r="R1725" s="26"/>
    </row>
    <row r="1726" spans="9:18" x14ac:dyDescent="0.25">
      <c r="I1726" s="46"/>
      <c r="J1726" s="26"/>
      <c r="K1726" s="26"/>
      <c r="L1726" s="26"/>
      <c r="M1726" s="26"/>
      <c r="N1726" s="26"/>
      <c r="O1726" s="26"/>
      <c r="P1726" s="26"/>
      <c r="Q1726" s="26"/>
      <c r="R1726" s="26"/>
    </row>
    <row r="1727" spans="9:18" x14ac:dyDescent="0.25">
      <c r="I1727" s="46"/>
      <c r="J1727" s="26"/>
      <c r="K1727" s="26"/>
      <c r="L1727" s="26"/>
      <c r="M1727" s="26"/>
      <c r="N1727" s="26"/>
      <c r="O1727" s="26"/>
      <c r="P1727" s="26"/>
      <c r="Q1727" s="26"/>
      <c r="R1727" s="26"/>
    </row>
    <row r="1728" spans="9:18" x14ac:dyDescent="0.25">
      <c r="I1728" s="46"/>
      <c r="J1728" s="26"/>
      <c r="K1728" s="26"/>
      <c r="L1728" s="26"/>
      <c r="M1728" s="26"/>
      <c r="N1728" s="26"/>
      <c r="O1728" s="26"/>
      <c r="P1728" s="26"/>
      <c r="Q1728" s="26"/>
      <c r="R1728" s="26"/>
    </row>
    <row r="1729" spans="9:18" x14ac:dyDescent="0.25">
      <c r="I1729" s="46"/>
      <c r="J1729" s="26"/>
      <c r="K1729" s="26"/>
      <c r="L1729" s="26"/>
      <c r="M1729" s="26"/>
      <c r="N1729" s="26"/>
      <c r="O1729" s="26"/>
      <c r="P1729" s="26"/>
      <c r="Q1729" s="26"/>
      <c r="R1729" s="26"/>
    </row>
    <row r="1730" spans="9:18" x14ac:dyDescent="0.25">
      <c r="I1730" s="46"/>
      <c r="J1730" s="26"/>
      <c r="K1730" s="26"/>
      <c r="L1730" s="26"/>
      <c r="M1730" s="26"/>
      <c r="N1730" s="26"/>
      <c r="O1730" s="26"/>
      <c r="P1730" s="26"/>
      <c r="Q1730" s="26"/>
      <c r="R1730" s="26"/>
    </row>
    <row r="1731" spans="9:18" x14ac:dyDescent="0.25">
      <c r="I1731" s="46"/>
      <c r="J1731" s="26"/>
      <c r="K1731" s="26"/>
      <c r="L1731" s="26"/>
      <c r="M1731" s="26"/>
      <c r="N1731" s="26"/>
      <c r="O1731" s="26"/>
      <c r="P1731" s="26"/>
      <c r="Q1731" s="26"/>
      <c r="R1731" s="26"/>
    </row>
    <row r="1732" spans="9:18" x14ac:dyDescent="0.25">
      <c r="I1732" s="46"/>
      <c r="J1732" s="26"/>
      <c r="K1732" s="26"/>
      <c r="L1732" s="26"/>
      <c r="M1732" s="26"/>
      <c r="N1732" s="26"/>
      <c r="O1732" s="26"/>
      <c r="P1732" s="26"/>
      <c r="Q1732" s="26"/>
      <c r="R1732" s="26"/>
    </row>
    <row r="1733" spans="9:18" x14ac:dyDescent="0.25">
      <c r="I1733" s="46"/>
      <c r="J1733" s="26"/>
      <c r="K1733" s="26"/>
      <c r="L1733" s="26"/>
      <c r="M1733" s="26"/>
      <c r="N1733" s="26"/>
      <c r="O1733" s="26"/>
      <c r="P1733" s="26"/>
      <c r="Q1733" s="26"/>
      <c r="R1733" s="26"/>
    </row>
    <row r="1734" spans="9:18" x14ac:dyDescent="0.25">
      <c r="I1734" s="46"/>
      <c r="J1734" s="26"/>
      <c r="K1734" s="26"/>
      <c r="L1734" s="26"/>
      <c r="M1734" s="26"/>
      <c r="N1734" s="26"/>
      <c r="O1734" s="26"/>
      <c r="P1734" s="26"/>
      <c r="Q1734" s="26"/>
      <c r="R1734" s="26"/>
    </row>
    <row r="1735" spans="9:18" x14ac:dyDescent="0.25">
      <c r="I1735" s="46"/>
      <c r="J1735" s="26"/>
      <c r="K1735" s="26"/>
      <c r="L1735" s="26"/>
      <c r="M1735" s="26"/>
      <c r="N1735" s="26"/>
      <c r="O1735" s="26"/>
      <c r="P1735" s="26"/>
      <c r="Q1735" s="26"/>
      <c r="R1735" s="26"/>
    </row>
    <row r="1736" spans="9:18" x14ac:dyDescent="0.25">
      <c r="I1736" s="46"/>
      <c r="J1736" s="26"/>
      <c r="K1736" s="26"/>
      <c r="L1736" s="26"/>
      <c r="M1736" s="26"/>
      <c r="N1736" s="26"/>
      <c r="O1736" s="26"/>
      <c r="P1736" s="26"/>
      <c r="Q1736" s="26"/>
      <c r="R1736" s="26"/>
    </row>
    <row r="1737" spans="9:18" x14ac:dyDescent="0.25">
      <c r="I1737" s="46"/>
      <c r="J1737" s="26"/>
      <c r="K1737" s="26"/>
      <c r="L1737" s="26"/>
      <c r="M1737" s="26"/>
      <c r="N1737" s="26"/>
      <c r="O1737" s="26"/>
      <c r="P1737" s="26"/>
      <c r="Q1737" s="26"/>
      <c r="R1737" s="26"/>
    </row>
    <row r="1738" spans="9:18" x14ac:dyDescent="0.25">
      <c r="I1738" s="46"/>
      <c r="J1738" s="26"/>
      <c r="K1738" s="26"/>
      <c r="L1738" s="26"/>
      <c r="M1738" s="26"/>
      <c r="N1738" s="26"/>
      <c r="O1738" s="26"/>
      <c r="P1738" s="26"/>
      <c r="Q1738" s="26"/>
      <c r="R1738" s="26"/>
    </row>
    <row r="1739" spans="9:18" x14ac:dyDescent="0.25">
      <c r="I1739" s="46"/>
      <c r="J1739" s="26"/>
      <c r="K1739" s="26"/>
      <c r="L1739" s="26"/>
      <c r="M1739" s="26"/>
      <c r="N1739" s="26"/>
      <c r="O1739" s="26"/>
      <c r="P1739" s="26"/>
      <c r="Q1739" s="26"/>
      <c r="R1739" s="26"/>
    </row>
    <row r="1740" spans="9:18" x14ac:dyDescent="0.25">
      <c r="I1740" s="46"/>
      <c r="J1740" s="26"/>
      <c r="K1740" s="26"/>
      <c r="L1740" s="26"/>
      <c r="M1740" s="26"/>
      <c r="N1740" s="26"/>
      <c r="O1740" s="26"/>
      <c r="P1740" s="26"/>
      <c r="Q1740" s="26"/>
      <c r="R1740" s="26"/>
    </row>
    <row r="1741" spans="9:18" x14ac:dyDescent="0.25">
      <c r="I1741" s="46"/>
      <c r="J1741" s="26"/>
      <c r="K1741" s="26"/>
      <c r="L1741" s="26"/>
      <c r="M1741" s="26"/>
      <c r="N1741" s="26"/>
      <c r="O1741" s="26"/>
      <c r="P1741" s="26"/>
      <c r="Q1741" s="26"/>
      <c r="R1741" s="26"/>
    </row>
    <row r="1742" spans="9:18" x14ac:dyDescent="0.25">
      <c r="I1742" s="46"/>
      <c r="J1742" s="26"/>
      <c r="K1742" s="26"/>
      <c r="L1742" s="26"/>
      <c r="M1742" s="26"/>
      <c r="N1742" s="26"/>
      <c r="O1742" s="26"/>
      <c r="P1742" s="26"/>
      <c r="Q1742" s="26"/>
      <c r="R1742" s="26"/>
    </row>
    <row r="1743" spans="9:18" x14ac:dyDescent="0.25">
      <c r="I1743" s="46"/>
      <c r="J1743" s="26"/>
      <c r="K1743" s="26"/>
      <c r="L1743" s="26"/>
      <c r="M1743" s="26"/>
      <c r="N1743" s="26"/>
      <c r="O1743" s="26"/>
      <c r="P1743" s="26"/>
      <c r="Q1743" s="26"/>
      <c r="R1743" s="26"/>
    </row>
    <row r="1744" spans="9:18" x14ac:dyDescent="0.25">
      <c r="I1744" s="46"/>
      <c r="J1744" s="26"/>
      <c r="K1744" s="26"/>
      <c r="L1744" s="26"/>
      <c r="M1744" s="26"/>
      <c r="N1744" s="26"/>
      <c r="O1744" s="26"/>
      <c r="P1744" s="26"/>
      <c r="Q1744" s="26"/>
      <c r="R1744" s="26"/>
    </row>
    <row r="1745" spans="9:18" x14ac:dyDescent="0.25">
      <c r="I1745" s="46"/>
      <c r="J1745" s="26"/>
      <c r="K1745" s="26"/>
      <c r="L1745" s="26"/>
      <c r="M1745" s="26"/>
      <c r="N1745" s="26"/>
      <c r="O1745" s="26"/>
      <c r="P1745" s="26"/>
      <c r="Q1745" s="26"/>
      <c r="R1745" s="26"/>
    </row>
    <row r="1746" spans="9:18" x14ac:dyDescent="0.25">
      <c r="I1746" s="46"/>
      <c r="J1746" s="26"/>
      <c r="K1746" s="26"/>
      <c r="L1746" s="26"/>
      <c r="M1746" s="26"/>
      <c r="N1746" s="26"/>
      <c r="O1746" s="26"/>
      <c r="P1746" s="26"/>
      <c r="Q1746" s="26"/>
      <c r="R1746" s="26"/>
    </row>
    <row r="1747" spans="9:18" x14ac:dyDescent="0.25">
      <c r="I1747" s="46"/>
      <c r="J1747" s="26"/>
      <c r="K1747" s="26"/>
      <c r="L1747" s="26"/>
      <c r="M1747" s="26"/>
      <c r="N1747" s="26"/>
      <c r="O1747" s="26"/>
      <c r="P1747" s="26"/>
      <c r="Q1747" s="26"/>
      <c r="R1747" s="26"/>
    </row>
    <row r="1748" spans="9:18" x14ac:dyDescent="0.25">
      <c r="I1748" s="46"/>
      <c r="J1748" s="26"/>
      <c r="K1748" s="26"/>
      <c r="L1748" s="26"/>
      <c r="M1748" s="26"/>
      <c r="N1748" s="26"/>
      <c r="O1748" s="26"/>
      <c r="P1748" s="26"/>
      <c r="Q1748" s="26"/>
      <c r="R1748" s="26"/>
    </row>
    <row r="1749" spans="9:18" x14ac:dyDescent="0.25">
      <c r="I1749" s="46"/>
      <c r="J1749" s="26"/>
      <c r="K1749" s="26"/>
      <c r="L1749" s="26"/>
      <c r="M1749" s="26"/>
      <c r="N1749" s="26"/>
      <c r="O1749" s="26"/>
      <c r="P1749" s="26"/>
      <c r="Q1749" s="26"/>
      <c r="R1749" s="26"/>
    </row>
    <row r="1750" spans="9:18" x14ac:dyDescent="0.25">
      <c r="I1750" s="46"/>
      <c r="J1750" s="26"/>
      <c r="K1750" s="26"/>
      <c r="L1750" s="26"/>
      <c r="M1750" s="26"/>
      <c r="N1750" s="26"/>
      <c r="O1750" s="26"/>
      <c r="P1750" s="26"/>
      <c r="Q1750" s="26"/>
      <c r="R1750" s="26"/>
    </row>
    <row r="1751" spans="9:18" x14ac:dyDescent="0.25">
      <c r="I1751" s="46"/>
      <c r="J1751" s="26"/>
      <c r="K1751" s="26"/>
      <c r="L1751" s="26"/>
      <c r="M1751" s="26"/>
      <c r="N1751" s="26"/>
      <c r="O1751" s="26"/>
      <c r="P1751" s="26"/>
      <c r="Q1751" s="26"/>
      <c r="R1751" s="26"/>
    </row>
    <row r="1752" spans="9:18" x14ac:dyDescent="0.25">
      <c r="I1752" s="46"/>
      <c r="J1752" s="26"/>
      <c r="K1752" s="26"/>
      <c r="L1752" s="26"/>
      <c r="M1752" s="26"/>
      <c r="N1752" s="26"/>
      <c r="O1752" s="26"/>
      <c r="P1752" s="26"/>
      <c r="Q1752" s="26"/>
      <c r="R1752" s="26"/>
    </row>
    <row r="1753" spans="9:18" x14ac:dyDescent="0.25">
      <c r="I1753" s="46"/>
      <c r="J1753" s="26"/>
      <c r="K1753" s="26"/>
      <c r="L1753" s="26"/>
      <c r="M1753" s="26"/>
      <c r="N1753" s="26"/>
      <c r="O1753" s="26"/>
      <c r="P1753" s="26"/>
      <c r="Q1753" s="26"/>
      <c r="R1753" s="26"/>
    </row>
    <row r="1754" spans="9:18" x14ac:dyDescent="0.25">
      <c r="I1754" s="46"/>
      <c r="J1754" s="26"/>
      <c r="K1754" s="26"/>
      <c r="L1754" s="26"/>
      <c r="M1754" s="26"/>
      <c r="N1754" s="26"/>
      <c r="O1754" s="26"/>
      <c r="P1754" s="26"/>
      <c r="Q1754" s="26"/>
      <c r="R1754" s="26"/>
    </row>
    <row r="1755" spans="9:18" x14ac:dyDescent="0.25">
      <c r="I1755" s="46"/>
      <c r="J1755" s="26"/>
      <c r="K1755" s="26"/>
      <c r="L1755" s="26"/>
      <c r="M1755" s="26"/>
      <c r="N1755" s="26"/>
      <c r="O1755" s="26"/>
      <c r="P1755" s="26"/>
      <c r="Q1755" s="26"/>
      <c r="R1755" s="26"/>
    </row>
    <row r="1756" spans="9:18" x14ac:dyDescent="0.25">
      <c r="I1756" s="46"/>
      <c r="J1756" s="26"/>
      <c r="K1756" s="26"/>
      <c r="L1756" s="26"/>
      <c r="M1756" s="26"/>
      <c r="N1756" s="26"/>
      <c r="O1756" s="26"/>
      <c r="P1756" s="26"/>
      <c r="Q1756" s="26"/>
      <c r="R1756" s="26"/>
    </row>
    <row r="1757" spans="9:18" x14ac:dyDescent="0.25">
      <c r="I1757" s="46"/>
      <c r="J1757" s="26"/>
      <c r="K1757" s="26"/>
      <c r="L1757" s="26"/>
      <c r="M1757" s="26"/>
      <c r="N1757" s="26"/>
      <c r="O1757" s="26"/>
      <c r="P1757" s="26"/>
      <c r="Q1757" s="26"/>
      <c r="R1757" s="26"/>
    </row>
    <row r="1758" spans="9:18" x14ac:dyDescent="0.25">
      <c r="I1758" s="46"/>
      <c r="J1758" s="26"/>
      <c r="K1758" s="26"/>
      <c r="L1758" s="26"/>
      <c r="M1758" s="26"/>
      <c r="N1758" s="26"/>
      <c r="O1758" s="26"/>
      <c r="P1758" s="26"/>
      <c r="Q1758" s="26"/>
      <c r="R1758" s="26"/>
    </row>
    <row r="1759" spans="9:18" x14ac:dyDescent="0.25">
      <c r="I1759" s="46"/>
      <c r="J1759" s="26"/>
      <c r="K1759" s="26"/>
      <c r="L1759" s="26"/>
      <c r="M1759" s="26"/>
      <c r="N1759" s="26"/>
      <c r="O1759" s="26"/>
      <c r="P1759" s="26"/>
      <c r="Q1759" s="26"/>
      <c r="R1759" s="26"/>
    </row>
    <row r="1760" spans="9:18" x14ac:dyDescent="0.25">
      <c r="I1760" s="46"/>
      <c r="J1760" s="26"/>
      <c r="K1760" s="26"/>
      <c r="L1760" s="26"/>
      <c r="M1760" s="26"/>
      <c r="N1760" s="26"/>
      <c r="O1760" s="26"/>
      <c r="P1760" s="26"/>
      <c r="Q1760" s="26"/>
      <c r="R1760" s="26"/>
    </row>
    <row r="1761" spans="9:18" x14ac:dyDescent="0.25">
      <c r="I1761" s="46"/>
      <c r="J1761" s="26"/>
      <c r="K1761" s="26"/>
      <c r="L1761" s="26"/>
      <c r="M1761" s="26"/>
      <c r="N1761" s="26"/>
      <c r="O1761" s="26"/>
      <c r="P1761" s="26"/>
      <c r="Q1761" s="26"/>
      <c r="R1761" s="26"/>
    </row>
    <row r="1762" spans="9:18" x14ac:dyDescent="0.25">
      <c r="I1762" s="46"/>
      <c r="J1762" s="26"/>
      <c r="K1762" s="26"/>
      <c r="L1762" s="26"/>
      <c r="M1762" s="26"/>
      <c r="N1762" s="26"/>
      <c r="O1762" s="26"/>
      <c r="P1762" s="26"/>
      <c r="Q1762" s="26"/>
      <c r="R1762" s="26"/>
    </row>
    <row r="1763" spans="9:18" x14ac:dyDescent="0.25">
      <c r="I1763" s="46"/>
      <c r="J1763" s="26"/>
      <c r="K1763" s="26"/>
      <c r="L1763" s="26"/>
      <c r="M1763" s="26"/>
      <c r="N1763" s="26"/>
      <c r="O1763" s="26"/>
      <c r="P1763" s="26"/>
      <c r="Q1763" s="26"/>
      <c r="R1763" s="26"/>
    </row>
    <row r="1764" spans="9:18" x14ac:dyDescent="0.25">
      <c r="I1764" s="46"/>
      <c r="J1764" s="26"/>
      <c r="K1764" s="26"/>
      <c r="L1764" s="26"/>
      <c r="M1764" s="26"/>
      <c r="N1764" s="26"/>
      <c r="O1764" s="26"/>
      <c r="P1764" s="26"/>
      <c r="Q1764" s="26"/>
      <c r="R1764" s="26"/>
    </row>
    <row r="1765" spans="9:18" x14ac:dyDescent="0.25">
      <c r="I1765" s="46"/>
      <c r="J1765" s="26"/>
      <c r="K1765" s="26"/>
      <c r="L1765" s="26"/>
      <c r="M1765" s="26"/>
      <c r="N1765" s="26"/>
      <c r="O1765" s="26"/>
      <c r="P1765" s="26"/>
      <c r="Q1765" s="26"/>
      <c r="R1765" s="26"/>
    </row>
    <row r="1766" spans="9:18" x14ac:dyDescent="0.25">
      <c r="I1766" s="46"/>
      <c r="J1766" s="26"/>
      <c r="K1766" s="26"/>
      <c r="L1766" s="26"/>
      <c r="M1766" s="26"/>
      <c r="N1766" s="26"/>
      <c r="O1766" s="26"/>
      <c r="P1766" s="26"/>
      <c r="Q1766" s="26"/>
      <c r="R1766" s="26"/>
    </row>
    <row r="1767" spans="9:18" x14ac:dyDescent="0.25">
      <c r="I1767" s="46"/>
      <c r="J1767" s="26"/>
      <c r="K1767" s="26"/>
      <c r="L1767" s="26"/>
      <c r="M1767" s="26"/>
      <c r="N1767" s="26"/>
      <c r="O1767" s="26"/>
      <c r="P1767" s="26"/>
      <c r="Q1767" s="26"/>
      <c r="R1767" s="26"/>
    </row>
    <row r="1768" spans="9:18" x14ac:dyDescent="0.25">
      <c r="I1768" s="46"/>
      <c r="J1768" s="26"/>
      <c r="K1768" s="26"/>
      <c r="L1768" s="26"/>
      <c r="M1768" s="26"/>
      <c r="N1768" s="26"/>
      <c r="O1768" s="26"/>
      <c r="P1768" s="26"/>
      <c r="Q1768" s="26"/>
      <c r="R1768" s="26"/>
    </row>
    <row r="1769" spans="9:18" x14ac:dyDescent="0.25">
      <c r="I1769" s="46"/>
      <c r="J1769" s="26"/>
      <c r="K1769" s="26"/>
      <c r="L1769" s="26"/>
      <c r="M1769" s="26"/>
      <c r="N1769" s="26"/>
      <c r="O1769" s="26"/>
      <c r="P1769" s="26"/>
      <c r="Q1769" s="26"/>
      <c r="R1769" s="26"/>
    </row>
    <row r="1770" spans="9:18" x14ac:dyDescent="0.25">
      <c r="I1770" s="46"/>
      <c r="J1770" s="26"/>
      <c r="K1770" s="26"/>
      <c r="L1770" s="26"/>
      <c r="M1770" s="26"/>
      <c r="N1770" s="26"/>
      <c r="O1770" s="26"/>
      <c r="P1770" s="26"/>
      <c r="Q1770" s="26"/>
      <c r="R1770" s="26"/>
    </row>
    <row r="1771" spans="9:18" x14ac:dyDescent="0.25">
      <c r="I1771" s="46"/>
      <c r="J1771" s="26"/>
      <c r="K1771" s="26"/>
      <c r="L1771" s="26"/>
      <c r="M1771" s="26"/>
      <c r="N1771" s="26"/>
      <c r="O1771" s="26"/>
      <c r="P1771" s="26"/>
      <c r="Q1771" s="26"/>
      <c r="R1771" s="26"/>
    </row>
    <row r="1772" spans="9:18" x14ac:dyDescent="0.25">
      <c r="I1772" s="46"/>
      <c r="J1772" s="26"/>
      <c r="K1772" s="26"/>
      <c r="L1772" s="26"/>
      <c r="M1772" s="26"/>
      <c r="N1772" s="26"/>
      <c r="O1772" s="26"/>
      <c r="P1772" s="26"/>
      <c r="Q1772" s="26"/>
      <c r="R1772" s="26"/>
    </row>
    <row r="1773" spans="9:18" x14ac:dyDescent="0.25">
      <c r="I1773" s="46"/>
      <c r="J1773" s="26"/>
      <c r="K1773" s="26"/>
      <c r="L1773" s="26"/>
      <c r="M1773" s="26"/>
      <c r="N1773" s="26"/>
      <c r="O1773" s="26"/>
      <c r="P1773" s="26"/>
      <c r="Q1773" s="26"/>
      <c r="R1773" s="26"/>
    </row>
    <row r="1774" spans="9:18" x14ac:dyDescent="0.25">
      <c r="I1774" s="46"/>
      <c r="J1774" s="26"/>
      <c r="K1774" s="26"/>
      <c r="L1774" s="26"/>
      <c r="M1774" s="26"/>
      <c r="N1774" s="26"/>
      <c r="O1774" s="26"/>
      <c r="P1774" s="26"/>
      <c r="Q1774" s="26"/>
      <c r="R1774" s="26"/>
    </row>
    <row r="1775" spans="9:18" x14ac:dyDescent="0.25">
      <c r="I1775" s="46"/>
      <c r="J1775" s="26"/>
      <c r="K1775" s="26"/>
      <c r="L1775" s="26"/>
      <c r="M1775" s="26"/>
      <c r="N1775" s="26"/>
      <c r="O1775" s="26"/>
      <c r="P1775" s="26"/>
      <c r="Q1775" s="26"/>
      <c r="R1775" s="26"/>
    </row>
    <row r="1776" spans="9:18" x14ac:dyDescent="0.25">
      <c r="I1776" s="46"/>
      <c r="J1776" s="26"/>
      <c r="K1776" s="26"/>
      <c r="L1776" s="26"/>
      <c r="M1776" s="26"/>
      <c r="N1776" s="26"/>
      <c r="O1776" s="26"/>
      <c r="P1776" s="26"/>
      <c r="Q1776" s="26"/>
      <c r="R1776" s="26"/>
    </row>
    <row r="1777" spans="9:18" x14ac:dyDescent="0.25">
      <c r="I1777" s="46"/>
      <c r="J1777" s="26"/>
      <c r="K1777" s="26"/>
      <c r="L1777" s="26"/>
      <c r="M1777" s="26"/>
      <c r="N1777" s="26"/>
      <c r="O1777" s="26"/>
      <c r="P1777" s="26"/>
      <c r="Q1777" s="26"/>
      <c r="R1777" s="26"/>
    </row>
    <row r="1778" spans="9:18" x14ac:dyDescent="0.25">
      <c r="I1778" s="46"/>
      <c r="J1778" s="26"/>
      <c r="K1778" s="26"/>
      <c r="L1778" s="26"/>
      <c r="M1778" s="26"/>
      <c r="N1778" s="26"/>
      <c r="O1778" s="26"/>
      <c r="P1778" s="26"/>
      <c r="Q1778" s="26"/>
      <c r="R1778" s="26"/>
    </row>
    <row r="1779" spans="9:18" x14ac:dyDescent="0.25">
      <c r="I1779" s="46"/>
      <c r="J1779" s="26"/>
      <c r="K1779" s="26"/>
      <c r="L1779" s="26"/>
      <c r="M1779" s="26"/>
      <c r="N1779" s="26"/>
      <c r="O1779" s="26"/>
      <c r="P1779" s="26"/>
      <c r="Q1779" s="26"/>
      <c r="R1779" s="26"/>
    </row>
    <row r="1780" spans="9:18" x14ac:dyDescent="0.25">
      <c r="I1780" s="46"/>
      <c r="J1780" s="26"/>
      <c r="K1780" s="26"/>
      <c r="L1780" s="26"/>
      <c r="M1780" s="26"/>
      <c r="N1780" s="26"/>
      <c r="O1780" s="26"/>
      <c r="P1780" s="26"/>
      <c r="Q1780" s="26"/>
      <c r="R1780" s="26"/>
    </row>
    <row r="1781" spans="9:18" x14ac:dyDescent="0.25">
      <c r="I1781" s="46"/>
      <c r="J1781" s="26"/>
      <c r="K1781" s="26"/>
      <c r="L1781" s="26"/>
      <c r="M1781" s="26"/>
      <c r="N1781" s="26"/>
      <c r="O1781" s="26"/>
      <c r="P1781" s="26"/>
      <c r="Q1781" s="26"/>
      <c r="R1781" s="26"/>
    </row>
    <row r="1782" spans="9:18" x14ac:dyDescent="0.25">
      <c r="I1782" s="46"/>
      <c r="J1782" s="26"/>
      <c r="K1782" s="26"/>
      <c r="L1782" s="26"/>
      <c r="M1782" s="26"/>
      <c r="N1782" s="26"/>
      <c r="O1782" s="26"/>
      <c r="P1782" s="26"/>
      <c r="Q1782" s="26"/>
      <c r="R1782" s="26"/>
    </row>
    <row r="1783" spans="9:18" x14ac:dyDescent="0.25">
      <c r="I1783" s="46"/>
      <c r="J1783" s="26"/>
      <c r="K1783" s="26"/>
      <c r="L1783" s="26"/>
      <c r="M1783" s="26"/>
      <c r="N1783" s="26"/>
      <c r="O1783" s="26"/>
      <c r="P1783" s="26"/>
      <c r="Q1783" s="26"/>
      <c r="R1783" s="26"/>
    </row>
    <row r="1784" spans="9:18" x14ac:dyDescent="0.25">
      <c r="I1784" s="46"/>
      <c r="J1784" s="26"/>
      <c r="K1784" s="26"/>
      <c r="L1784" s="26"/>
      <c r="M1784" s="26"/>
      <c r="N1784" s="26"/>
      <c r="O1784" s="26"/>
      <c r="P1784" s="26"/>
      <c r="Q1784" s="26"/>
      <c r="R1784" s="26"/>
    </row>
    <row r="1785" spans="9:18" x14ac:dyDescent="0.25">
      <c r="I1785" s="46"/>
      <c r="J1785" s="26"/>
      <c r="K1785" s="26"/>
      <c r="L1785" s="26"/>
      <c r="M1785" s="26"/>
      <c r="N1785" s="26"/>
      <c r="O1785" s="26"/>
      <c r="P1785" s="26"/>
      <c r="Q1785" s="26"/>
      <c r="R1785" s="26"/>
    </row>
    <row r="1786" spans="9:18" x14ac:dyDescent="0.25">
      <c r="I1786" s="46"/>
      <c r="J1786" s="26"/>
      <c r="K1786" s="26"/>
      <c r="L1786" s="26"/>
      <c r="M1786" s="26"/>
      <c r="N1786" s="26"/>
      <c r="O1786" s="26"/>
      <c r="P1786" s="26"/>
      <c r="Q1786" s="26"/>
      <c r="R1786" s="26"/>
    </row>
    <row r="1787" spans="9:18" x14ac:dyDescent="0.25">
      <c r="I1787" s="46"/>
      <c r="J1787" s="26"/>
      <c r="K1787" s="26"/>
      <c r="L1787" s="26"/>
      <c r="M1787" s="26"/>
      <c r="N1787" s="26"/>
      <c r="O1787" s="26"/>
      <c r="P1787" s="26"/>
      <c r="Q1787" s="26"/>
      <c r="R1787" s="26"/>
    </row>
    <row r="1788" spans="9:18" x14ac:dyDescent="0.25">
      <c r="I1788" s="46"/>
      <c r="J1788" s="26"/>
      <c r="K1788" s="26"/>
      <c r="L1788" s="26"/>
      <c r="M1788" s="26"/>
      <c r="N1788" s="26"/>
      <c r="O1788" s="26"/>
      <c r="P1788" s="26"/>
      <c r="Q1788" s="26"/>
      <c r="R1788" s="26"/>
    </row>
    <row r="1789" spans="9:18" x14ac:dyDescent="0.25">
      <c r="I1789" s="46"/>
      <c r="J1789" s="26"/>
      <c r="K1789" s="26"/>
      <c r="L1789" s="26"/>
      <c r="M1789" s="26"/>
      <c r="N1789" s="26"/>
      <c r="O1789" s="26"/>
      <c r="P1789" s="26"/>
      <c r="Q1789" s="26"/>
      <c r="R1789" s="26"/>
    </row>
    <row r="1790" spans="9:18" x14ac:dyDescent="0.25">
      <c r="I1790" s="46"/>
      <c r="J1790" s="26"/>
      <c r="K1790" s="26"/>
      <c r="L1790" s="26"/>
      <c r="M1790" s="26"/>
      <c r="N1790" s="26"/>
      <c r="O1790" s="26"/>
      <c r="P1790" s="26"/>
      <c r="Q1790" s="26"/>
      <c r="R1790" s="26"/>
    </row>
    <row r="1791" spans="9:18" x14ac:dyDescent="0.25">
      <c r="I1791" s="46"/>
      <c r="J1791" s="26"/>
      <c r="K1791" s="26"/>
      <c r="L1791" s="26"/>
      <c r="M1791" s="26"/>
      <c r="N1791" s="26"/>
      <c r="O1791" s="26"/>
      <c r="P1791" s="26"/>
      <c r="Q1791" s="26"/>
      <c r="R1791" s="26"/>
    </row>
    <row r="1792" spans="9:18" x14ac:dyDescent="0.25">
      <c r="I1792" s="46"/>
      <c r="J1792" s="26"/>
      <c r="K1792" s="26"/>
      <c r="L1792" s="26"/>
      <c r="M1792" s="26"/>
      <c r="N1792" s="26"/>
      <c r="O1792" s="26"/>
      <c r="P1792" s="26"/>
      <c r="Q1792" s="26"/>
      <c r="R1792" s="26"/>
    </row>
    <row r="1793" spans="9:18" x14ac:dyDescent="0.25">
      <c r="I1793" s="46"/>
      <c r="J1793" s="26"/>
      <c r="K1793" s="26"/>
      <c r="L1793" s="26"/>
      <c r="M1793" s="26"/>
      <c r="N1793" s="26"/>
      <c r="O1793" s="26"/>
      <c r="P1793" s="26"/>
      <c r="Q1793" s="26"/>
      <c r="R1793" s="26"/>
    </row>
    <row r="1794" spans="9:18" x14ac:dyDescent="0.25">
      <c r="I1794" s="46"/>
      <c r="J1794" s="26"/>
      <c r="K1794" s="26"/>
      <c r="L1794" s="26"/>
      <c r="M1794" s="26"/>
      <c r="N1794" s="26"/>
      <c r="O1794" s="26"/>
      <c r="P1794" s="26"/>
      <c r="Q1794" s="26"/>
      <c r="R1794" s="26"/>
    </row>
    <row r="1795" spans="9:18" x14ac:dyDescent="0.25">
      <c r="I1795" s="46"/>
      <c r="J1795" s="26"/>
      <c r="K1795" s="26"/>
      <c r="L1795" s="26"/>
      <c r="M1795" s="26"/>
      <c r="N1795" s="26"/>
      <c r="O1795" s="26"/>
      <c r="P1795" s="26"/>
      <c r="Q1795" s="26"/>
      <c r="R1795" s="26"/>
    </row>
    <row r="1796" spans="9:18" x14ac:dyDescent="0.25">
      <c r="I1796" s="46"/>
      <c r="J1796" s="26"/>
      <c r="K1796" s="26"/>
      <c r="L1796" s="26"/>
      <c r="M1796" s="26"/>
      <c r="N1796" s="26"/>
      <c r="O1796" s="26"/>
      <c r="P1796" s="26"/>
      <c r="Q1796" s="26"/>
      <c r="R1796" s="26"/>
    </row>
    <row r="1797" spans="9:18" x14ac:dyDescent="0.25">
      <c r="I1797" s="46"/>
      <c r="J1797" s="26"/>
      <c r="K1797" s="26"/>
      <c r="L1797" s="26"/>
      <c r="M1797" s="26"/>
      <c r="N1797" s="26"/>
      <c r="O1797" s="26"/>
      <c r="P1797" s="26"/>
      <c r="Q1797" s="26"/>
      <c r="R1797" s="26"/>
    </row>
    <row r="1798" spans="9:18" x14ac:dyDescent="0.25">
      <c r="I1798" s="46"/>
      <c r="J1798" s="26"/>
      <c r="K1798" s="26"/>
      <c r="L1798" s="26"/>
      <c r="M1798" s="26"/>
      <c r="N1798" s="26"/>
      <c r="O1798" s="26"/>
      <c r="P1798" s="26"/>
      <c r="Q1798" s="26"/>
      <c r="R1798" s="26"/>
    </row>
    <row r="1799" spans="9:18" x14ac:dyDescent="0.25">
      <c r="I1799" s="46"/>
      <c r="J1799" s="26"/>
      <c r="K1799" s="26"/>
      <c r="L1799" s="26"/>
      <c r="M1799" s="26"/>
      <c r="N1799" s="26"/>
      <c r="O1799" s="26"/>
      <c r="P1799" s="26"/>
      <c r="Q1799" s="26"/>
      <c r="R1799" s="26"/>
    </row>
    <row r="1800" spans="9:18" x14ac:dyDescent="0.25">
      <c r="I1800" s="46"/>
      <c r="J1800" s="26"/>
      <c r="K1800" s="26"/>
      <c r="L1800" s="26"/>
      <c r="M1800" s="26"/>
      <c r="N1800" s="26"/>
      <c r="O1800" s="26"/>
      <c r="P1800" s="26"/>
      <c r="Q1800" s="26"/>
      <c r="R1800" s="26"/>
    </row>
    <row r="1801" spans="9:18" x14ac:dyDescent="0.25">
      <c r="I1801" s="46"/>
      <c r="J1801" s="26"/>
      <c r="K1801" s="26"/>
      <c r="L1801" s="26"/>
      <c r="M1801" s="26"/>
      <c r="N1801" s="26"/>
      <c r="O1801" s="26"/>
      <c r="P1801" s="26"/>
      <c r="Q1801" s="26"/>
      <c r="R1801" s="26"/>
    </row>
    <row r="1802" spans="9:18" x14ac:dyDescent="0.25">
      <c r="I1802" s="46"/>
      <c r="J1802" s="26"/>
      <c r="K1802" s="26"/>
      <c r="L1802" s="26"/>
      <c r="M1802" s="26"/>
      <c r="N1802" s="26"/>
      <c r="O1802" s="26"/>
      <c r="P1802" s="26"/>
      <c r="Q1802" s="26"/>
      <c r="R1802" s="26"/>
    </row>
    <row r="1803" spans="9:18" x14ac:dyDescent="0.25">
      <c r="I1803" s="46"/>
      <c r="J1803" s="26"/>
      <c r="K1803" s="26"/>
      <c r="L1803" s="26"/>
      <c r="M1803" s="26"/>
      <c r="N1803" s="26"/>
      <c r="O1803" s="26"/>
      <c r="P1803" s="26"/>
      <c r="Q1803" s="26"/>
      <c r="R1803" s="26"/>
    </row>
    <row r="1804" spans="9:18" x14ac:dyDescent="0.25">
      <c r="I1804" s="46"/>
      <c r="J1804" s="26"/>
      <c r="K1804" s="26"/>
      <c r="L1804" s="26"/>
      <c r="M1804" s="26"/>
      <c r="N1804" s="26"/>
      <c r="O1804" s="26"/>
      <c r="P1804" s="26"/>
      <c r="Q1804" s="26"/>
      <c r="R1804" s="26"/>
    </row>
    <row r="1805" spans="9:18" x14ac:dyDescent="0.25">
      <c r="I1805" s="46"/>
      <c r="J1805" s="26"/>
      <c r="K1805" s="26"/>
      <c r="L1805" s="26"/>
      <c r="M1805" s="26"/>
      <c r="N1805" s="26"/>
      <c r="O1805" s="26"/>
      <c r="P1805" s="26"/>
      <c r="Q1805" s="26"/>
      <c r="R1805" s="26"/>
    </row>
    <row r="1806" spans="9:18" x14ac:dyDescent="0.25">
      <c r="I1806" s="46"/>
      <c r="J1806" s="26"/>
      <c r="K1806" s="26"/>
      <c r="L1806" s="26"/>
      <c r="M1806" s="26"/>
      <c r="N1806" s="26"/>
      <c r="O1806" s="26"/>
      <c r="P1806" s="26"/>
      <c r="Q1806" s="26"/>
      <c r="R1806" s="26"/>
    </row>
    <row r="1807" spans="9:18" x14ac:dyDescent="0.25">
      <c r="I1807" s="46"/>
      <c r="J1807" s="26"/>
      <c r="K1807" s="26"/>
      <c r="L1807" s="26"/>
      <c r="M1807" s="26"/>
      <c r="N1807" s="26"/>
      <c r="O1807" s="26"/>
      <c r="P1807" s="26"/>
      <c r="Q1807" s="26"/>
      <c r="R1807" s="26"/>
    </row>
    <row r="1808" spans="9:18" x14ac:dyDescent="0.25">
      <c r="I1808" s="46"/>
      <c r="J1808" s="26"/>
      <c r="K1808" s="26"/>
      <c r="L1808" s="26"/>
      <c r="M1808" s="26"/>
      <c r="N1808" s="26"/>
      <c r="O1808" s="26"/>
      <c r="P1808" s="26"/>
      <c r="Q1808" s="26"/>
      <c r="R1808" s="26"/>
    </row>
    <row r="1809" spans="9:18" x14ac:dyDescent="0.25">
      <c r="I1809" s="46"/>
      <c r="J1809" s="26"/>
      <c r="K1809" s="26"/>
      <c r="L1809" s="26"/>
      <c r="M1809" s="26"/>
      <c r="N1809" s="26"/>
      <c r="O1809" s="26"/>
      <c r="P1809" s="26"/>
      <c r="Q1809" s="26"/>
      <c r="R1809" s="26"/>
    </row>
    <row r="1810" spans="9:18" x14ac:dyDescent="0.25">
      <c r="I1810" s="46"/>
      <c r="J1810" s="26"/>
      <c r="K1810" s="26"/>
      <c r="L1810" s="26"/>
      <c r="M1810" s="26"/>
      <c r="N1810" s="26"/>
      <c r="O1810" s="26"/>
      <c r="P1810" s="26"/>
      <c r="Q1810" s="26"/>
      <c r="R1810" s="26"/>
    </row>
    <row r="1811" spans="9:18" x14ac:dyDescent="0.25">
      <c r="I1811" s="46"/>
      <c r="J1811" s="26"/>
      <c r="K1811" s="26"/>
      <c r="L1811" s="26"/>
      <c r="M1811" s="26"/>
      <c r="N1811" s="26"/>
      <c r="O1811" s="26"/>
      <c r="P1811" s="26"/>
      <c r="Q1811" s="26"/>
      <c r="R1811" s="26"/>
    </row>
    <row r="1812" spans="9:18" x14ac:dyDescent="0.25">
      <c r="I1812" s="46"/>
      <c r="J1812" s="26"/>
      <c r="K1812" s="26"/>
      <c r="L1812" s="26"/>
      <c r="M1812" s="26"/>
      <c r="N1812" s="26"/>
      <c r="O1812" s="26"/>
      <c r="P1812" s="26"/>
      <c r="Q1812" s="26"/>
      <c r="R1812" s="26"/>
    </row>
    <row r="1813" spans="9:18" x14ac:dyDescent="0.25">
      <c r="I1813" s="46"/>
      <c r="J1813" s="26"/>
      <c r="K1813" s="26"/>
      <c r="L1813" s="26"/>
      <c r="M1813" s="26"/>
      <c r="N1813" s="26"/>
      <c r="O1813" s="26"/>
      <c r="P1813" s="26"/>
      <c r="Q1813" s="26"/>
      <c r="R1813" s="26"/>
    </row>
    <row r="1814" spans="9:18" x14ac:dyDescent="0.25">
      <c r="I1814" s="46"/>
      <c r="J1814" s="26"/>
      <c r="K1814" s="26"/>
      <c r="L1814" s="26"/>
      <c r="M1814" s="26"/>
      <c r="N1814" s="26"/>
      <c r="O1814" s="26"/>
      <c r="P1814" s="26"/>
      <c r="Q1814" s="26"/>
      <c r="R1814" s="26"/>
    </row>
    <row r="1815" spans="9:18" x14ac:dyDescent="0.25">
      <c r="I1815" s="46"/>
      <c r="J1815" s="26"/>
      <c r="K1815" s="26"/>
      <c r="L1815" s="26"/>
      <c r="M1815" s="26"/>
      <c r="N1815" s="26"/>
      <c r="O1815" s="26"/>
      <c r="P1815" s="26"/>
      <c r="Q1815" s="26"/>
      <c r="R1815" s="26"/>
    </row>
    <row r="1816" spans="9:18" x14ac:dyDescent="0.25">
      <c r="I1816" s="46"/>
      <c r="J1816" s="26"/>
      <c r="K1816" s="26"/>
      <c r="L1816" s="26"/>
      <c r="M1816" s="26"/>
      <c r="N1816" s="26"/>
      <c r="O1816" s="26"/>
      <c r="P1816" s="26"/>
      <c r="Q1816" s="26"/>
      <c r="R1816" s="26"/>
    </row>
    <row r="1817" spans="9:18" x14ac:dyDescent="0.25">
      <c r="I1817" s="46"/>
      <c r="J1817" s="26"/>
      <c r="K1817" s="26"/>
      <c r="L1817" s="26"/>
      <c r="M1817" s="26"/>
      <c r="N1817" s="26"/>
      <c r="O1817" s="26"/>
      <c r="P1817" s="26"/>
      <c r="Q1817" s="26"/>
      <c r="R1817" s="26"/>
    </row>
    <row r="1818" spans="9:18" x14ac:dyDescent="0.25">
      <c r="I1818" s="46"/>
      <c r="J1818" s="26"/>
      <c r="K1818" s="26"/>
      <c r="L1818" s="26"/>
      <c r="M1818" s="26"/>
      <c r="N1818" s="26"/>
      <c r="O1818" s="26"/>
      <c r="P1818" s="26"/>
      <c r="Q1818" s="26"/>
      <c r="R1818" s="26"/>
    </row>
    <row r="1819" spans="9:18" x14ac:dyDescent="0.25">
      <c r="I1819" s="46"/>
      <c r="J1819" s="26"/>
      <c r="K1819" s="26"/>
      <c r="L1819" s="26"/>
      <c r="M1819" s="26"/>
      <c r="N1819" s="26"/>
      <c r="O1819" s="26"/>
      <c r="P1819" s="26"/>
      <c r="Q1819" s="26"/>
      <c r="R1819" s="26"/>
    </row>
    <row r="1820" spans="9:18" x14ac:dyDescent="0.25">
      <c r="I1820" s="46"/>
      <c r="J1820" s="26"/>
      <c r="K1820" s="26"/>
      <c r="L1820" s="26"/>
      <c r="M1820" s="26"/>
      <c r="N1820" s="26"/>
      <c r="O1820" s="26"/>
      <c r="P1820" s="26"/>
      <c r="Q1820" s="26"/>
      <c r="R1820" s="26"/>
    </row>
    <row r="1821" spans="9:18" x14ac:dyDescent="0.25">
      <c r="I1821" s="46"/>
      <c r="J1821" s="26"/>
      <c r="K1821" s="26"/>
      <c r="L1821" s="26"/>
      <c r="M1821" s="26"/>
      <c r="N1821" s="26"/>
      <c r="O1821" s="26"/>
      <c r="P1821" s="26"/>
      <c r="Q1821" s="26"/>
      <c r="R1821" s="26"/>
    </row>
    <row r="1822" spans="9:18" x14ac:dyDescent="0.25">
      <c r="I1822" s="46"/>
      <c r="J1822" s="26"/>
      <c r="K1822" s="26"/>
      <c r="L1822" s="26"/>
      <c r="M1822" s="26"/>
      <c r="N1822" s="26"/>
      <c r="O1822" s="26"/>
      <c r="P1822" s="26"/>
      <c r="Q1822" s="26"/>
      <c r="R1822" s="26"/>
    </row>
    <row r="1823" spans="9:18" x14ac:dyDescent="0.25">
      <c r="I1823" s="46"/>
      <c r="J1823" s="26"/>
      <c r="K1823" s="26"/>
      <c r="L1823" s="26"/>
      <c r="M1823" s="26"/>
      <c r="N1823" s="26"/>
      <c r="O1823" s="26"/>
      <c r="P1823" s="26"/>
      <c r="Q1823" s="26"/>
      <c r="R1823" s="26"/>
    </row>
    <row r="1824" spans="9:18" x14ac:dyDescent="0.25">
      <c r="I1824" s="46"/>
      <c r="J1824" s="26"/>
      <c r="K1824" s="26"/>
      <c r="L1824" s="26"/>
      <c r="M1824" s="26"/>
      <c r="N1824" s="26"/>
      <c r="O1824" s="26"/>
      <c r="P1824" s="26"/>
      <c r="Q1824" s="26"/>
      <c r="R1824" s="26"/>
    </row>
    <row r="1825" spans="9:18" x14ac:dyDescent="0.25">
      <c r="I1825" s="46"/>
      <c r="J1825" s="26"/>
      <c r="K1825" s="26"/>
      <c r="L1825" s="26"/>
      <c r="M1825" s="26"/>
      <c r="N1825" s="26"/>
      <c r="O1825" s="26"/>
      <c r="P1825" s="26"/>
      <c r="Q1825" s="26"/>
      <c r="R1825" s="26"/>
    </row>
    <row r="1826" spans="9:18" x14ac:dyDescent="0.25">
      <c r="I1826" s="46"/>
      <c r="J1826" s="26"/>
      <c r="K1826" s="26"/>
      <c r="L1826" s="26"/>
      <c r="M1826" s="26"/>
      <c r="N1826" s="26"/>
      <c r="O1826" s="26"/>
      <c r="P1826" s="26"/>
      <c r="Q1826" s="26"/>
      <c r="R1826" s="26"/>
    </row>
    <row r="1827" spans="9:18" x14ac:dyDescent="0.25">
      <c r="I1827" s="46"/>
      <c r="J1827" s="26"/>
      <c r="K1827" s="26"/>
      <c r="L1827" s="26"/>
      <c r="M1827" s="26"/>
      <c r="N1827" s="26"/>
      <c r="O1827" s="26"/>
      <c r="P1827" s="26"/>
      <c r="Q1827" s="26"/>
      <c r="R1827" s="26"/>
    </row>
    <row r="1828" spans="9:18" x14ac:dyDescent="0.25">
      <c r="I1828" s="46"/>
      <c r="J1828" s="26"/>
      <c r="K1828" s="26"/>
      <c r="L1828" s="26"/>
      <c r="M1828" s="26"/>
      <c r="N1828" s="26"/>
      <c r="O1828" s="26"/>
      <c r="P1828" s="26"/>
      <c r="Q1828" s="26"/>
      <c r="R1828" s="26"/>
    </row>
    <row r="1829" spans="9:18" x14ac:dyDescent="0.25">
      <c r="I1829" s="46"/>
      <c r="J1829" s="26"/>
      <c r="K1829" s="26"/>
      <c r="L1829" s="26"/>
      <c r="M1829" s="26"/>
      <c r="N1829" s="26"/>
      <c r="O1829" s="26"/>
      <c r="P1829" s="26"/>
      <c r="Q1829" s="26"/>
      <c r="R1829" s="26"/>
    </row>
    <row r="1830" spans="9:18" x14ac:dyDescent="0.25">
      <c r="I1830" s="46"/>
      <c r="J1830" s="26"/>
      <c r="K1830" s="26"/>
      <c r="L1830" s="26"/>
      <c r="M1830" s="26"/>
      <c r="N1830" s="26"/>
      <c r="O1830" s="26"/>
      <c r="P1830" s="26"/>
      <c r="Q1830" s="26"/>
      <c r="R1830" s="26"/>
    </row>
    <row r="1831" spans="9:18" x14ac:dyDescent="0.25">
      <c r="I1831" s="46"/>
      <c r="J1831" s="26"/>
      <c r="K1831" s="26"/>
      <c r="L1831" s="26"/>
      <c r="M1831" s="26"/>
      <c r="N1831" s="26"/>
      <c r="O1831" s="26"/>
      <c r="P1831" s="26"/>
      <c r="Q1831" s="26"/>
      <c r="R1831" s="26"/>
    </row>
    <row r="1832" spans="9:18" x14ac:dyDescent="0.25">
      <c r="I1832" s="46"/>
      <c r="J1832" s="26"/>
      <c r="K1832" s="26"/>
      <c r="L1832" s="26"/>
      <c r="M1832" s="26"/>
      <c r="N1832" s="26"/>
      <c r="O1832" s="26"/>
      <c r="P1832" s="26"/>
      <c r="Q1832" s="26"/>
      <c r="R1832" s="26"/>
    </row>
    <row r="1833" spans="9:18" x14ac:dyDescent="0.25">
      <c r="I1833" s="46"/>
      <c r="J1833" s="26"/>
      <c r="K1833" s="26"/>
      <c r="L1833" s="26"/>
      <c r="M1833" s="26"/>
      <c r="N1833" s="26"/>
      <c r="O1833" s="26"/>
      <c r="P1833" s="26"/>
      <c r="Q1833" s="26"/>
      <c r="R1833" s="26"/>
    </row>
    <row r="1834" spans="9:18" x14ac:dyDescent="0.25">
      <c r="I1834" s="46"/>
      <c r="J1834" s="26"/>
      <c r="K1834" s="26"/>
      <c r="L1834" s="26"/>
      <c r="M1834" s="26"/>
      <c r="N1834" s="26"/>
      <c r="O1834" s="26"/>
      <c r="P1834" s="26"/>
      <c r="Q1834" s="26"/>
      <c r="R1834" s="26"/>
    </row>
    <row r="1835" spans="9:18" x14ac:dyDescent="0.25">
      <c r="I1835" s="46"/>
      <c r="J1835" s="26"/>
      <c r="K1835" s="26"/>
      <c r="L1835" s="26"/>
      <c r="M1835" s="26"/>
      <c r="N1835" s="26"/>
      <c r="O1835" s="26"/>
      <c r="P1835" s="26"/>
      <c r="Q1835" s="26"/>
      <c r="R1835" s="26"/>
    </row>
    <row r="1836" spans="9:18" x14ac:dyDescent="0.25">
      <c r="I1836" s="46"/>
      <c r="J1836" s="26"/>
      <c r="K1836" s="26"/>
      <c r="L1836" s="26"/>
      <c r="M1836" s="26"/>
      <c r="N1836" s="26"/>
      <c r="O1836" s="26"/>
      <c r="P1836" s="26"/>
      <c r="Q1836" s="26"/>
      <c r="R1836" s="26"/>
    </row>
    <row r="1837" spans="9:18" x14ac:dyDescent="0.25">
      <c r="I1837" s="46"/>
      <c r="J1837" s="26"/>
      <c r="K1837" s="26"/>
      <c r="L1837" s="26"/>
      <c r="M1837" s="26"/>
      <c r="N1837" s="26"/>
      <c r="O1837" s="26"/>
      <c r="P1837" s="26"/>
      <c r="Q1837" s="26"/>
      <c r="R1837" s="26"/>
    </row>
    <row r="1838" spans="9:18" x14ac:dyDescent="0.25">
      <c r="I1838" s="46"/>
      <c r="J1838" s="26"/>
      <c r="K1838" s="26"/>
      <c r="L1838" s="26"/>
      <c r="M1838" s="26"/>
      <c r="N1838" s="26"/>
      <c r="O1838" s="26"/>
      <c r="P1838" s="26"/>
      <c r="Q1838" s="26"/>
      <c r="R1838" s="26"/>
    </row>
    <row r="1839" spans="9:18" x14ac:dyDescent="0.25">
      <c r="I1839" s="46"/>
      <c r="J1839" s="26"/>
      <c r="K1839" s="26"/>
      <c r="L1839" s="26"/>
      <c r="M1839" s="26"/>
      <c r="N1839" s="26"/>
      <c r="O1839" s="26"/>
      <c r="P1839" s="26"/>
      <c r="Q1839" s="26"/>
      <c r="R1839" s="26"/>
    </row>
    <row r="1840" spans="9:18" x14ac:dyDescent="0.25">
      <c r="I1840" s="46"/>
      <c r="J1840" s="26"/>
      <c r="K1840" s="26"/>
      <c r="L1840" s="26"/>
      <c r="M1840" s="26"/>
      <c r="N1840" s="26"/>
      <c r="O1840" s="26"/>
      <c r="P1840" s="26"/>
      <c r="Q1840" s="26"/>
      <c r="R1840" s="26"/>
    </row>
    <row r="1841" spans="9:18" x14ac:dyDescent="0.25">
      <c r="I1841" s="46"/>
      <c r="J1841" s="26"/>
      <c r="K1841" s="26"/>
      <c r="L1841" s="26"/>
      <c r="M1841" s="26"/>
      <c r="N1841" s="26"/>
      <c r="O1841" s="26"/>
      <c r="P1841" s="26"/>
      <c r="Q1841" s="26"/>
      <c r="R1841" s="26"/>
    </row>
    <row r="1842" spans="9:18" x14ac:dyDescent="0.25">
      <c r="I1842" s="46"/>
      <c r="J1842" s="26"/>
      <c r="K1842" s="26"/>
      <c r="L1842" s="26"/>
      <c r="M1842" s="26"/>
      <c r="N1842" s="26"/>
      <c r="O1842" s="26"/>
      <c r="P1842" s="26"/>
      <c r="Q1842" s="26"/>
      <c r="R1842" s="26"/>
    </row>
    <row r="1843" spans="9:18" x14ac:dyDescent="0.25">
      <c r="I1843" s="46"/>
      <c r="J1843" s="26"/>
      <c r="K1843" s="26"/>
      <c r="L1843" s="26"/>
      <c r="M1843" s="26"/>
      <c r="N1843" s="26"/>
      <c r="O1843" s="26"/>
      <c r="P1843" s="26"/>
      <c r="Q1843" s="26"/>
      <c r="R1843" s="26"/>
    </row>
    <row r="1844" spans="9:18" x14ac:dyDescent="0.25">
      <c r="I1844" s="46"/>
      <c r="J1844" s="26"/>
      <c r="K1844" s="26"/>
      <c r="L1844" s="26"/>
      <c r="M1844" s="26"/>
      <c r="N1844" s="26"/>
      <c r="O1844" s="26"/>
      <c r="P1844" s="26"/>
      <c r="Q1844" s="26"/>
      <c r="R1844" s="26"/>
    </row>
    <row r="1845" spans="9:18" x14ac:dyDescent="0.25">
      <c r="I1845" s="46"/>
      <c r="J1845" s="26"/>
      <c r="K1845" s="26"/>
      <c r="L1845" s="26"/>
      <c r="M1845" s="26"/>
      <c r="N1845" s="26"/>
      <c r="O1845" s="26"/>
      <c r="P1845" s="26"/>
      <c r="Q1845" s="26"/>
      <c r="R1845" s="26"/>
    </row>
    <row r="1846" spans="9:18" x14ac:dyDescent="0.25">
      <c r="I1846" s="46"/>
      <c r="J1846" s="26"/>
      <c r="K1846" s="26"/>
      <c r="L1846" s="26"/>
      <c r="M1846" s="26"/>
      <c r="N1846" s="26"/>
      <c r="O1846" s="26"/>
      <c r="P1846" s="26"/>
      <c r="Q1846" s="26"/>
      <c r="R1846" s="26"/>
    </row>
    <row r="1847" spans="9:18" x14ac:dyDescent="0.25">
      <c r="I1847" s="46"/>
      <c r="J1847" s="26"/>
      <c r="K1847" s="26"/>
      <c r="L1847" s="26"/>
      <c r="M1847" s="26"/>
      <c r="N1847" s="26"/>
      <c r="O1847" s="26"/>
      <c r="P1847" s="26"/>
      <c r="Q1847" s="26"/>
      <c r="R1847" s="26"/>
    </row>
    <row r="1848" spans="9:18" x14ac:dyDescent="0.25">
      <c r="I1848" s="46"/>
      <c r="J1848" s="26"/>
      <c r="K1848" s="26"/>
      <c r="L1848" s="26"/>
      <c r="M1848" s="26"/>
      <c r="N1848" s="26"/>
      <c r="O1848" s="26"/>
      <c r="P1848" s="26"/>
      <c r="Q1848" s="26"/>
      <c r="R1848" s="26"/>
    </row>
    <row r="1849" spans="9:18" x14ac:dyDescent="0.25">
      <c r="I1849" s="46"/>
      <c r="J1849" s="26"/>
      <c r="K1849" s="26"/>
      <c r="L1849" s="26"/>
      <c r="M1849" s="26"/>
      <c r="N1849" s="26"/>
      <c r="O1849" s="26"/>
      <c r="P1849" s="26"/>
      <c r="Q1849" s="26"/>
      <c r="R1849" s="26"/>
    </row>
    <row r="1850" spans="9:18" x14ac:dyDescent="0.25">
      <c r="I1850" s="46"/>
      <c r="J1850" s="26"/>
      <c r="K1850" s="26"/>
      <c r="L1850" s="26"/>
      <c r="M1850" s="26"/>
      <c r="N1850" s="26"/>
      <c r="O1850" s="26"/>
      <c r="P1850" s="26"/>
      <c r="Q1850" s="26"/>
      <c r="R1850" s="26"/>
    </row>
    <row r="1851" spans="9:18" x14ac:dyDescent="0.25">
      <c r="I1851" s="46"/>
      <c r="J1851" s="26"/>
      <c r="K1851" s="26"/>
      <c r="L1851" s="26"/>
      <c r="M1851" s="26"/>
      <c r="N1851" s="26"/>
      <c r="O1851" s="26"/>
      <c r="P1851" s="26"/>
      <c r="Q1851" s="26"/>
      <c r="R1851" s="26"/>
    </row>
    <row r="1852" spans="9:18" x14ac:dyDescent="0.25">
      <c r="I1852" s="46"/>
      <c r="J1852" s="26"/>
      <c r="K1852" s="26"/>
      <c r="L1852" s="26"/>
      <c r="M1852" s="26"/>
      <c r="N1852" s="26"/>
      <c r="O1852" s="26"/>
      <c r="P1852" s="26"/>
      <c r="Q1852" s="26"/>
      <c r="R1852" s="26"/>
    </row>
    <row r="1853" spans="9:18" x14ac:dyDescent="0.25">
      <c r="I1853" s="46"/>
      <c r="J1853" s="26"/>
      <c r="K1853" s="26"/>
      <c r="L1853" s="26"/>
      <c r="M1853" s="26"/>
      <c r="N1853" s="26"/>
      <c r="O1853" s="26"/>
      <c r="P1853" s="26"/>
      <c r="Q1853" s="26"/>
      <c r="R1853" s="26"/>
    </row>
    <row r="1854" spans="9:18" x14ac:dyDescent="0.25">
      <c r="I1854" s="46"/>
      <c r="J1854" s="26"/>
      <c r="K1854" s="26"/>
      <c r="L1854" s="26"/>
      <c r="M1854" s="26"/>
      <c r="N1854" s="26"/>
      <c r="O1854" s="26"/>
      <c r="P1854" s="26"/>
      <c r="Q1854" s="26"/>
      <c r="R1854" s="26"/>
    </row>
    <row r="1855" spans="9:18" x14ac:dyDescent="0.25">
      <c r="I1855" s="46"/>
      <c r="J1855" s="26"/>
      <c r="K1855" s="26"/>
      <c r="L1855" s="26"/>
      <c r="M1855" s="26"/>
      <c r="N1855" s="26"/>
      <c r="O1855" s="26"/>
      <c r="P1855" s="26"/>
      <c r="Q1855" s="26"/>
      <c r="R1855" s="26"/>
    </row>
    <row r="1856" spans="9:18" x14ac:dyDescent="0.25">
      <c r="I1856" s="46"/>
      <c r="J1856" s="26"/>
      <c r="K1856" s="26"/>
      <c r="L1856" s="26"/>
      <c r="M1856" s="26"/>
      <c r="N1856" s="26"/>
      <c r="O1856" s="26"/>
      <c r="P1856" s="26"/>
      <c r="Q1856" s="26"/>
      <c r="R1856" s="26"/>
    </row>
    <row r="1857" spans="9:18" x14ac:dyDescent="0.25">
      <c r="I1857" s="46"/>
      <c r="J1857" s="26"/>
      <c r="K1857" s="26"/>
      <c r="L1857" s="26"/>
      <c r="M1857" s="26"/>
      <c r="N1857" s="26"/>
      <c r="O1857" s="26"/>
      <c r="P1857" s="26"/>
      <c r="Q1857" s="26"/>
      <c r="R1857" s="26"/>
    </row>
    <row r="1858" spans="9:18" x14ac:dyDescent="0.25">
      <c r="I1858" s="46"/>
      <c r="J1858" s="26"/>
      <c r="K1858" s="26"/>
      <c r="L1858" s="26"/>
      <c r="M1858" s="26"/>
      <c r="N1858" s="26"/>
      <c r="O1858" s="26"/>
      <c r="P1858" s="26"/>
      <c r="Q1858" s="26"/>
      <c r="R1858" s="26"/>
    </row>
    <row r="1859" spans="9:18" x14ac:dyDescent="0.25">
      <c r="I1859" s="46"/>
      <c r="J1859" s="26"/>
      <c r="K1859" s="26"/>
      <c r="L1859" s="26"/>
      <c r="M1859" s="26"/>
      <c r="N1859" s="26"/>
      <c r="O1859" s="26"/>
      <c r="P1859" s="26"/>
      <c r="Q1859" s="26"/>
      <c r="R1859" s="26"/>
    </row>
    <row r="1860" spans="9:18" x14ac:dyDescent="0.25">
      <c r="I1860" s="46"/>
      <c r="J1860" s="26"/>
      <c r="K1860" s="26"/>
      <c r="L1860" s="26"/>
      <c r="M1860" s="26"/>
      <c r="N1860" s="26"/>
      <c r="O1860" s="26"/>
      <c r="P1860" s="26"/>
      <c r="Q1860" s="26"/>
      <c r="R1860" s="26"/>
    </row>
    <row r="1861" spans="9:18" x14ac:dyDescent="0.25">
      <c r="I1861" s="46"/>
      <c r="J1861" s="26"/>
      <c r="K1861" s="26"/>
      <c r="L1861" s="26"/>
      <c r="M1861" s="26"/>
      <c r="N1861" s="26"/>
      <c r="O1861" s="26"/>
      <c r="P1861" s="26"/>
      <c r="Q1861" s="26"/>
      <c r="R1861" s="26"/>
    </row>
    <row r="1862" spans="9:18" x14ac:dyDescent="0.25">
      <c r="I1862" s="46"/>
      <c r="J1862" s="26"/>
      <c r="K1862" s="26"/>
      <c r="L1862" s="26"/>
      <c r="M1862" s="26"/>
      <c r="N1862" s="26"/>
      <c r="O1862" s="26"/>
      <c r="P1862" s="26"/>
      <c r="Q1862" s="26"/>
      <c r="R1862" s="26"/>
    </row>
    <row r="1863" spans="9:18" x14ac:dyDescent="0.25">
      <c r="I1863" s="46"/>
      <c r="J1863" s="26"/>
      <c r="K1863" s="26"/>
      <c r="L1863" s="26"/>
      <c r="M1863" s="26"/>
      <c r="N1863" s="26"/>
      <c r="O1863" s="26"/>
      <c r="P1863" s="26"/>
      <c r="Q1863" s="26"/>
      <c r="R1863" s="26"/>
    </row>
    <row r="1864" spans="9:18" x14ac:dyDescent="0.25">
      <c r="I1864" s="46"/>
      <c r="J1864" s="26"/>
      <c r="K1864" s="26"/>
      <c r="L1864" s="26"/>
      <c r="M1864" s="26"/>
      <c r="N1864" s="26"/>
      <c r="O1864" s="26"/>
      <c r="P1864" s="26"/>
      <c r="Q1864" s="26"/>
      <c r="R1864" s="26"/>
    </row>
    <row r="1865" spans="9:18" x14ac:dyDescent="0.25">
      <c r="I1865" s="46"/>
      <c r="J1865" s="26"/>
      <c r="K1865" s="26"/>
      <c r="L1865" s="26"/>
      <c r="M1865" s="26"/>
      <c r="N1865" s="26"/>
      <c r="O1865" s="26"/>
      <c r="P1865" s="26"/>
      <c r="Q1865" s="26"/>
      <c r="R1865" s="26"/>
    </row>
    <row r="1866" spans="9:18" x14ac:dyDescent="0.25">
      <c r="I1866" s="46"/>
      <c r="J1866" s="26"/>
      <c r="K1866" s="26"/>
      <c r="L1866" s="26"/>
      <c r="M1866" s="26"/>
      <c r="N1866" s="26"/>
      <c r="O1866" s="26"/>
      <c r="P1866" s="26"/>
      <c r="Q1866" s="26"/>
      <c r="R1866" s="26"/>
    </row>
    <row r="1867" spans="9:18" x14ac:dyDescent="0.25">
      <c r="I1867" s="46"/>
      <c r="J1867" s="26"/>
      <c r="K1867" s="26"/>
      <c r="L1867" s="26"/>
      <c r="M1867" s="26"/>
      <c r="N1867" s="26"/>
      <c r="O1867" s="26"/>
      <c r="P1867" s="26"/>
      <c r="Q1867" s="26"/>
      <c r="R1867" s="26"/>
    </row>
    <row r="1868" spans="9:18" x14ac:dyDescent="0.25">
      <c r="I1868" s="46"/>
      <c r="J1868" s="26"/>
      <c r="K1868" s="26"/>
      <c r="L1868" s="26"/>
      <c r="M1868" s="26"/>
      <c r="N1868" s="26"/>
      <c r="O1868" s="26"/>
      <c r="P1868" s="26"/>
      <c r="Q1868" s="26"/>
      <c r="R1868" s="26"/>
    </row>
    <row r="1869" spans="9:18" x14ac:dyDescent="0.25">
      <c r="I1869" s="46"/>
      <c r="J1869" s="26"/>
      <c r="K1869" s="26"/>
      <c r="L1869" s="26"/>
      <c r="M1869" s="26"/>
      <c r="N1869" s="26"/>
      <c r="O1869" s="26"/>
      <c r="P1869" s="26"/>
      <c r="Q1869" s="26"/>
      <c r="R1869" s="26"/>
    </row>
    <row r="1870" spans="9:18" x14ac:dyDescent="0.25">
      <c r="I1870" s="46"/>
      <c r="J1870" s="26"/>
      <c r="K1870" s="26"/>
      <c r="L1870" s="26"/>
      <c r="M1870" s="26"/>
      <c r="N1870" s="26"/>
      <c r="O1870" s="26"/>
      <c r="P1870" s="26"/>
      <c r="Q1870" s="26"/>
      <c r="R1870" s="26"/>
    </row>
    <row r="1871" spans="9:18" x14ac:dyDescent="0.25">
      <c r="I1871" s="46"/>
      <c r="J1871" s="26"/>
      <c r="K1871" s="26"/>
      <c r="L1871" s="26"/>
      <c r="M1871" s="26"/>
      <c r="N1871" s="26"/>
      <c r="O1871" s="26"/>
      <c r="P1871" s="26"/>
      <c r="Q1871" s="26"/>
      <c r="R1871" s="26"/>
    </row>
    <row r="1872" spans="9:18" x14ac:dyDescent="0.25">
      <c r="I1872" s="46"/>
      <c r="J1872" s="26"/>
      <c r="K1872" s="26"/>
      <c r="L1872" s="26"/>
      <c r="M1872" s="26"/>
      <c r="N1872" s="26"/>
      <c r="O1872" s="26"/>
      <c r="P1872" s="26"/>
      <c r="Q1872" s="26"/>
      <c r="R1872" s="26"/>
    </row>
    <row r="1873" spans="9:18" x14ac:dyDescent="0.25">
      <c r="I1873" s="46"/>
      <c r="J1873" s="26"/>
      <c r="K1873" s="26"/>
      <c r="L1873" s="26"/>
      <c r="M1873" s="26"/>
      <c r="N1873" s="26"/>
      <c r="O1873" s="26"/>
      <c r="P1873" s="26"/>
      <c r="Q1873" s="26"/>
      <c r="R1873" s="26"/>
    </row>
    <row r="1874" spans="9:18" x14ac:dyDescent="0.25">
      <c r="I1874" s="46"/>
      <c r="J1874" s="26"/>
      <c r="K1874" s="26"/>
      <c r="L1874" s="26"/>
      <c r="M1874" s="26"/>
      <c r="N1874" s="26"/>
      <c r="O1874" s="26"/>
      <c r="P1874" s="26"/>
      <c r="Q1874" s="26"/>
      <c r="R1874" s="26"/>
    </row>
    <row r="1875" spans="9:18" x14ac:dyDescent="0.25">
      <c r="I1875" s="46"/>
      <c r="J1875" s="26"/>
      <c r="K1875" s="26"/>
      <c r="L1875" s="26"/>
      <c r="M1875" s="26"/>
      <c r="N1875" s="26"/>
      <c r="O1875" s="26"/>
      <c r="P1875" s="26"/>
      <c r="Q1875" s="26"/>
      <c r="R1875" s="26"/>
    </row>
    <row r="1876" spans="9:18" x14ac:dyDescent="0.25">
      <c r="I1876" s="46"/>
      <c r="J1876" s="26"/>
      <c r="K1876" s="26"/>
      <c r="L1876" s="26"/>
      <c r="M1876" s="26"/>
      <c r="N1876" s="26"/>
      <c r="O1876" s="26"/>
      <c r="P1876" s="26"/>
      <c r="Q1876" s="26"/>
      <c r="R1876" s="26"/>
    </row>
    <row r="1877" spans="9:18" x14ac:dyDescent="0.25">
      <c r="I1877" s="46"/>
      <c r="J1877" s="26"/>
      <c r="K1877" s="26"/>
      <c r="L1877" s="26"/>
      <c r="M1877" s="26"/>
      <c r="N1877" s="26"/>
      <c r="O1877" s="26"/>
      <c r="P1877" s="26"/>
      <c r="Q1877" s="26"/>
      <c r="R1877" s="26"/>
    </row>
    <row r="1878" spans="9:18" x14ac:dyDescent="0.25">
      <c r="I1878" s="46"/>
      <c r="J1878" s="26"/>
      <c r="K1878" s="26"/>
      <c r="L1878" s="26"/>
      <c r="M1878" s="26"/>
      <c r="N1878" s="26"/>
      <c r="O1878" s="26"/>
      <c r="P1878" s="26"/>
      <c r="Q1878" s="26"/>
      <c r="R1878" s="26"/>
    </row>
    <row r="1879" spans="9:18" x14ac:dyDescent="0.25">
      <c r="I1879" s="46"/>
      <c r="J1879" s="26"/>
      <c r="K1879" s="26"/>
      <c r="L1879" s="26"/>
      <c r="M1879" s="26"/>
      <c r="N1879" s="26"/>
      <c r="O1879" s="26"/>
      <c r="P1879" s="26"/>
      <c r="Q1879" s="26"/>
      <c r="R1879" s="26"/>
    </row>
    <row r="1880" spans="9:18" x14ac:dyDescent="0.25">
      <c r="I1880" s="46"/>
      <c r="J1880" s="26"/>
      <c r="K1880" s="26"/>
      <c r="L1880" s="26"/>
      <c r="M1880" s="26"/>
      <c r="N1880" s="26"/>
      <c r="O1880" s="26"/>
      <c r="P1880" s="26"/>
      <c r="Q1880" s="26"/>
      <c r="R1880" s="26"/>
    </row>
    <row r="1881" spans="9:18" x14ac:dyDescent="0.25">
      <c r="I1881" s="46"/>
      <c r="J1881" s="26"/>
      <c r="K1881" s="26"/>
      <c r="L1881" s="26"/>
      <c r="M1881" s="26"/>
      <c r="N1881" s="26"/>
      <c r="O1881" s="26"/>
      <c r="P1881" s="26"/>
      <c r="Q1881" s="26"/>
      <c r="R1881" s="26"/>
    </row>
    <row r="1882" spans="9:18" x14ac:dyDescent="0.25">
      <c r="I1882" s="46"/>
      <c r="J1882" s="26"/>
      <c r="K1882" s="26"/>
      <c r="L1882" s="26"/>
      <c r="M1882" s="26"/>
      <c r="N1882" s="26"/>
      <c r="O1882" s="26"/>
      <c r="P1882" s="26"/>
      <c r="Q1882" s="26"/>
      <c r="R1882" s="26"/>
    </row>
    <row r="1883" spans="9:18" x14ac:dyDescent="0.25">
      <c r="I1883" s="46"/>
      <c r="J1883" s="26"/>
      <c r="K1883" s="26"/>
      <c r="L1883" s="26"/>
      <c r="M1883" s="26"/>
      <c r="N1883" s="26"/>
      <c r="O1883" s="26"/>
      <c r="P1883" s="26"/>
      <c r="Q1883" s="26"/>
      <c r="R1883" s="26"/>
    </row>
    <row r="1884" spans="9:18" x14ac:dyDescent="0.25">
      <c r="I1884" s="46"/>
      <c r="J1884" s="26"/>
      <c r="K1884" s="26"/>
      <c r="L1884" s="26"/>
      <c r="M1884" s="26"/>
      <c r="N1884" s="26"/>
      <c r="O1884" s="26"/>
      <c r="P1884" s="26"/>
      <c r="Q1884" s="26"/>
      <c r="R1884" s="26"/>
    </row>
    <row r="1885" spans="9:18" x14ac:dyDescent="0.25">
      <c r="I1885" s="46"/>
      <c r="J1885" s="26"/>
      <c r="K1885" s="26"/>
      <c r="L1885" s="26"/>
      <c r="M1885" s="26"/>
      <c r="N1885" s="26"/>
      <c r="O1885" s="26"/>
      <c r="P1885" s="26"/>
      <c r="Q1885" s="26"/>
      <c r="R1885" s="26"/>
    </row>
    <row r="1886" spans="9:18" x14ac:dyDescent="0.25">
      <c r="I1886" s="46"/>
      <c r="J1886" s="26"/>
      <c r="K1886" s="26"/>
      <c r="L1886" s="26"/>
      <c r="M1886" s="26"/>
      <c r="N1886" s="26"/>
      <c r="O1886" s="26"/>
      <c r="P1886" s="26"/>
      <c r="Q1886" s="26"/>
      <c r="R1886" s="26"/>
    </row>
    <row r="1887" spans="9:18" x14ac:dyDescent="0.25">
      <c r="I1887" s="46"/>
      <c r="J1887" s="26"/>
      <c r="K1887" s="26"/>
      <c r="L1887" s="26"/>
      <c r="M1887" s="26"/>
      <c r="N1887" s="26"/>
      <c r="O1887" s="26"/>
      <c r="P1887" s="26"/>
      <c r="Q1887" s="26"/>
      <c r="R1887" s="26"/>
    </row>
    <row r="1888" spans="9:18" x14ac:dyDescent="0.25">
      <c r="I1888" s="46"/>
      <c r="J1888" s="26"/>
      <c r="K1888" s="26"/>
      <c r="L1888" s="26"/>
      <c r="M1888" s="26"/>
      <c r="N1888" s="26"/>
      <c r="O1888" s="26"/>
      <c r="P1888" s="26"/>
      <c r="Q1888" s="26"/>
      <c r="R1888" s="26"/>
    </row>
    <row r="1889" spans="9:18" x14ac:dyDescent="0.25">
      <c r="I1889" s="46"/>
      <c r="J1889" s="26"/>
      <c r="K1889" s="26"/>
      <c r="L1889" s="26"/>
      <c r="M1889" s="26"/>
      <c r="N1889" s="26"/>
      <c r="O1889" s="26"/>
      <c r="P1889" s="26"/>
      <c r="Q1889" s="26"/>
      <c r="R1889" s="26"/>
    </row>
    <row r="1890" spans="9:18" x14ac:dyDescent="0.25">
      <c r="I1890" s="46"/>
      <c r="J1890" s="26"/>
      <c r="K1890" s="26"/>
      <c r="L1890" s="26"/>
      <c r="M1890" s="26"/>
      <c r="N1890" s="26"/>
      <c r="O1890" s="26"/>
      <c r="P1890" s="26"/>
      <c r="Q1890" s="26"/>
      <c r="R1890" s="26"/>
    </row>
    <row r="1891" spans="9:18" x14ac:dyDescent="0.25">
      <c r="I1891" s="46"/>
      <c r="J1891" s="26"/>
      <c r="K1891" s="26"/>
      <c r="L1891" s="26"/>
      <c r="M1891" s="26"/>
      <c r="N1891" s="26"/>
      <c r="O1891" s="26"/>
      <c r="P1891" s="26"/>
      <c r="Q1891" s="26"/>
      <c r="R1891" s="26"/>
    </row>
    <row r="1892" spans="9:18" x14ac:dyDescent="0.25">
      <c r="I1892" s="46"/>
      <c r="J1892" s="26"/>
      <c r="K1892" s="26"/>
      <c r="L1892" s="26"/>
      <c r="M1892" s="26"/>
      <c r="N1892" s="26"/>
      <c r="O1892" s="26"/>
      <c r="P1892" s="26"/>
      <c r="Q1892" s="26"/>
      <c r="R1892" s="26"/>
    </row>
    <row r="1893" spans="9:18" x14ac:dyDescent="0.25">
      <c r="I1893" s="46"/>
      <c r="J1893" s="26"/>
      <c r="K1893" s="26"/>
      <c r="L1893" s="26"/>
      <c r="M1893" s="26"/>
      <c r="N1893" s="26"/>
      <c r="O1893" s="26"/>
      <c r="P1893" s="26"/>
      <c r="Q1893" s="26"/>
      <c r="R1893" s="26"/>
    </row>
    <row r="1894" spans="9:18" x14ac:dyDescent="0.25">
      <c r="I1894" s="46"/>
      <c r="J1894" s="26"/>
      <c r="K1894" s="26"/>
      <c r="L1894" s="26"/>
      <c r="M1894" s="26"/>
      <c r="N1894" s="26"/>
      <c r="O1894" s="26"/>
      <c r="P1894" s="26"/>
      <c r="Q1894" s="26"/>
      <c r="R1894" s="26"/>
    </row>
    <row r="1895" spans="9:18" x14ac:dyDescent="0.25">
      <c r="I1895" s="46"/>
      <c r="J1895" s="26"/>
      <c r="K1895" s="26"/>
      <c r="L1895" s="26"/>
      <c r="M1895" s="26"/>
      <c r="N1895" s="26"/>
      <c r="O1895" s="26"/>
      <c r="P1895" s="26"/>
      <c r="Q1895" s="26"/>
      <c r="R1895" s="26"/>
    </row>
    <row r="1896" spans="9:18" x14ac:dyDescent="0.25">
      <c r="I1896" s="46"/>
      <c r="J1896" s="26"/>
      <c r="K1896" s="26"/>
      <c r="L1896" s="26"/>
      <c r="M1896" s="26"/>
      <c r="N1896" s="26"/>
      <c r="O1896" s="26"/>
      <c r="P1896" s="26"/>
      <c r="Q1896" s="26"/>
      <c r="R1896" s="26"/>
    </row>
    <row r="1897" spans="9:18" x14ac:dyDescent="0.25">
      <c r="I1897" s="46"/>
      <c r="J1897" s="26"/>
      <c r="K1897" s="26"/>
      <c r="L1897" s="26"/>
      <c r="M1897" s="26"/>
      <c r="N1897" s="26"/>
      <c r="O1897" s="26"/>
      <c r="P1897" s="26"/>
      <c r="Q1897" s="26"/>
      <c r="R1897" s="26"/>
    </row>
    <row r="1898" spans="9:18" x14ac:dyDescent="0.25">
      <c r="I1898" s="46"/>
      <c r="J1898" s="26"/>
      <c r="K1898" s="26"/>
      <c r="L1898" s="26"/>
      <c r="M1898" s="26"/>
      <c r="N1898" s="26"/>
      <c r="O1898" s="26"/>
      <c r="P1898" s="26"/>
      <c r="Q1898" s="26"/>
      <c r="R1898" s="26"/>
    </row>
    <row r="1899" spans="9:18" x14ac:dyDescent="0.25">
      <c r="I1899" s="46"/>
      <c r="J1899" s="26"/>
      <c r="K1899" s="26"/>
      <c r="L1899" s="26"/>
      <c r="M1899" s="26"/>
      <c r="N1899" s="26"/>
      <c r="O1899" s="26"/>
      <c r="P1899" s="26"/>
      <c r="Q1899" s="26"/>
      <c r="R1899" s="26"/>
    </row>
    <row r="1900" spans="9:18" x14ac:dyDescent="0.25">
      <c r="I1900" s="46"/>
      <c r="J1900" s="26"/>
      <c r="K1900" s="26"/>
      <c r="L1900" s="26"/>
      <c r="M1900" s="26"/>
      <c r="N1900" s="26"/>
      <c r="O1900" s="26"/>
      <c r="P1900" s="26"/>
      <c r="Q1900" s="26"/>
      <c r="R1900" s="26"/>
    </row>
    <row r="1901" spans="9:18" x14ac:dyDescent="0.25">
      <c r="I1901" s="46"/>
      <c r="J1901" s="26"/>
      <c r="K1901" s="26"/>
      <c r="L1901" s="26"/>
      <c r="M1901" s="26"/>
      <c r="N1901" s="26"/>
      <c r="O1901" s="26"/>
      <c r="P1901" s="26"/>
      <c r="Q1901" s="26"/>
      <c r="R1901" s="26"/>
    </row>
    <row r="1902" spans="9:18" x14ac:dyDescent="0.25">
      <c r="I1902" s="46"/>
      <c r="J1902" s="26"/>
      <c r="K1902" s="26"/>
      <c r="L1902" s="26"/>
      <c r="M1902" s="26"/>
      <c r="N1902" s="26"/>
      <c r="O1902" s="26"/>
      <c r="P1902" s="26"/>
      <c r="Q1902" s="26"/>
      <c r="R1902" s="26"/>
    </row>
    <row r="1903" spans="9:18" x14ac:dyDescent="0.25">
      <c r="I1903" s="46"/>
      <c r="J1903" s="26"/>
      <c r="K1903" s="26"/>
      <c r="L1903" s="26"/>
      <c r="M1903" s="26"/>
      <c r="N1903" s="26"/>
      <c r="O1903" s="26"/>
      <c r="P1903" s="26"/>
      <c r="Q1903" s="26"/>
      <c r="R1903" s="26"/>
    </row>
    <row r="1904" spans="9:18" x14ac:dyDescent="0.25">
      <c r="I1904" s="46"/>
      <c r="J1904" s="26"/>
      <c r="K1904" s="26"/>
      <c r="L1904" s="26"/>
      <c r="M1904" s="26"/>
      <c r="N1904" s="26"/>
      <c r="O1904" s="26"/>
      <c r="P1904" s="26"/>
      <c r="Q1904" s="26"/>
      <c r="R1904" s="26"/>
    </row>
    <row r="1905" spans="9:18" x14ac:dyDescent="0.25">
      <c r="I1905" s="46"/>
      <c r="J1905" s="26"/>
      <c r="K1905" s="26"/>
      <c r="L1905" s="26"/>
      <c r="M1905" s="26"/>
      <c r="N1905" s="26"/>
      <c r="O1905" s="26"/>
      <c r="P1905" s="26"/>
      <c r="Q1905" s="26"/>
      <c r="R1905" s="26"/>
    </row>
    <row r="1906" spans="9:18" x14ac:dyDescent="0.25">
      <c r="I1906" s="46"/>
      <c r="J1906" s="26"/>
      <c r="K1906" s="26"/>
      <c r="L1906" s="26"/>
      <c r="M1906" s="26"/>
      <c r="N1906" s="26"/>
      <c r="O1906" s="26"/>
      <c r="P1906" s="26"/>
      <c r="Q1906" s="26"/>
      <c r="R1906" s="26"/>
    </row>
    <row r="1907" spans="9:18" x14ac:dyDescent="0.25">
      <c r="I1907" s="46"/>
      <c r="J1907" s="26"/>
      <c r="K1907" s="26"/>
      <c r="L1907" s="26"/>
      <c r="M1907" s="26"/>
      <c r="N1907" s="26"/>
      <c r="O1907" s="26"/>
      <c r="P1907" s="26"/>
      <c r="Q1907" s="26"/>
      <c r="R1907" s="26"/>
    </row>
    <row r="1908" spans="9:18" x14ac:dyDescent="0.25">
      <c r="I1908" s="46"/>
      <c r="J1908" s="26"/>
      <c r="K1908" s="26"/>
      <c r="L1908" s="26"/>
      <c r="M1908" s="26"/>
      <c r="N1908" s="26"/>
      <c r="O1908" s="26"/>
      <c r="P1908" s="26"/>
      <c r="Q1908" s="26"/>
      <c r="R1908" s="26"/>
    </row>
    <row r="1909" spans="9:18" x14ac:dyDescent="0.25">
      <c r="I1909" s="46"/>
      <c r="J1909" s="26"/>
      <c r="K1909" s="26"/>
      <c r="L1909" s="26"/>
      <c r="M1909" s="26"/>
      <c r="N1909" s="26"/>
      <c r="O1909" s="26"/>
      <c r="P1909" s="26"/>
      <c r="Q1909" s="26"/>
      <c r="R1909" s="26"/>
    </row>
    <row r="1910" spans="9:18" x14ac:dyDescent="0.25">
      <c r="I1910" s="46"/>
      <c r="J1910" s="26"/>
      <c r="K1910" s="26"/>
      <c r="L1910" s="26"/>
      <c r="M1910" s="26"/>
      <c r="N1910" s="26"/>
      <c r="O1910" s="26"/>
      <c r="P1910" s="26"/>
      <c r="Q1910" s="26"/>
      <c r="R1910" s="26"/>
    </row>
    <row r="1911" spans="9:18" x14ac:dyDescent="0.25">
      <c r="I1911" s="46"/>
      <c r="J1911" s="26"/>
      <c r="K1911" s="26"/>
      <c r="L1911" s="26"/>
      <c r="M1911" s="26"/>
      <c r="N1911" s="26"/>
      <c r="O1911" s="26"/>
      <c r="P1911" s="26"/>
      <c r="Q1911" s="26"/>
      <c r="R1911" s="26"/>
    </row>
    <row r="1912" spans="9:18" x14ac:dyDescent="0.25">
      <c r="I1912" s="46"/>
      <c r="J1912" s="26"/>
      <c r="K1912" s="26"/>
      <c r="L1912" s="26"/>
      <c r="M1912" s="26"/>
      <c r="N1912" s="26"/>
      <c r="O1912" s="26"/>
      <c r="P1912" s="26"/>
      <c r="Q1912" s="26"/>
      <c r="R1912" s="26"/>
    </row>
    <row r="1913" spans="9:18" x14ac:dyDescent="0.25">
      <c r="I1913" s="46"/>
      <c r="J1913" s="26"/>
      <c r="K1913" s="26"/>
      <c r="L1913" s="26"/>
      <c r="M1913" s="26"/>
      <c r="N1913" s="26"/>
      <c r="O1913" s="26"/>
      <c r="P1913" s="26"/>
      <c r="Q1913" s="26"/>
      <c r="R1913" s="26"/>
    </row>
    <row r="1914" spans="9:18" x14ac:dyDescent="0.25">
      <c r="I1914" s="46"/>
      <c r="J1914" s="26"/>
      <c r="K1914" s="26"/>
      <c r="L1914" s="26"/>
      <c r="M1914" s="26"/>
      <c r="N1914" s="26"/>
      <c r="O1914" s="26"/>
      <c r="P1914" s="26"/>
      <c r="Q1914" s="26"/>
      <c r="R1914" s="26"/>
    </row>
    <row r="1915" spans="9:18" x14ac:dyDescent="0.25">
      <c r="I1915" s="46"/>
      <c r="J1915" s="26"/>
      <c r="K1915" s="26"/>
      <c r="L1915" s="26"/>
      <c r="M1915" s="26"/>
      <c r="N1915" s="26"/>
      <c r="O1915" s="26"/>
      <c r="P1915" s="26"/>
      <c r="Q1915" s="26"/>
      <c r="R1915" s="26"/>
    </row>
    <row r="1916" spans="9:18" x14ac:dyDescent="0.25">
      <c r="I1916" s="46"/>
      <c r="J1916" s="26"/>
      <c r="K1916" s="26"/>
      <c r="L1916" s="26"/>
      <c r="M1916" s="26"/>
      <c r="N1916" s="26"/>
      <c r="O1916" s="26"/>
      <c r="P1916" s="26"/>
      <c r="Q1916" s="26"/>
      <c r="R1916" s="26"/>
    </row>
    <row r="1917" spans="9:18" x14ac:dyDescent="0.25">
      <c r="I1917" s="46"/>
      <c r="J1917" s="26"/>
      <c r="K1917" s="26"/>
      <c r="L1917" s="26"/>
      <c r="M1917" s="26"/>
      <c r="N1917" s="26"/>
      <c r="O1917" s="26"/>
      <c r="P1917" s="26"/>
      <c r="Q1917" s="26"/>
      <c r="R1917" s="26"/>
    </row>
    <row r="1918" spans="9:18" x14ac:dyDescent="0.25">
      <c r="I1918" s="46"/>
      <c r="J1918" s="26"/>
      <c r="K1918" s="26"/>
      <c r="L1918" s="26"/>
      <c r="M1918" s="26"/>
      <c r="N1918" s="26"/>
      <c r="O1918" s="26"/>
      <c r="P1918" s="26"/>
      <c r="Q1918" s="26"/>
      <c r="R1918" s="26"/>
    </row>
    <row r="1919" spans="9:18" x14ac:dyDescent="0.25">
      <c r="I1919" s="46"/>
      <c r="J1919" s="26"/>
      <c r="K1919" s="26"/>
      <c r="L1919" s="26"/>
      <c r="M1919" s="26"/>
      <c r="N1919" s="26"/>
      <c r="O1919" s="26"/>
      <c r="P1919" s="26"/>
      <c r="Q1919" s="26"/>
      <c r="R1919" s="26"/>
    </row>
    <row r="1920" spans="9:18" x14ac:dyDescent="0.25">
      <c r="I1920" s="46"/>
      <c r="J1920" s="26"/>
      <c r="K1920" s="26"/>
      <c r="L1920" s="26"/>
      <c r="M1920" s="26"/>
      <c r="N1920" s="26"/>
      <c r="O1920" s="26"/>
      <c r="P1920" s="26"/>
      <c r="Q1920" s="26"/>
      <c r="R1920" s="26"/>
    </row>
    <row r="1921" spans="9:18" x14ac:dyDescent="0.25">
      <c r="I1921" s="46"/>
      <c r="J1921" s="26"/>
      <c r="K1921" s="26"/>
      <c r="L1921" s="26"/>
      <c r="M1921" s="26"/>
      <c r="N1921" s="26"/>
      <c r="O1921" s="26"/>
      <c r="P1921" s="26"/>
      <c r="Q1921" s="26"/>
      <c r="R1921" s="26"/>
    </row>
    <row r="1922" spans="9:18" x14ac:dyDescent="0.25">
      <c r="I1922" s="46"/>
      <c r="J1922" s="26"/>
      <c r="K1922" s="26"/>
      <c r="L1922" s="26"/>
      <c r="M1922" s="26"/>
      <c r="N1922" s="26"/>
      <c r="O1922" s="26"/>
      <c r="P1922" s="26"/>
      <c r="Q1922" s="26"/>
      <c r="R1922" s="26"/>
    </row>
    <row r="1923" spans="9:18" x14ac:dyDescent="0.25">
      <c r="I1923" s="46"/>
      <c r="J1923" s="26"/>
      <c r="K1923" s="26"/>
      <c r="L1923" s="26"/>
      <c r="M1923" s="26"/>
      <c r="N1923" s="26"/>
      <c r="O1923" s="26"/>
      <c r="P1923" s="26"/>
      <c r="Q1923" s="26"/>
      <c r="R1923" s="26"/>
    </row>
    <row r="1924" spans="9:18" x14ac:dyDescent="0.25">
      <c r="I1924" s="46"/>
      <c r="J1924" s="26"/>
      <c r="K1924" s="26"/>
      <c r="L1924" s="26"/>
      <c r="M1924" s="26"/>
      <c r="N1924" s="26"/>
      <c r="O1924" s="26"/>
      <c r="P1924" s="26"/>
      <c r="Q1924" s="26"/>
      <c r="R1924" s="26"/>
    </row>
    <row r="1925" spans="9:18" x14ac:dyDescent="0.25">
      <c r="I1925" s="46"/>
      <c r="J1925" s="26"/>
      <c r="K1925" s="26"/>
      <c r="L1925" s="26"/>
      <c r="M1925" s="26"/>
      <c r="N1925" s="26"/>
      <c r="O1925" s="26"/>
      <c r="P1925" s="26"/>
      <c r="Q1925" s="26"/>
      <c r="R1925" s="26"/>
    </row>
    <row r="1926" spans="9:18" x14ac:dyDescent="0.25">
      <c r="I1926" s="46"/>
      <c r="J1926" s="26"/>
      <c r="K1926" s="26"/>
      <c r="L1926" s="26"/>
      <c r="M1926" s="26"/>
      <c r="N1926" s="26"/>
      <c r="O1926" s="26"/>
      <c r="P1926" s="26"/>
      <c r="Q1926" s="26"/>
      <c r="R1926" s="26"/>
    </row>
    <row r="1927" spans="9:18" x14ac:dyDescent="0.25">
      <c r="I1927" s="46"/>
      <c r="J1927" s="26"/>
      <c r="K1927" s="26"/>
      <c r="L1927" s="26"/>
      <c r="M1927" s="26"/>
      <c r="N1927" s="26"/>
      <c r="O1927" s="26"/>
      <c r="P1927" s="26"/>
      <c r="Q1927" s="26"/>
      <c r="R1927" s="26"/>
    </row>
    <row r="1928" spans="9:18" x14ac:dyDescent="0.25">
      <c r="I1928" s="46"/>
      <c r="J1928" s="26"/>
      <c r="K1928" s="26"/>
      <c r="L1928" s="26"/>
      <c r="M1928" s="26"/>
      <c r="N1928" s="26"/>
      <c r="O1928" s="26"/>
      <c r="P1928" s="26"/>
      <c r="Q1928" s="26"/>
      <c r="R1928" s="26"/>
    </row>
    <row r="1929" spans="9:18" x14ac:dyDescent="0.25">
      <c r="I1929" s="46"/>
      <c r="J1929" s="26"/>
      <c r="K1929" s="26"/>
      <c r="L1929" s="26"/>
      <c r="M1929" s="26"/>
      <c r="N1929" s="26"/>
      <c r="O1929" s="26"/>
      <c r="P1929" s="26"/>
      <c r="Q1929" s="26"/>
      <c r="R1929" s="26"/>
    </row>
    <row r="1930" spans="9:18" x14ac:dyDescent="0.25">
      <c r="I1930" s="46"/>
      <c r="J1930" s="26"/>
      <c r="K1930" s="26"/>
      <c r="L1930" s="26"/>
      <c r="M1930" s="26"/>
      <c r="N1930" s="26"/>
      <c r="O1930" s="26"/>
      <c r="P1930" s="26"/>
      <c r="Q1930" s="26"/>
      <c r="R1930" s="26"/>
    </row>
    <row r="1931" spans="9:18" x14ac:dyDescent="0.25">
      <c r="I1931" s="46"/>
      <c r="J1931" s="26"/>
      <c r="K1931" s="26"/>
      <c r="L1931" s="26"/>
      <c r="M1931" s="26"/>
      <c r="N1931" s="26"/>
      <c r="O1931" s="26"/>
      <c r="P1931" s="26"/>
      <c r="Q1931" s="26"/>
      <c r="R1931" s="26"/>
    </row>
    <row r="1932" spans="9:18" x14ac:dyDescent="0.25">
      <c r="I1932" s="46"/>
      <c r="J1932" s="26"/>
      <c r="K1932" s="26"/>
      <c r="L1932" s="26"/>
      <c r="M1932" s="26"/>
      <c r="N1932" s="26"/>
      <c r="O1932" s="26"/>
      <c r="P1932" s="26"/>
      <c r="Q1932" s="26"/>
      <c r="R1932" s="26"/>
    </row>
    <row r="1933" spans="9:18" x14ac:dyDescent="0.25">
      <c r="I1933" s="46"/>
      <c r="J1933" s="26"/>
      <c r="K1933" s="26"/>
      <c r="L1933" s="26"/>
      <c r="M1933" s="26"/>
      <c r="N1933" s="26"/>
      <c r="O1933" s="26"/>
      <c r="P1933" s="26"/>
      <c r="Q1933" s="26"/>
      <c r="R1933" s="26"/>
    </row>
    <row r="1934" spans="9:18" x14ac:dyDescent="0.25">
      <c r="I1934" s="46"/>
      <c r="J1934" s="26"/>
      <c r="K1934" s="26"/>
      <c r="L1934" s="26"/>
      <c r="M1934" s="26"/>
      <c r="N1934" s="26"/>
      <c r="O1934" s="26"/>
      <c r="P1934" s="26"/>
      <c r="Q1934" s="26"/>
      <c r="R1934" s="26"/>
    </row>
    <row r="1935" spans="9:18" x14ac:dyDescent="0.25">
      <c r="I1935" s="46"/>
      <c r="J1935" s="26"/>
      <c r="K1935" s="26"/>
      <c r="L1935" s="26"/>
      <c r="M1935" s="26"/>
      <c r="N1935" s="26"/>
      <c r="O1935" s="26"/>
      <c r="P1935" s="26"/>
      <c r="Q1935" s="26"/>
      <c r="R1935" s="26"/>
    </row>
    <row r="1936" spans="9:18" x14ac:dyDescent="0.25">
      <c r="I1936" s="46"/>
      <c r="J1936" s="26"/>
      <c r="K1936" s="26"/>
      <c r="L1936" s="26"/>
      <c r="M1936" s="26"/>
      <c r="N1936" s="26"/>
      <c r="O1936" s="26"/>
      <c r="P1936" s="26"/>
      <c r="Q1936" s="26"/>
      <c r="R1936" s="26"/>
    </row>
    <row r="1937" spans="9:18" x14ac:dyDescent="0.25">
      <c r="I1937" s="46"/>
      <c r="J1937" s="26"/>
      <c r="K1937" s="26"/>
      <c r="L1937" s="26"/>
      <c r="M1937" s="26"/>
      <c r="N1937" s="26"/>
      <c r="O1937" s="26"/>
      <c r="P1937" s="26"/>
      <c r="Q1937" s="26"/>
      <c r="R1937" s="26"/>
    </row>
    <row r="1938" spans="9:18" x14ac:dyDescent="0.25">
      <c r="I1938" s="46"/>
      <c r="J1938" s="26"/>
      <c r="K1938" s="26"/>
      <c r="L1938" s="26"/>
      <c r="M1938" s="26"/>
      <c r="N1938" s="26"/>
      <c r="O1938" s="26"/>
      <c r="P1938" s="26"/>
      <c r="Q1938" s="26"/>
      <c r="R1938" s="26"/>
    </row>
    <row r="1939" spans="9:18" x14ac:dyDescent="0.25">
      <c r="I1939" s="46"/>
      <c r="J1939" s="26"/>
      <c r="K1939" s="26"/>
      <c r="L1939" s="26"/>
      <c r="M1939" s="26"/>
      <c r="N1939" s="26"/>
      <c r="O1939" s="26"/>
      <c r="P1939" s="26"/>
      <c r="Q1939" s="26"/>
      <c r="R1939" s="26"/>
    </row>
    <row r="1940" spans="9:18" x14ac:dyDescent="0.25">
      <c r="I1940" s="46"/>
      <c r="J1940" s="26"/>
      <c r="K1940" s="26"/>
      <c r="L1940" s="26"/>
      <c r="M1940" s="26"/>
      <c r="N1940" s="26"/>
      <c r="O1940" s="26"/>
      <c r="P1940" s="26"/>
      <c r="Q1940" s="26"/>
      <c r="R1940" s="26"/>
    </row>
    <row r="1941" spans="9:18" x14ac:dyDescent="0.25">
      <c r="I1941" s="46"/>
      <c r="J1941" s="26"/>
      <c r="K1941" s="26"/>
      <c r="L1941" s="26"/>
      <c r="M1941" s="26"/>
      <c r="N1941" s="26"/>
      <c r="O1941" s="26"/>
      <c r="P1941" s="26"/>
      <c r="Q1941" s="26"/>
      <c r="R1941" s="26"/>
    </row>
    <row r="1942" spans="9:18" x14ac:dyDescent="0.25">
      <c r="I1942" s="46"/>
      <c r="J1942" s="26"/>
      <c r="K1942" s="26"/>
      <c r="L1942" s="26"/>
      <c r="M1942" s="26"/>
      <c r="N1942" s="26"/>
      <c r="O1942" s="26"/>
      <c r="P1942" s="26"/>
      <c r="Q1942" s="26"/>
      <c r="R1942" s="26"/>
    </row>
    <row r="1943" spans="9:18" x14ac:dyDescent="0.25">
      <c r="I1943" s="46"/>
      <c r="J1943" s="26"/>
      <c r="K1943" s="26"/>
      <c r="L1943" s="26"/>
      <c r="M1943" s="26"/>
      <c r="N1943" s="26"/>
      <c r="O1943" s="26"/>
      <c r="P1943" s="26"/>
      <c r="Q1943" s="26"/>
      <c r="R1943" s="26"/>
    </row>
    <row r="1944" spans="9:18" x14ac:dyDescent="0.25">
      <c r="I1944" s="46"/>
      <c r="J1944" s="26"/>
      <c r="K1944" s="26"/>
      <c r="L1944" s="26"/>
      <c r="M1944" s="26"/>
      <c r="N1944" s="26"/>
      <c r="O1944" s="26"/>
      <c r="P1944" s="26"/>
      <c r="Q1944" s="26"/>
      <c r="R1944" s="26"/>
    </row>
    <row r="1945" spans="9:18" x14ac:dyDescent="0.25">
      <c r="I1945" s="46"/>
      <c r="J1945" s="26"/>
      <c r="K1945" s="26"/>
      <c r="L1945" s="26"/>
      <c r="M1945" s="26"/>
      <c r="N1945" s="26"/>
      <c r="O1945" s="26"/>
      <c r="P1945" s="26"/>
      <c r="Q1945" s="26"/>
      <c r="R1945" s="26"/>
    </row>
    <row r="1946" spans="9:18" x14ac:dyDescent="0.25">
      <c r="I1946" s="46"/>
      <c r="J1946" s="26"/>
      <c r="K1946" s="26"/>
      <c r="L1946" s="26"/>
      <c r="M1946" s="26"/>
      <c r="N1946" s="26"/>
      <c r="O1946" s="26"/>
      <c r="P1946" s="26"/>
      <c r="Q1946" s="26"/>
      <c r="R1946" s="26"/>
    </row>
    <row r="1947" spans="9:18" x14ac:dyDescent="0.25">
      <c r="I1947" s="46"/>
      <c r="J1947" s="26"/>
      <c r="K1947" s="26"/>
      <c r="L1947" s="26"/>
      <c r="M1947" s="26"/>
      <c r="N1947" s="26"/>
      <c r="O1947" s="26"/>
      <c r="P1947" s="26"/>
      <c r="Q1947" s="26"/>
      <c r="R1947" s="26"/>
    </row>
    <row r="1948" spans="9:18" x14ac:dyDescent="0.25">
      <c r="I1948" s="46"/>
      <c r="J1948" s="26"/>
      <c r="K1948" s="26"/>
      <c r="L1948" s="26"/>
      <c r="M1948" s="26"/>
      <c r="N1948" s="26"/>
      <c r="O1948" s="26"/>
      <c r="P1948" s="26"/>
      <c r="Q1948" s="26"/>
      <c r="R1948" s="26"/>
    </row>
    <row r="1949" spans="9:18" x14ac:dyDescent="0.25">
      <c r="I1949" s="46"/>
      <c r="J1949" s="26"/>
      <c r="K1949" s="26"/>
      <c r="L1949" s="26"/>
      <c r="M1949" s="26"/>
      <c r="N1949" s="26"/>
      <c r="O1949" s="26"/>
      <c r="P1949" s="26"/>
      <c r="Q1949" s="26"/>
      <c r="R1949" s="26"/>
    </row>
    <row r="1950" spans="9:18" x14ac:dyDescent="0.25">
      <c r="I1950" s="46"/>
      <c r="J1950" s="26"/>
      <c r="K1950" s="26"/>
      <c r="L1950" s="26"/>
      <c r="M1950" s="26"/>
      <c r="N1950" s="26"/>
      <c r="O1950" s="26"/>
      <c r="P1950" s="26"/>
      <c r="Q1950" s="26"/>
      <c r="R1950" s="26"/>
    </row>
    <row r="1951" spans="9:18" x14ac:dyDescent="0.25">
      <c r="I1951" s="46"/>
      <c r="J1951" s="26"/>
      <c r="K1951" s="26"/>
      <c r="L1951" s="26"/>
      <c r="M1951" s="26"/>
      <c r="N1951" s="26"/>
      <c r="O1951" s="26"/>
      <c r="P1951" s="26"/>
      <c r="Q1951" s="26"/>
      <c r="R1951" s="26"/>
    </row>
    <row r="1952" spans="9:18" x14ac:dyDescent="0.25">
      <c r="I1952" s="46"/>
      <c r="J1952" s="26"/>
      <c r="K1952" s="26"/>
      <c r="L1952" s="26"/>
      <c r="M1952" s="26"/>
      <c r="N1952" s="26"/>
      <c r="O1952" s="26"/>
      <c r="P1952" s="26"/>
      <c r="Q1952" s="26"/>
      <c r="R1952" s="26"/>
    </row>
    <row r="1953" spans="9:18" x14ac:dyDescent="0.25">
      <c r="I1953" s="46"/>
      <c r="J1953" s="26"/>
      <c r="K1953" s="26"/>
      <c r="L1953" s="26"/>
      <c r="M1953" s="26"/>
      <c r="N1953" s="26"/>
      <c r="O1953" s="26"/>
      <c r="P1953" s="26"/>
      <c r="Q1953" s="26"/>
      <c r="R1953" s="26"/>
    </row>
    <row r="1954" spans="9:18" x14ac:dyDescent="0.25">
      <c r="I1954" s="46"/>
      <c r="J1954" s="26"/>
      <c r="K1954" s="26"/>
      <c r="L1954" s="26"/>
      <c r="M1954" s="26"/>
      <c r="N1954" s="26"/>
      <c r="O1954" s="26"/>
      <c r="P1954" s="26"/>
      <c r="Q1954" s="26"/>
      <c r="R1954" s="26"/>
    </row>
    <row r="1955" spans="9:18" x14ac:dyDescent="0.25">
      <c r="I1955" s="46"/>
      <c r="J1955" s="26"/>
      <c r="K1955" s="26"/>
      <c r="L1955" s="26"/>
      <c r="M1955" s="26"/>
      <c r="N1955" s="26"/>
      <c r="O1955" s="26"/>
      <c r="P1955" s="26"/>
      <c r="Q1955" s="26"/>
      <c r="R1955" s="26"/>
    </row>
    <row r="1956" spans="9:18" x14ac:dyDescent="0.25">
      <c r="I1956" s="46"/>
      <c r="J1956" s="26"/>
      <c r="K1956" s="26"/>
      <c r="L1956" s="26"/>
      <c r="M1956" s="26"/>
      <c r="N1956" s="26"/>
      <c r="O1956" s="26"/>
      <c r="P1956" s="26"/>
      <c r="Q1956" s="26"/>
      <c r="R1956" s="26"/>
    </row>
    <row r="1957" spans="9:18" x14ac:dyDescent="0.25">
      <c r="I1957" s="46"/>
      <c r="J1957" s="26"/>
      <c r="K1957" s="26"/>
      <c r="L1957" s="26"/>
      <c r="M1957" s="26"/>
      <c r="N1957" s="26"/>
      <c r="O1957" s="26"/>
      <c r="P1957" s="26"/>
      <c r="Q1957" s="26"/>
      <c r="R1957" s="26"/>
    </row>
    <row r="1958" spans="9:18" x14ac:dyDescent="0.25">
      <c r="I1958" s="46"/>
      <c r="J1958" s="26"/>
      <c r="K1958" s="26"/>
      <c r="L1958" s="26"/>
      <c r="M1958" s="26"/>
      <c r="N1958" s="26"/>
      <c r="O1958" s="26"/>
      <c r="P1958" s="26"/>
      <c r="Q1958" s="26"/>
      <c r="R1958" s="26"/>
    </row>
    <row r="1959" spans="9:18" x14ac:dyDescent="0.25">
      <c r="I1959" s="46"/>
      <c r="J1959" s="26"/>
      <c r="K1959" s="26"/>
      <c r="L1959" s="26"/>
      <c r="M1959" s="26"/>
      <c r="N1959" s="26"/>
      <c r="O1959" s="26"/>
      <c r="P1959" s="26"/>
      <c r="Q1959" s="26"/>
      <c r="R1959" s="26"/>
    </row>
    <row r="1960" spans="9:18" x14ac:dyDescent="0.25">
      <c r="I1960" s="46"/>
      <c r="J1960" s="26"/>
      <c r="K1960" s="26"/>
      <c r="L1960" s="26"/>
      <c r="M1960" s="26"/>
      <c r="N1960" s="26"/>
      <c r="O1960" s="26"/>
      <c r="P1960" s="26"/>
      <c r="Q1960" s="26"/>
      <c r="R1960" s="26"/>
    </row>
    <row r="1961" spans="9:18" x14ac:dyDescent="0.25">
      <c r="I1961" s="46"/>
      <c r="J1961" s="26"/>
      <c r="K1961" s="26"/>
      <c r="L1961" s="26"/>
      <c r="M1961" s="26"/>
      <c r="N1961" s="26"/>
      <c r="O1961" s="26"/>
      <c r="P1961" s="26"/>
      <c r="Q1961" s="26"/>
      <c r="R1961" s="26"/>
    </row>
    <row r="1962" spans="9:18" x14ac:dyDescent="0.25">
      <c r="I1962" s="46"/>
      <c r="J1962" s="26"/>
      <c r="K1962" s="26"/>
      <c r="L1962" s="26"/>
      <c r="M1962" s="26"/>
      <c r="N1962" s="26"/>
      <c r="O1962" s="26"/>
      <c r="P1962" s="26"/>
      <c r="Q1962" s="26"/>
      <c r="R1962" s="26"/>
    </row>
    <row r="1963" spans="9:18" x14ac:dyDescent="0.25">
      <c r="I1963" s="46"/>
      <c r="J1963" s="26"/>
      <c r="K1963" s="26"/>
      <c r="L1963" s="26"/>
      <c r="M1963" s="26"/>
      <c r="N1963" s="26"/>
      <c r="O1963" s="26"/>
      <c r="P1963" s="26"/>
      <c r="Q1963" s="26"/>
      <c r="R1963" s="26"/>
    </row>
    <row r="1964" spans="9:18" x14ac:dyDescent="0.25">
      <c r="I1964" s="46"/>
      <c r="J1964" s="26"/>
      <c r="K1964" s="26"/>
      <c r="L1964" s="26"/>
      <c r="M1964" s="26"/>
      <c r="N1964" s="26"/>
      <c r="O1964" s="26"/>
      <c r="P1964" s="26"/>
      <c r="Q1964" s="26"/>
      <c r="R1964" s="26"/>
    </row>
    <row r="1965" spans="9:18" x14ac:dyDescent="0.25">
      <c r="I1965" s="46"/>
      <c r="J1965" s="26"/>
      <c r="K1965" s="26"/>
      <c r="L1965" s="26"/>
      <c r="M1965" s="26"/>
      <c r="N1965" s="26"/>
      <c r="O1965" s="26"/>
      <c r="P1965" s="26"/>
      <c r="Q1965" s="26"/>
      <c r="R1965" s="26"/>
    </row>
    <row r="1966" spans="9:18" x14ac:dyDescent="0.25">
      <c r="I1966" s="46"/>
      <c r="J1966" s="26"/>
      <c r="K1966" s="26"/>
      <c r="L1966" s="26"/>
      <c r="M1966" s="26"/>
      <c r="N1966" s="26"/>
      <c r="O1966" s="26"/>
      <c r="P1966" s="26"/>
      <c r="Q1966" s="26"/>
      <c r="R1966" s="26"/>
    </row>
    <row r="1967" spans="9:18" x14ac:dyDescent="0.25">
      <c r="I1967" s="46"/>
      <c r="J1967" s="26"/>
      <c r="K1967" s="26"/>
      <c r="L1967" s="26"/>
      <c r="M1967" s="26"/>
      <c r="N1967" s="26"/>
      <c r="O1967" s="26"/>
      <c r="P1967" s="26"/>
      <c r="Q1967" s="26"/>
      <c r="R1967" s="26"/>
    </row>
    <row r="1968" spans="9:18" x14ac:dyDescent="0.25">
      <c r="I1968" s="46"/>
      <c r="J1968" s="26"/>
      <c r="K1968" s="26"/>
      <c r="L1968" s="26"/>
      <c r="M1968" s="26"/>
      <c r="N1968" s="26"/>
      <c r="O1968" s="26"/>
      <c r="P1968" s="26"/>
      <c r="Q1968" s="26"/>
      <c r="R1968" s="26"/>
    </row>
    <row r="1969" spans="9:18" x14ac:dyDescent="0.25">
      <c r="I1969" s="46"/>
      <c r="J1969" s="26"/>
      <c r="K1969" s="26"/>
      <c r="L1969" s="26"/>
      <c r="M1969" s="26"/>
      <c r="N1969" s="26"/>
      <c r="O1969" s="26"/>
      <c r="P1969" s="26"/>
      <c r="Q1969" s="26"/>
      <c r="R1969" s="26"/>
    </row>
    <row r="1970" spans="9:18" x14ac:dyDescent="0.25">
      <c r="I1970" s="46"/>
      <c r="J1970" s="26"/>
      <c r="K1970" s="26"/>
      <c r="L1970" s="26"/>
      <c r="M1970" s="26"/>
      <c r="N1970" s="26"/>
      <c r="O1970" s="26"/>
      <c r="P1970" s="26"/>
      <c r="Q1970" s="26"/>
      <c r="R1970" s="26"/>
    </row>
    <row r="1971" spans="9:18" x14ac:dyDescent="0.25">
      <c r="I1971" s="46"/>
      <c r="J1971" s="26"/>
      <c r="K1971" s="26"/>
      <c r="L1971" s="26"/>
      <c r="M1971" s="26"/>
      <c r="N1971" s="26"/>
      <c r="O1971" s="26"/>
      <c r="P1971" s="26"/>
      <c r="Q1971" s="26"/>
      <c r="R1971" s="26"/>
    </row>
    <row r="1972" spans="9:18" x14ac:dyDescent="0.25">
      <c r="I1972" s="46"/>
      <c r="J1972" s="26"/>
      <c r="K1972" s="26"/>
      <c r="L1972" s="26"/>
      <c r="M1972" s="26"/>
      <c r="N1972" s="26"/>
      <c r="O1972" s="26"/>
      <c r="P1972" s="26"/>
      <c r="Q1972" s="26"/>
      <c r="R1972" s="26"/>
    </row>
    <row r="1973" spans="9:18" x14ac:dyDescent="0.25">
      <c r="I1973" s="46"/>
      <c r="J1973" s="26"/>
      <c r="K1973" s="26"/>
      <c r="L1973" s="26"/>
      <c r="M1973" s="26"/>
      <c r="N1973" s="26"/>
      <c r="O1973" s="26"/>
      <c r="P1973" s="26"/>
      <c r="Q1973" s="26"/>
      <c r="R1973" s="26"/>
    </row>
    <row r="1974" spans="9:18" x14ac:dyDescent="0.25">
      <c r="I1974" s="46"/>
      <c r="J1974" s="26"/>
      <c r="K1974" s="26"/>
      <c r="L1974" s="26"/>
      <c r="M1974" s="26"/>
      <c r="N1974" s="26"/>
      <c r="O1974" s="26"/>
      <c r="P1974" s="26"/>
      <c r="Q1974" s="26"/>
      <c r="R1974" s="26"/>
    </row>
    <row r="1975" spans="9:18" x14ac:dyDescent="0.25">
      <c r="I1975" s="46"/>
      <c r="J1975" s="26"/>
      <c r="K1975" s="26"/>
      <c r="L1975" s="26"/>
      <c r="M1975" s="26"/>
      <c r="N1975" s="26"/>
      <c r="O1975" s="26"/>
      <c r="P1975" s="26"/>
      <c r="Q1975" s="26"/>
      <c r="R1975" s="26"/>
    </row>
    <row r="1976" spans="9:18" x14ac:dyDescent="0.25">
      <c r="I1976" s="46"/>
      <c r="J1976" s="26"/>
      <c r="K1976" s="26"/>
      <c r="L1976" s="26"/>
      <c r="M1976" s="26"/>
      <c r="N1976" s="26"/>
      <c r="O1976" s="26"/>
      <c r="P1976" s="26"/>
      <c r="Q1976" s="26"/>
      <c r="R1976" s="26"/>
    </row>
    <row r="1977" spans="9:18" x14ac:dyDescent="0.25">
      <c r="I1977" s="46"/>
      <c r="J1977" s="26"/>
      <c r="K1977" s="26"/>
      <c r="L1977" s="26"/>
      <c r="M1977" s="26"/>
      <c r="N1977" s="26"/>
      <c r="O1977" s="26"/>
      <c r="P1977" s="26"/>
      <c r="Q1977" s="26"/>
      <c r="R1977" s="26"/>
    </row>
    <row r="1978" spans="9:18" x14ac:dyDescent="0.25">
      <c r="I1978" s="46"/>
      <c r="J1978" s="26"/>
      <c r="K1978" s="26"/>
      <c r="L1978" s="26"/>
      <c r="M1978" s="26"/>
      <c r="N1978" s="26"/>
      <c r="O1978" s="26"/>
      <c r="P1978" s="26"/>
      <c r="Q1978" s="26"/>
      <c r="R1978" s="26"/>
    </row>
    <row r="1979" spans="9:18" x14ac:dyDescent="0.25">
      <c r="I1979" s="46"/>
      <c r="J1979" s="26"/>
      <c r="K1979" s="26"/>
      <c r="L1979" s="26"/>
      <c r="M1979" s="26"/>
      <c r="N1979" s="26"/>
      <c r="O1979" s="26"/>
      <c r="P1979" s="26"/>
      <c r="Q1979" s="26"/>
      <c r="R1979" s="26"/>
    </row>
    <row r="1980" spans="9:18" x14ac:dyDescent="0.25">
      <c r="I1980" s="46"/>
      <c r="J1980" s="26"/>
      <c r="K1980" s="26"/>
      <c r="L1980" s="26"/>
      <c r="M1980" s="26"/>
      <c r="N1980" s="26"/>
      <c r="O1980" s="26"/>
      <c r="P1980" s="26"/>
      <c r="Q1980" s="26"/>
      <c r="R1980" s="26"/>
    </row>
    <row r="1981" spans="9:18" x14ac:dyDescent="0.25">
      <c r="I1981" s="46"/>
      <c r="J1981" s="26"/>
      <c r="K1981" s="26"/>
      <c r="L1981" s="26"/>
      <c r="M1981" s="26"/>
      <c r="N1981" s="26"/>
      <c r="O1981" s="26"/>
      <c r="P1981" s="26"/>
      <c r="Q1981" s="26"/>
      <c r="R1981" s="26"/>
    </row>
    <row r="1982" spans="9:18" x14ac:dyDescent="0.25">
      <c r="I1982" s="46"/>
      <c r="J1982" s="26"/>
      <c r="K1982" s="26"/>
      <c r="L1982" s="26"/>
      <c r="M1982" s="26"/>
      <c r="N1982" s="26"/>
      <c r="O1982" s="26"/>
      <c r="P1982" s="26"/>
      <c r="Q1982" s="26"/>
      <c r="R1982" s="26"/>
    </row>
    <row r="1983" spans="9:18" x14ac:dyDescent="0.25">
      <c r="I1983" s="46"/>
      <c r="J1983" s="26"/>
      <c r="K1983" s="26"/>
      <c r="L1983" s="26"/>
      <c r="M1983" s="26"/>
      <c r="N1983" s="26"/>
      <c r="O1983" s="26"/>
      <c r="P1983" s="26"/>
      <c r="Q1983" s="26"/>
      <c r="R1983" s="26"/>
    </row>
    <row r="1984" spans="9:18" x14ac:dyDescent="0.25">
      <c r="I1984" s="46"/>
      <c r="J1984" s="26"/>
      <c r="K1984" s="26"/>
      <c r="L1984" s="26"/>
      <c r="M1984" s="26"/>
      <c r="N1984" s="26"/>
      <c r="O1984" s="26"/>
      <c r="P1984" s="26"/>
      <c r="Q1984" s="26"/>
      <c r="R1984" s="26"/>
    </row>
    <row r="1985" spans="9:18" x14ac:dyDescent="0.25">
      <c r="I1985" s="46"/>
      <c r="J1985" s="26"/>
      <c r="K1985" s="26"/>
      <c r="L1985" s="26"/>
      <c r="M1985" s="26"/>
      <c r="N1985" s="26"/>
      <c r="O1985" s="26"/>
      <c r="P1985" s="26"/>
      <c r="Q1985" s="26"/>
      <c r="R1985" s="26"/>
    </row>
    <row r="1986" spans="9:18" x14ac:dyDescent="0.25">
      <c r="I1986" s="46"/>
      <c r="J1986" s="26"/>
      <c r="K1986" s="26"/>
      <c r="L1986" s="26"/>
      <c r="M1986" s="26"/>
      <c r="N1986" s="26"/>
      <c r="O1986" s="26"/>
      <c r="P1986" s="26"/>
      <c r="Q1986" s="26"/>
      <c r="R1986" s="26"/>
    </row>
    <row r="1987" spans="9:18" x14ac:dyDescent="0.25">
      <c r="I1987" s="46"/>
      <c r="J1987" s="26"/>
      <c r="K1987" s="26"/>
      <c r="L1987" s="26"/>
      <c r="M1987" s="26"/>
      <c r="N1987" s="26"/>
      <c r="O1987" s="26"/>
      <c r="P1987" s="26"/>
      <c r="Q1987" s="26"/>
      <c r="R1987" s="26"/>
    </row>
    <row r="1988" spans="9:18" x14ac:dyDescent="0.25">
      <c r="I1988" s="46"/>
      <c r="J1988" s="26"/>
      <c r="K1988" s="26"/>
      <c r="L1988" s="26"/>
      <c r="M1988" s="26"/>
      <c r="N1988" s="26"/>
      <c r="O1988" s="26"/>
      <c r="P1988" s="26"/>
      <c r="Q1988" s="26"/>
      <c r="R1988" s="26"/>
    </row>
    <row r="1989" spans="9:18" x14ac:dyDescent="0.25">
      <c r="I1989" s="46"/>
      <c r="J1989" s="26"/>
      <c r="K1989" s="26"/>
      <c r="L1989" s="26"/>
      <c r="M1989" s="26"/>
      <c r="N1989" s="26"/>
      <c r="O1989" s="26"/>
      <c r="P1989" s="26"/>
      <c r="Q1989" s="26"/>
      <c r="R1989" s="26"/>
    </row>
    <row r="1990" spans="9:18" x14ac:dyDescent="0.25">
      <c r="I1990" s="46"/>
      <c r="J1990" s="26"/>
      <c r="K1990" s="26"/>
      <c r="L1990" s="26"/>
      <c r="M1990" s="26"/>
      <c r="N1990" s="26"/>
      <c r="O1990" s="26"/>
      <c r="P1990" s="26"/>
      <c r="Q1990" s="26"/>
      <c r="R1990" s="26"/>
    </row>
    <row r="1991" spans="9:18" x14ac:dyDescent="0.25">
      <c r="I1991" s="46"/>
      <c r="J1991" s="26"/>
      <c r="K1991" s="26"/>
      <c r="L1991" s="26"/>
      <c r="M1991" s="26"/>
      <c r="N1991" s="26"/>
      <c r="O1991" s="26"/>
      <c r="P1991" s="26"/>
      <c r="Q1991" s="26"/>
      <c r="R1991" s="26"/>
    </row>
    <row r="1992" spans="9:18" x14ac:dyDescent="0.25">
      <c r="I1992" s="46"/>
      <c r="J1992" s="26"/>
      <c r="K1992" s="26"/>
      <c r="L1992" s="26"/>
      <c r="M1992" s="26"/>
      <c r="N1992" s="26"/>
      <c r="O1992" s="26"/>
      <c r="P1992" s="26"/>
      <c r="Q1992" s="26"/>
      <c r="R1992" s="26"/>
    </row>
    <row r="1993" spans="9:18" x14ac:dyDescent="0.25">
      <c r="I1993" s="46"/>
      <c r="J1993" s="26"/>
      <c r="K1993" s="26"/>
      <c r="L1993" s="26"/>
      <c r="M1993" s="26"/>
      <c r="N1993" s="26"/>
      <c r="O1993" s="26"/>
      <c r="P1993" s="26"/>
      <c r="Q1993" s="26"/>
      <c r="R1993" s="26"/>
    </row>
    <row r="1994" spans="9:18" x14ac:dyDescent="0.25">
      <c r="I1994" s="46"/>
      <c r="J1994" s="26"/>
      <c r="K1994" s="26"/>
      <c r="L1994" s="26"/>
      <c r="M1994" s="26"/>
      <c r="N1994" s="26"/>
      <c r="O1994" s="26"/>
      <c r="P1994" s="26"/>
      <c r="Q1994" s="26"/>
      <c r="R1994" s="26"/>
    </row>
    <row r="1995" spans="9:18" x14ac:dyDescent="0.25">
      <c r="I1995" s="46"/>
      <c r="J1995" s="26"/>
      <c r="K1995" s="26"/>
      <c r="L1995" s="26"/>
      <c r="M1995" s="26"/>
      <c r="N1995" s="26"/>
      <c r="O1995" s="26"/>
      <c r="P1995" s="26"/>
      <c r="Q1995" s="26"/>
      <c r="R1995" s="26"/>
    </row>
    <row r="1996" spans="9:18" x14ac:dyDescent="0.25">
      <c r="I1996" s="46"/>
      <c r="J1996" s="26"/>
      <c r="K1996" s="26"/>
      <c r="L1996" s="26"/>
      <c r="M1996" s="26"/>
      <c r="N1996" s="26"/>
      <c r="O1996" s="26"/>
      <c r="P1996" s="26"/>
      <c r="Q1996" s="26"/>
      <c r="R1996" s="26"/>
    </row>
    <row r="1997" spans="9:18" x14ac:dyDescent="0.25">
      <c r="I1997" s="46"/>
      <c r="J1997" s="26"/>
      <c r="K1997" s="26"/>
      <c r="L1997" s="26"/>
      <c r="M1997" s="26"/>
      <c r="N1997" s="26"/>
      <c r="O1997" s="26"/>
      <c r="P1997" s="26"/>
      <c r="Q1997" s="26"/>
      <c r="R1997" s="26"/>
    </row>
    <row r="1998" spans="9:18" x14ac:dyDescent="0.25">
      <c r="I1998" s="46"/>
      <c r="J1998" s="26"/>
      <c r="K1998" s="26"/>
      <c r="L1998" s="26"/>
      <c r="M1998" s="26"/>
      <c r="N1998" s="26"/>
      <c r="O1998" s="26"/>
      <c r="P1998" s="26"/>
      <c r="Q1998" s="26"/>
      <c r="R1998" s="26"/>
    </row>
    <row r="1999" spans="9:18" x14ac:dyDescent="0.25">
      <c r="I1999" s="46"/>
      <c r="J1999" s="26"/>
      <c r="K1999" s="26"/>
      <c r="L1999" s="26"/>
      <c r="M1999" s="26"/>
      <c r="N1999" s="26"/>
      <c r="O1999" s="26"/>
      <c r="P1999" s="26"/>
      <c r="Q1999" s="26"/>
      <c r="R1999" s="26"/>
    </row>
    <row r="2000" spans="9:18" x14ac:dyDescent="0.25">
      <c r="I2000" s="46"/>
      <c r="J2000" s="26"/>
      <c r="K2000" s="26"/>
      <c r="L2000" s="26"/>
      <c r="M2000" s="26"/>
      <c r="N2000" s="26"/>
      <c r="O2000" s="26"/>
      <c r="P2000" s="26"/>
      <c r="Q2000" s="26"/>
      <c r="R2000" s="26"/>
    </row>
    <row r="2001" spans="9:18" x14ac:dyDescent="0.25">
      <c r="I2001" s="46"/>
      <c r="J2001" s="26"/>
      <c r="K2001" s="26"/>
      <c r="L2001" s="26"/>
      <c r="M2001" s="26"/>
      <c r="N2001" s="26"/>
      <c r="O2001" s="26"/>
      <c r="P2001" s="26"/>
      <c r="Q2001" s="26"/>
      <c r="R2001" s="26"/>
    </row>
    <row r="2002" spans="9:18" x14ac:dyDescent="0.25">
      <c r="I2002" s="46"/>
      <c r="J2002" s="26"/>
      <c r="K2002" s="26"/>
      <c r="L2002" s="26"/>
      <c r="M2002" s="26"/>
      <c r="N2002" s="26"/>
      <c r="O2002" s="26"/>
      <c r="P2002" s="26"/>
      <c r="Q2002" s="26"/>
      <c r="R2002" s="26"/>
    </row>
    <row r="2003" spans="9:18" x14ac:dyDescent="0.25">
      <c r="I2003" s="46"/>
      <c r="J2003" s="26"/>
      <c r="K2003" s="26"/>
      <c r="L2003" s="26"/>
      <c r="M2003" s="26"/>
      <c r="N2003" s="26"/>
      <c r="O2003" s="26"/>
      <c r="P2003" s="26"/>
      <c r="Q2003" s="26"/>
      <c r="R2003" s="26"/>
    </row>
    <row r="2004" spans="9:18" x14ac:dyDescent="0.25">
      <c r="I2004" s="46"/>
      <c r="J2004" s="26"/>
      <c r="K2004" s="26"/>
      <c r="L2004" s="26"/>
      <c r="M2004" s="26"/>
      <c r="N2004" s="26"/>
      <c r="O2004" s="26"/>
      <c r="P2004" s="26"/>
      <c r="Q2004" s="26"/>
      <c r="R2004" s="26"/>
    </row>
    <row r="2005" spans="9:18" x14ac:dyDescent="0.25">
      <c r="I2005" s="46"/>
      <c r="J2005" s="26"/>
      <c r="K2005" s="26"/>
      <c r="L2005" s="26"/>
      <c r="M2005" s="26"/>
      <c r="N2005" s="26"/>
      <c r="O2005" s="26"/>
      <c r="P2005" s="26"/>
      <c r="Q2005" s="26"/>
      <c r="R2005" s="26"/>
    </row>
    <row r="2006" spans="9:18" x14ac:dyDescent="0.25">
      <c r="I2006" s="46"/>
      <c r="J2006" s="26"/>
      <c r="K2006" s="26"/>
      <c r="L2006" s="26"/>
      <c r="M2006" s="26"/>
      <c r="N2006" s="26"/>
      <c r="O2006" s="26"/>
      <c r="P2006" s="26"/>
      <c r="Q2006" s="26"/>
      <c r="R2006" s="26"/>
    </row>
    <row r="2007" spans="9:18" x14ac:dyDescent="0.25">
      <c r="I2007" s="46"/>
      <c r="J2007" s="26"/>
      <c r="K2007" s="26"/>
      <c r="L2007" s="26"/>
      <c r="M2007" s="26"/>
      <c r="N2007" s="26"/>
      <c r="O2007" s="26"/>
      <c r="P2007" s="26"/>
      <c r="Q2007" s="26"/>
      <c r="R2007" s="26"/>
    </row>
    <row r="2008" spans="9:18" x14ac:dyDescent="0.25">
      <c r="I2008" s="46"/>
      <c r="J2008" s="26"/>
      <c r="K2008" s="26"/>
      <c r="L2008" s="26"/>
      <c r="M2008" s="26"/>
      <c r="N2008" s="26"/>
      <c r="O2008" s="26"/>
      <c r="P2008" s="26"/>
      <c r="Q2008" s="26"/>
      <c r="R2008" s="26"/>
    </row>
    <row r="2009" spans="9:18" x14ac:dyDescent="0.25">
      <c r="I2009" s="46"/>
      <c r="J2009" s="26"/>
      <c r="K2009" s="26"/>
      <c r="L2009" s="26"/>
      <c r="M2009" s="26"/>
      <c r="N2009" s="26"/>
      <c r="O2009" s="26"/>
      <c r="P2009" s="26"/>
      <c r="Q2009" s="26"/>
      <c r="R2009" s="26"/>
    </row>
    <row r="2010" spans="9:18" x14ac:dyDescent="0.25">
      <c r="I2010" s="46"/>
      <c r="J2010" s="26"/>
      <c r="K2010" s="26"/>
      <c r="L2010" s="26"/>
      <c r="M2010" s="26"/>
      <c r="N2010" s="26"/>
      <c r="O2010" s="26"/>
      <c r="P2010" s="26"/>
      <c r="Q2010" s="26"/>
      <c r="R2010" s="26"/>
    </row>
    <row r="2011" spans="9:18" x14ac:dyDescent="0.25">
      <c r="I2011" s="46"/>
      <c r="J2011" s="26"/>
      <c r="K2011" s="26"/>
      <c r="L2011" s="26"/>
      <c r="M2011" s="26"/>
      <c r="N2011" s="26"/>
      <c r="O2011" s="26"/>
      <c r="P2011" s="26"/>
      <c r="Q2011" s="26"/>
      <c r="R2011" s="26"/>
    </row>
    <row r="2012" spans="9:18" x14ac:dyDescent="0.25">
      <c r="I2012" s="46"/>
      <c r="J2012" s="26"/>
      <c r="K2012" s="26"/>
      <c r="L2012" s="26"/>
      <c r="M2012" s="26"/>
      <c r="N2012" s="26"/>
      <c r="O2012" s="26"/>
      <c r="P2012" s="26"/>
      <c r="Q2012" s="26"/>
      <c r="R2012" s="26"/>
    </row>
    <row r="2013" spans="9:18" x14ac:dyDescent="0.25">
      <c r="I2013" s="46"/>
      <c r="J2013" s="26"/>
      <c r="K2013" s="26"/>
      <c r="L2013" s="26"/>
      <c r="M2013" s="26"/>
      <c r="N2013" s="26"/>
      <c r="O2013" s="26"/>
      <c r="P2013" s="26"/>
      <c r="Q2013" s="26"/>
      <c r="R2013" s="26"/>
    </row>
    <row r="2014" spans="9:18" x14ac:dyDescent="0.25">
      <c r="I2014" s="46"/>
      <c r="J2014" s="26"/>
      <c r="K2014" s="26"/>
      <c r="L2014" s="26"/>
      <c r="M2014" s="26"/>
      <c r="N2014" s="26"/>
      <c r="O2014" s="26"/>
      <c r="P2014" s="26"/>
      <c r="Q2014" s="26"/>
      <c r="R2014" s="26"/>
    </row>
    <row r="2015" spans="9:18" x14ac:dyDescent="0.25">
      <c r="I2015" s="46"/>
      <c r="J2015" s="26"/>
      <c r="K2015" s="26"/>
      <c r="L2015" s="26"/>
      <c r="M2015" s="26"/>
      <c r="N2015" s="26"/>
      <c r="O2015" s="26"/>
      <c r="P2015" s="26"/>
      <c r="Q2015" s="26"/>
      <c r="R2015" s="26"/>
    </row>
    <row r="2016" spans="9:18" x14ac:dyDescent="0.25">
      <c r="I2016" s="46"/>
      <c r="J2016" s="26"/>
      <c r="K2016" s="26"/>
      <c r="L2016" s="26"/>
      <c r="M2016" s="26"/>
      <c r="N2016" s="26"/>
      <c r="O2016" s="26"/>
      <c r="P2016" s="26"/>
      <c r="Q2016" s="26"/>
      <c r="R2016" s="26"/>
    </row>
    <row r="2017" spans="9:18" x14ac:dyDescent="0.25">
      <c r="I2017" s="46"/>
      <c r="J2017" s="26"/>
      <c r="K2017" s="26"/>
      <c r="L2017" s="26"/>
      <c r="M2017" s="26"/>
      <c r="N2017" s="26"/>
      <c r="O2017" s="26"/>
      <c r="P2017" s="26"/>
      <c r="Q2017" s="26"/>
      <c r="R2017" s="26"/>
    </row>
    <row r="2018" spans="9:18" x14ac:dyDescent="0.25">
      <c r="I2018" s="46"/>
      <c r="J2018" s="26"/>
      <c r="K2018" s="26"/>
      <c r="L2018" s="26"/>
      <c r="M2018" s="26"/>
      <c r="N2018" s="26"/>
      <c r="O2018" s="26"/>
      <c r="P2018" s="26"/>
      <c r="Q2018" s="26"/>
      <c r="R2018" s="26"/>
    </row>
    <row r="2019" spans="9:18" x14ac:dyDescent="0.25">
      <c r="I2019" s="46"/>
      <c r="J2019" s="26"/>
      <c r="K2019" s="26"/>
      <c r="L2019" s="26"/>
      <c r="M2019" s="26"/>
      <c r="N2019" s="26"/>
      <c r="O2019" s="26"/>
      <c r="P2019" s="26"/>
      <c r="Q2019" s="26"/>
      <c r="R2019" s="26"/>
    </row>
    <row r="2020" spans="9:18" x14ac:dyDescent="0.25">
      <c r="I2020" s="46"/>
      <c r="J2020" s="26"/>
      <c r="K2020" s="26"/>
      <c r="L2020" s="26"/>
      <c r="M2020" s="26"/>
      <c r="N2020" s="26"/>
      <c r="O2020" s="26"/>
      <c r="P2020" s="26"/>
      <c r="Q2020" s="26"/>
      <c r="R2020" s="26"/>
    </row>
    <row r="2021" spans="9:18" x14ac:dyDescent="0.25">
      <c r="I2021" s="46"/>
      <c r="J2021" s="26"/>
      <c r="K2021" s="26"/>
      <c r="L2021" s="26"/>
      <c r="M2021" s="26"/>
      <c r="N2021" s="26"/>
      <c r="O2021" s="26"/>
      <c r="P2021" s="26"/>
      <c r="Q2021" s="26"/>
      <c r="R2021" s="26"/>
    </row>
    <row r="2022" spans="9:18" x14ac:dyDescent="0.25">
      <c r="I2022" s="46"/>
      <c r="J2022" s="26"/>
      <c r="K2022" s="26"/>
      <c r="L2022" s="26"/>
      <c r="M2022" s="26"/>
      <c r="N2022" s="26"/>
      <c r="O2022" s="26"/>
      <c r="P2022" s="26"/>
      <c r="Q2022" s="26"/>
      <c r="R2022" s="26"/>
    </row>
    <row r="2023" spans="9:18" x14ac:dyDescent="0.25">
      <c r="I2023" s="46"/>
      <c r="J2023" s="26"/>
      <c r="K2023" s="26"/>
      <c r="L2023" s="26"/>
      <c r="M2023" s="26"/>
      <c r="N2023" s="26"/>
      <c r="O2023" s="26"/>
      <c r="P2023" s="26"/>
      <c r="Q2023" s="26"/>
      <c r="R2023" s="26"/>
    </row>
    <row r="2024" spans="9:18" x14ac:dyDescent="0.25">
      <c r="I2024" s="46"/>
      <c r="J2024" s="26"/>
      <c r="K2024" s="26"/>
      <c r="L2024" s="26"/>
      <c r="M2024" s="26"/>
      <c r="N2024" s="26"/>
      <c r="O2024" s="26"/>
      <c r="P2024" s="26"/>
      <c r="Q2024" s="26"/>
      <c r="R2024" s="26"/>
    </row>
    <row r="2025" spans="9:18" x14ac:dyDescent="0.25">
      <c r="I2025" s="46"/>
      <c r="J2025" s="26"/>
      <c r="K2025" s="26"/>
      <c r="L2025" s="26"/>
      <c r="M2025" s="26"/>
      <c r="N2025" s="26"/>
      <c r="O2025" s="26"/>
      <c r="P2025" s="26"/>
      <c r="Q2025" s="26"/>
      <c r="R2025" s="26"/>
    </row>
    <row r="2026" spans="9:18" x14ac:dyDescent="0.25">
      <c r="I2026" s="46"/>
      <c r="J2026" s="26"/>
      <c r="K2026" s="26"/>
      <c r="L2026" s="26"/>
      <c r="M2026" s="26"/>
      <c r="N2026" s="26"/>
      <c r="O2026" s="26"/>
      <c r="P2026" s="26"/>
      <c r="Q2026" s="26"/>
      <c r="R2026" s="26"/>
    </row>
    <row r="2027" spans="9:18" x14ac:dyDescent="0.25">
      <c r="I2027" s="46"/>
      <c r="J2027" s="26"/>
      <c r="K2027" s="26"/>
      <c r="L2027" s="26"/>
      <c r="M2027" s="26"/>
      <c r="N2027" s="26"/>
      <c r="O2027" s="26"/>
      <c r="P2027" s="26"/>
      <c r="Q2027" s="26"/>
      <c r="R2027" s="26"/>
    </row>
    <row r="2028" spans="9:18" x14ac:dyDescent="0.25">
      <c r="I2028" s="46"/>
      <c r="J2028" s="26"/>
      <c r="K2028" s="26"/>
      <c r="L2028" s="26"/>
      <c r="M2028" s="26"/>
      <c r="N2028" s="26"/>
      <c r="O2028" s="26"/>
      <c r="P2028" s="26"/>
      <c r="Q2028" s="26"/>
      <c r="R2028" s="26"/>
    </row>
    <row r="2029" spans="9:18" x14ac:dyDescent="0.25">
      <c r="I2029" s="46"/>
      <c r="J2029" s="26"/>
      <c r="K2029" s="26"/>
      <c r="L2029" s="26"/>
      <c r="M2029" s="26"/>
      <c r="N2029" s="26"/>
      <c r="O2029" s="26"/>
      <c r="P2029" s="26"/>
      <c r="Q2029" s="26"/>
      <c r="R2029" s="26"/>
    </row>
    <row r="2030" spans="9:18" x14ac:dyDescent="0.25">
      <c r="I2030" s="46"/>
      <c r="J2030" s="26"/>
      <c r="K2030" s="26"/>
      <c r="L2030" s="26"/>
      <c r="M2030" s="26"/>
      <c r="N2030" s="26"/>
      <c r="O2030" s="26"/>
      <c r="P2030" s="26"/>
      <c r="Q2030" s="26"/>
      <c r="R2030" s="26"/>
    </row>
    <row r="2031" spans="9:18" x14ac:dyDescent="0.25">
      <c r="I2031" s="46"/>
      <c r="J2031" s="26"/>
      <c r="K2031" s="26"/>
      <c r="L2031" s="26"/>
      <c r="M2031" s="26"/>
      <c r="N2031" s="26"/>
      <c r="O2031" s="26"/>
      <c r="P2031" s="26"/>
      <c r="Q2031" s="26"/>
      <c r="R2031" s="26"/>
    </row>
    <row r="2032" spans="9:18" x14ac:dyDescent="0.25">
      <c r="I2032" s="46"/>
      <c r="J2032" s="26"/>
      <c r="K2032" s="26"/>
      <c r="L2032" s="26"/>
      <c r="M2032" s="26"/>
      <c r="N2032" s="26"/>
      <c r="O2032" s="26"/>
      <c r="P2032" s="26"/>
      <c r="Q2032" s="26"/>
      <c r="R2032" s="26"/>
    </row>
    <row r="2033" spans="9:18" x14ac:dyDescent="0.25">
      <c r="I2033" s="46"/>
      <c r="J2033" s="26"/>
      <c r="K2033" s="26"/>
      <c r="L2033" s="26"/>
      <c r="M2033" s="26"/>
      <c r="N2033" s="26"/>
      <c r="O2033" s="26"/>
      <c r="P2033" s="26"/>
      <c r="Q2033" s="26"/>
      <c r="R2033" s="26"/>
    </row>
    <row r="2034" spans="9:18" x14ac:dyDescent="0.25">
      <c r="I2034" s="46"/>
      <c r="J2034" s="26"/>
      <c r="K2034" s="26"/>
      <c r="L2034" s="26"/>
      <c r="M2034" s="26"/>
      <c r="N2034" s="26"/>
      <c r="O2034" s="26"/>
      <c r="P2034" s="26"/>
      <c r="Q2034" s="26"/>
      <c r="R2034" s="26"/>
    </row>
    <row r="2035" spans="9:18" x14ac:dyDescent="0.25">
      <c r="I2035" s="46"/>
      <c r="J2035" s="26"/>
      <c r="K2035" s="26"/>
      <c r="L2035" s="26"/>
      <c r="M2035" s="26"/>
      <c r="N2035" s="26"/>
      <c r="O2035" s="26"/>
      <c r="P2035" s="26"/>
      <c r="Q2035" s="26"/>
      <c r="R2035" s="26"/>
    </row>
    <row r="2036" spans="9:18" x14ac:dyDescent="0.25">
      <c r="I2036" s="46"/>
      <c r="J2036" s="26"/>
      <c r="K2036" s="26"/>
      <c r="L2036" s="26"/>
      <c r="M2036" s="26"/>
      <c r="N2036" s="26"/>
      <c r="O2036" s="26"/>
      <c r="P2036" s="26"/>
      <c r="Q2036" s="26"/>
      <c r="R2036" s="26"/>
    </row>
    <row r="2037" spans="9:18" x14ac:dyDescent="0.25">
      <c r="I2037" s="46"/>
      <c r="J2037" s="26"/>
      <c r="K2037" s="26"/>
      <c r="L2037" s="26"/>
      <c r="M2037" s="26"/>
      <c r="N2037" s="26"/>
      <c r="O2037" s="26"/>
      <c r="P2037" s="26"/>
      <c r="Q2037" s="26"/>
      <c r="R2037" s="26"/>
    </row>
    <row r="2038" spans="9:18" x14ac:dyDescent="0.25">
      <c r="I2038" s="46"/>
      <c r="J2038" s="26"/>
      <c r="K2038" s="26"/>
      <c r="L2038" s="26"/>
      <c r="M2038" s="26"/>
      <c r="N2038" s="26"/>
      <c r="O2038" s="26"/>
      <c r="P2038" s="26"/>
      <c r="Q2038" s="26"/>
      <c r="R2038" s="26"/>
    </row>
    <row r="2039" spans="9:18" x14ac:dyDescent="0.25">
      <c r="I2039" s="46"/>
      <c r="J2039" s="26"/>
      <c r="K2039" s="26"/>
      <c r="L2039" s="26"/>
      <c r="M2039" s="26"/>
      <c r="N2039" s="26"/>
      <c r="O2039" s="26"/>
      <c r="P2039" s="26"/>
      <c r="Q2039" s="26"/>
      <c r="R2039" s="26"/>
    </row>
    <row r="2040" spans="9:18" x14ac:dyDescent="0.25">
      <c r="I2040" s="46"/>
      <c r="J2040" s="26"/>
      <c r="K2040" s="26"/>
      <c r="L2040" s="26"/>
      <c r="M2040" s="26"/>
      <c r="N2040" s="26"/>
      <c r="O2040" s="26"/>
      <c r="P2040" s="26"/>
      <c r="Q2040" s="26"/>
      <c r="R2040" s="26"/>
    </row>
    <row r="2041" spans="9:18" x14ac:dyDescent="0.25">
      <c r="I2041" s="46"/>
      <c r="J2041" s="26"/>
      <c r="K2041" s="26"/>
      <c r="L2041" s="26"/>
      <c r="M2041" s="26"/>
      <c r="N2041" s="26"/>
      <c r="O2041" s="26"/>
      <c r="P2041" s="26"/>
      <c r="Q2041" s="26"/>
      <c r="R2041" s="26"/>
    </row>
    <row r="2042" spans="9:18" x14ac:dyDescent="0.25">
      <c r="I2042" s="46"/>
      <c r="J2042" s="26"/>
      <c r="K2042" s="26"/>
      <c r="L2042" s="26"/>
      <c r="M2042" s="26"/>
      <c r="N2042" s="26"/>
      <c r="O2042" s="26"/>
      <c r="P2042" s="26"/>
      <c r="Q2042" s="26"/>
      <c r="R2042" s="26"/>
    </row>
    <row r="2043" spans="9:18" x14ac:dyDescent="0.25">
      <c r="I2043" s="46"/>
      <c r="J2043" s="26"/>
      <c r="K2043" s="26"/>
      <c r="L2043" s="26"/>
      <c r="M2043" s="26"/>
      <c r="N2043" s="26"/>
      <c r="O2043" s="26"/>
      <c r="P2043" s="26"/>
      <c r="Q2043" s="26"/>
      <c r="R2043" s="26"/>
    </row>
    <row r="2044" spans="9:18" x14ac:dyDescent="0.25">
      <c r="I2044" s="46"/>
      <c r="J2044" s="26"/>
      <c r="K2044" s="26"/>
      <c r="L2044" s="26"/>
      <c r="M2044" s="26"/>
      <c r="N2044" s="26"/>
      <c r="O2044" s="26"/>
      <c r="P2044" s="26"/>
      <c r="Q2044" s="26"/>
      <c r="R2044" s="26"/>
    </row>
    <row r="2045" spans="9:18" x14ac:dyDescent="0.25">
      <c r="I2045" s="46"/>
      <c r="J2045" s="26"/>
      <c r="K2045" s="26"/>
      <c r="L2045" s="26"/>
      <c r="M2045" s="26"/>
      <c r="N2045" s="26"/>
      <c r="O2045" s="26"/>
      <c r="P2045" s="26"/>
      <c r="Q2045" s="26"/>
      <c r="R2045" s="26"/>
    </row>
    <row r="2046" spans="9:18" x14ac:dyDescent="0.25">
      <c r="I2046" s="46"/>
      <c r="J2046" s="26"/>
      <c r="K2046" s="26"/>
      <c r="L2046" s="26"/>
      <c r="M2046" s="26"/>
      <c r="N2046" s="26"/>
      <c r="O2046" s="26"/>
      <c r="P2046" s="26"/>
      <c r="Q2046" s="26"/>
      <c r="R2046" s="26"/>
    </row>
    <row r="2047" spans="9:18" x14ac:dyDescent="0.25">
      <c r="I2047" s="46"/>
      <c r="J2047" s="26"/>
      <c r="K2047" s="26"/>
      <c r="L2047" s="26"/>
      <c r="M2047" s="26"/>
      <c r="N2047" s="26"/>
      <c r="O2047" s="26"/>
      <c r="P2047" s="26"/>
      <c r="Q2047" s="26"/>
      <c r="R2047" s="26"/>
    </row>
    <row r="2048" spans="9:18" x14ac:dyDescent="0.25">
      <c r="I2048" s="46"/>
      <c r="J2048" s="26"/>
      <c r="K2048" s="26"/>
      <c r="L2048" s="26"/>
      <c r="M2048" s="26"/>
      <c r="N2048" s="26"/>
      <c r="O2048" s="26"/>
      <c r="P2048" s="26"/>
      <c r="Q2048" s="26"/>
      <c r="R2048" s="26"/>
    </row>
    <row r="2049" spans="9:18" x14ac:dyDescent="0.25">
      <c r="I2049" s="46"/>
      <c r="J2049" s="26"/>
      <c r="K2049" s="26"/>
      <c r="L2049" s="26"/>
      <c r="M2049" s="26"/>
      <c r="N2049" s="26"/>
      <c r="O2049" s="26"/>
      <c r="P2049" s="26"/>
      <c r="Q2049" s="26"/>
      <c r="R2049" s="26"/>
    </row>
    <row r="2050" spans="9:18" x14ac:dyDescent="0.25">
      <c r="I2050" s="46"/>
      <c r="J2050" s="26"/>
      <c r="K2050" s="26"/>
      <c r="L2050" s="26"/>
      <c r="M2050" s="26"/>
      <c r="N2050" s="26"/>
      <c r="O2050" s="26"/>
      <c r="P2050" s="26"/>
      <c r="Q2050" s="26"/>
      <c r="R2050" s="26"/>
    </row>
    <row r="2051" spans="9:18" x14ac:dyDescent="0.25">
      <c r="I2051" s="46"/>
      <c r="J2051" s="26"/>
      <c r="K2051" s="26"/>
      <c r="L2051" s="26"/>
      <c r="M2051" s="26"/>
      <c r="N2051" s="26"/>
      <c r="O2051" s="26"/>
      <c r="P2051" s="26"/>
      <c r="Q2051" s="26"/>
      <c r="R2051" s="26"/>
    </row>
    <row r="2052" spans="9:18" x14ac:dyDescent="0.25">
      <c r="I2052" s="46"/>
      <c r="J2052" s="26"/>
      <c r="K2052" s="26"/>
      <c r="L2052" s="26"/>
      <c r="M2052" s="26"/>
      <c r="N2052" s="26"/>
      <c r="O2052" s="26"/>
      <c r="P2052" s="26"/>
      <c r="Q2052" s="26"/>
      <c r="R2052" s="26"/>
    </row>
    <row r="2053" spans="9:18" x14ac:dyDescent="0.25">
      <c r="I2053" s="46"/>
      <c r="J2053" s="26"/>
      <c r="K2053" s="26"/>
      <c r="L2053" s="26"/>
      <c r="M2053" s="26"/>
      <c r="N2053" s="26"/>
      <c r="O2053" s="26"/>
      <c r="P2053" s="26"/>
      <c r="Q2053" s="26"/>
      <c r="R2053" s="26"/>
    </row>
    <row r="2054" spans="9:18" x14ac:dyDescent="0.25">
      <c r="I2054" s="46"/>
      <c r="J2054" s="26"/>
      <c r="K2054" s="26"/>
      <c r="L2054" s="26"/>
      <c r="M2054" s="26"/>
      <c r="N2054" s="26"/>
      <c r="O2054" s="26"/>
      <c r="P2054" s="26"/>
      <c r="Q2054" s="26"/>
      <c r="R2054" s="26"/>
    </row>
    <row r="2055" spans="9:18" x14ac:dyDescent="0.25">
      <c r="I2055" s="46"/>
      <c r="J2055" s="26"/>
      <c r="K2055" s="26"/>
      <c r="L2055" s="26"/>
      <c r="M2055" s="26"/>
      <c r="N2055" s="26"/>
      <c r="O2055" s="26"/>
      <c r="P2055" s="26"/>
      <c r="Q2055" s="26"/>
      <c r="R2055" s="26"/>
    </row>
    <row r="2056" spans="9:18" x14ac:dyDescent="0.25">
      <c r="I2056" s="46"/>
      <c r="J2056" s="26"/>
      <c r="K2056" s="26"/>
      <c r="L2056" s="26"/>
      <c r="M2056" s="26"/>
      <c r="N2056" s="26"/>
      <c r="O2056" s="26"/>
      <c r="P2056" s="26"/>
      <c r="Q2056" s="26"/>
      <c r="R2056" s="26"/>
    </row>
    <row r="2057" spans="9:18" x14ac:dyDescent="0.25">
      <c r="I2057" s="46"/>
      <c r="J2057" s="26"/>
      <c r="K2057" s="26"/>
      <c r="L2057" s="26"/>
      <c r="M2057" s="26"/>
      <c r="N2057" s="26"/>
      <c r="O2057" s="26"/>
      <c r="P2057" s="26"/>
      <c r="Q2057" s="26"/>
      <c r="R2057" s="26"/>
    </row>
    <row r="2058" spans="9:18" x14ac:dyDescent="0.25">
      <c r="I2058" s="46"/>
      <c r="J2058" s="26"/>
      <c r="K2058" s="26"/>
      <c r="L2058" s="26"/>
      <c r="M2058" s="26"/>
      <c r="N2058" s="26"/>
      <c r="O2058" s="26"/>
      <c r="P2058" s="26"/>
      <c r="Q2058" s="26"/>
      <c r="R2058" s="26"/>
    </row>
    <row r="2059" spans="9:18" x14ac:dyDescent="0.25">
      <c r="I2059" s="46"/>
      <c r="J2059" s="26"/>
      <c r="K2059" s="26"/>
      <c r="L2059" s="26"/>
      <c r="M2059" s="26"/>
      <c r="N2059" s="26"/>
      <c r="O2059" s="26"/>
      <c r="P2059" s="26"/>
      <c r="Q2059" s="26"/>
      <c r="R2059" s="26"/>
    </row>
    <row r="2060" spans="9:18" x14ac:dyDescent="0.25">
      <c r="I2060" s="46"/>
      <c r="J2060" s="26"/>
      <c r="K2060" s="26"/>
      <c r="L2060" s="26"/>
      <c r="M2060" s="26"/>
      <c r="N2060" s="26"/>
      <c r="O2060" s="26"/>
      <c r="P2060" s="26"/>
      <c r="Q2060" s="26"/>
      <c r="R2060" s="26"/>
    </row>
    <row r="2061" spans="9:18" x14ac:dyDescent="0.25">
      <c r="I2061" s="46"/>
      <c r="J2061" s="26"/>
      <c r="K2061" s="26"/>
      <c r="L2061" s="26"/>
      <c r="M2061" s="26"/>
      <c r="N2061" s="26"/>
      <c r="O2061" s="26"/>
      <c r="P2061" s="26"/>
      <c r="Q2061" s="26"/>
      <c r="R2061" s="26"/>
    </row>
    <row r="2062" spans="9:18" x14ac:dyDescent="0.25">
      <c r="I2062" s="46"/>
      <c r="J2062" s="26"/>
      <c r="K2062" s="26"/>
      <c r="L2062" s="26"/>
      <c r="M2062" s="26"/>
      <c r="N2062" s="26"/>
      <c r="O2062" s="26"/>
      <c r="P2062" s="26"/>
      <c r="Q2062" s="26"/>
      <c r="R2062" s="26"/>
    </row>
    <row r="2063" spans="9:18" x14ac:dyDescent="0.25">
      <c r="I2063" s="46"/>
      <c r="J2063" s="26"/>
      <c r="K2063" s="26"/>
      <c r="L2063" s="26"/>
      <c r="M2063" s="26"/>
      <c r="N2063" s="26"/>
      <c r="O2063" s="26"/>
      <c r="P2063" s="26"/>
      <c r="Q2063" s="26"/>
      <c r="R2063" s="26"/>
    </row>
    <row r="2064" spans="9:18" x14ac:dyDescent="0.25">
      <c r="I2064" s="46"/>
      <c r="J2064" s="26"/>
      <c r="K2064" s="26"/>
      <c r="L2064" s="26"/>
      <c r="M2064" s="26"/>
      <c r="N2064" s="26"/>
      <c r="O2064" s="26"/>
      <c r="P2064" s="26"/>
      <c r="Q2064" s="26"/>
      <c r="R2064" s="26"/>
    </row>
    <row r="2065" spans="9:18" x14ac:dyDescent="0.25">
      <c r="I2065" s="46"/>
      <c r="J2065" s="26"/>
      <c r="K2065" s="26"/>
      <c r="L2065" s="26"/>
      <c r="M2065" s="26"/>
      <c r="N2065" s="26"/>
      <c r="O2065" s="26"/>
      <c r="P2065" s="26"/>
      <c r="Q2065" s="26"/>
      <c r="R2065" s="26"/>
    </row>
    <row r="2066" spans="9:18" x14ac:dyDescent="0.25">
      <c r="I2066" s="46"/>
      <c r="J2066" s="26"/>
      <c r="K2066" s="26"/>
      <c r="L2066" s="26"/>
      <c r="M2066" s="26"/>
      <c r="N2066" s="26"/>
      <c r="O2066" s="26"/>
      <c r="P2066" s="26"/>
      <c r="Q2066" s="26"/>
      <c r="R2066" s="26"/>
    </row>
    <row r="2067" spans="9:18" x14ac:dyDescent="0.25">
      <c r="I2067" s="46"/>
      <c r="J2067" s="26"/>
      <c r="K2067" s="26"/>
      <c r="L2067" s="26"/>
      <c r="M2067" s="26"/>
      <c r="N2067" s="26"/>
      <c r="O2067" s="26"/>
      <c r="P2067" s="26"/>
      <c r="Q2067" s="26"/>
      <c r="R2067" s="26"/>
    </row>
    <row r="2068" spans="9:18" x14ac:dyDescent="0.25">
      <c r="I2068" s="46"/>
      <c r="J2068" s="26"/>
      <c r="K2068" s="26"/>
      <c r="L2068" s="26"/>
      <c r="M2068" s="26"/>
      <c r="N2068" s="26"/>
      <c r="O2068" s="26"/>
      <c r="P2068" s="26"/>
      <c r="Q2068" s="26"/>
      <c r="R2068" s="26"/>
    </row>
    <row r="2069" spans="9:18" x14ac:dyDescent="0.25">
      <c r="I2069" s="46"/>
      <c r="J2069" s="26"/>
      <c r="K2069" s="26"/>
      <c r="L2069" s="26"/>
      <c r="M2069" s="26"/>
      <c r="N2069" s="26"/>
      <c r="O2069" s="26"/>
      <c r="P2069" s="26"/>
      <c r="Q2069" s="26"/>
      <c r="R2069" s="26"/>
    </row>
    <row r="2070" spans="9:18" x14ac:dyDescent="0.25">
      <c r="I2070" s="46"/>
      <c r="J2070" s="26"/>
      <c r="K2070" s="26"/>
      <c r="L2070" s="26"/>
      <c r="M2070" s="26"/>
      <c r="N2070" s="26"/>
      <c r="O2070" s="26"/>
      <c r="P2070" s="26"/>
      <c r="Q2070" s="26"/>
      <c r="R2070" s="26"/>
    </row>
    <row r="2071" spans="9:18" x14ac:dyDescent="0.25">
      <c r="I2071" s="46"/>
      <c r="J2071" s="26"/>
      <c r="K2071" s="26"/>
      <c r="L2071" s="26"/>
      <c r="M2071" s="26"/>
      <c r="N2071" s="26"/>
      <c r="O2071" s="26"/>
      <c r="P2071" s="26"/>
      <c r="Q2071" s="26"/>
      <c r="R2071" s="26"/>
    </row>
    <row r="2072" spans="9:18" x14ac:dyDescent="0.25">
      <c r="I2072" s="46"/>
      <c r="J2072" s="26"/>
      <c r="K2072" s="26"/>
      <c r="L2072" s="26"/>
      <c r="M2072" s="26"/>
      <c r="N2072" s="26"/>
      <c r="O2072" s="26"/>
      <c r="P2072" s="26"/>
      <c r="Q2072" s="26"/>
      <c r="R2072" s="26"/>
    </row>
    <row r="2073" spans="9:18" x14ac:dyDescent="0.25">
      <c r="I2073" s="46"/>
      <c r="J2073" s="26"/>
      <c r="K2073" s="26"/>
      <c r="L2073" s="26"/>
      <c r="M2073" s="26"/>
      <c r="N2073" s="26"/>
      <c r="O2073" s="26"/>
      <c r="P2073" s="26"/>
      <c r="Q2073" s="26"/>
      <c r="R2073" s="26"/>
    </row>
    <row r="2074" spans="9:18" x14ac:dyDescent="0.25">
      <c r="I2074" s="46"/>
      <c r="J2074" s="26"/>
      <c r="K2074" s="26"/>
      <c r="L2074" s="26"/>
      <c r="M2074" s="26"/>
      <c r="N2074" s="26"/>
      <c r="O2074" s="26"/>
      <c r="P2074" s="26"/>
      <c r="Q2074" s="26"/>
      <c r="R2074" s="26"/>
    </row>
    <row r="2075" spans="9:18" x14ac:dyDescent="0.25">
      <c r="I2075" s="46"/>
      <c r="J2075" s="26"/>
      <c r="K2075" s="26"/>
      <c r="L2075" s="26"/>
      <c r="M2075" s="26"/>
      <c r="N2075" s="26"/>
      <c r="O2075" s="26"/>
      <c r="P2075" s="26"/>
      <c r="Q2075" s="26"/>
      <c r="R2075" s="26"/>
    </row>
    <row r="2076" spans="9:18" x14ac:dyDescent="0.25">
      <c r="I2076" s="46"/>
      <c r="J2076" s="26"/>
      <c r="K2076" s="26"/>
      <c r="L2076" s="26"/>
      <c r="M2076" s="26"/>
      <c r="N2076" s="26"/>
      <c r="O2076" s="26"/>
      <c r="P2076" s="26"/>
      <c r="Q2076" s="26"/>
      <c r="R2076" s="26"/>
    </row>
    <row r="2077" spans="9:18" x14ac:dyDescent="0.25">
      <c r="I2077" s="46"/>
      <c r="J2077" s="26"/>
      <c r="K2077" s="26"/>
      <c r="L2077" s="26"/>
      <c r="M2077" s="26"/>
      <c r="N2077" s="26"/>
      <c r="O2077" s="26"/>
      <c r="P2077" s="26"/>
      <c r="Q2077" s="26"/>
      <c r="R2077" s="26"/>
    </row>
    <row r="2078" spans="9:18" x14ac:dyDescent="0.25">
      <c r="I2078" s="46"/>
      <c r="J2078" s="26"/>
      <c r="K2078" s="26"/>
      <c r="L2078" s="26"/>
      <c r="M2078" s="26"/>
      <c r="N2078" s="26"/>
      <c r="O2078" s="26"/>
      <c r="P2078" s="26"/>
      <c r="Q2078" s="26"/>
      <c r="R2078" s="26"/>
    </row>
    <row r="2079" spans="9:18" x14ac:dyDescent="0.25">
      <c r="I2079" s="46"/>
      <c r="J2079" s="26"/>
      <c r="K2079" s="26"/>
      <c r="L2079" s="26"/>
      <c r="M2079" s="26"/>
      <c r="N2079" s="26"/>
      <c r="O2079" s="26"/>
      <c r="P2079" s="26"/>
      <c r="Q2079" s="26"/>
      <c r="R2079" s="26"/>
    </row>
    <row r="2080" spans="9:18" x14ac:dyDescent="0.25">
      <c r="I2080" s="46"/>
      <c r="J2080" s="26"/>
      <c r="K2080" s="26"/>
      <c r="L2080" s="26"/>
      <c r="M2080" s="26"/>
      <c r="N2080" s="26"/>
      <c r="O2080" s="26"/>
      <c r="P2080" s="26"/>
      <c r="Q2080" s="26"/>
      <c r="R2080" s="26"/>
    </row>
    <row r="2081" spans="9:18" x14ac:dyDescent="0.25">
      <c r="I2081" s="46"/>
      <c r="J2081" s="26"/>
      <c r="K2081" s="26"/>
      <c r="L2081" s="26"/>
      <c r="M2081" s="26"/>
      <c r="N2081" s="26"/>
      <c r="O2081" s="26"/>
      <c r="P2081" s="26"/>
      <c r="Q2081" s="26"/>
      <c r="R2081" s="26"/>
    </row>
    <row r="2082" spans="9:18" x14ac:dyDescent="0.25">
      <c r="I2082" s="46"/>
      <c r="J2082" s="26"/>
      <c r="K2082" s="26"/>
      <c r="L2082" s="26"/>
      <c r="M2082" s="26"/>
      <c r="N2082" s="26"/>
      <c r="O2082" s="26"/>
      <c r="P2082" s="26"/>
      <c r="Q2082" s="26"/>
      <c r="R2082" s="26"/>
    </row>
    <row r="2083" spans="9:18" x14ac:dyDescent="0.25">
      <c r="I2083" s="46"/>
      <c r="J2083" s="26"/>
      <c r="K2083" s="26"/>
      <c r="L2083" s="26"/>
      <c r="M2083" s="26"/>
      <c r="N2083" s="26"/>
      <c r="O2083" s="26"/>
      <c r="P2083" s="26"/>
      <c r="Q2083" s="26"/>
      <c r="R2083" s="26"/>
    </row>
    <row r="2084" spans="9:18" x14ac:dyDescent="0.25">
      <c r="I2084" s="46"/>
      <c r="J2084" s="26"/>
      <c r="K2084" s="26"/>
      <c r="L2084" s="26"/>
      <c r="M2084" s="26"/>
      <c r="N2084" s="26"/>
      <c r="O2084" s="26"/>
      <c r="P2084" s="26"/>
      <c r="Q2084" s="26"/>
      <c r="R2084" s="26"/>
    </row>
    <row r="2085" spans="9:18" x14ac:dyDescent="0.25">
      <c r="I2085" s="46"/>
      <c r="J2085" s="26"/>
      <c r="K2085" s="26"/>
      <c r="L2085" s="26"/>
      <c r="M2085" s="26"/>
      <c r="N2085" s="26"/>
      <c r="O2085" s="26"/>
      <c r="P2085" s="26"/>
      <c r="Q2085" s="26"/>
      <c r="R2085" s="26"/>
    </row>
    <row r="2086" spans="9:18" x14ac:dyDescent="0.25">
      <c r="I2086" s="46"/>
      <c r="J2086" s="26"/>
      <c r="K2086" s="26"/>
      <c r="L2086" s="26"/>
      <c r="M2086" s="26"/>
      <c r="N2086" s="26"/>
      <c r="O2086" s="26"/>
      <c r="P2086" s="26"/>
      <c r="Q2086" s="26"/>
      <c r="R2086" s="26"/>
    </row>
    <row r="2087" spans="9:18" x14ac:dyDescent="0.25">
      <c r="I2087" s="46"/>
      <c r="J2087" s="26"/>
      <c r="K2087" s="26"/>
      <c r="L2087" s="26"/>
      <c r="M2087" s="26"/>
      <c r="N2087" s="26"/>
      <c r="O2087" s="26"/>
      <c r="P2087" s="26"/>
      <c r="Q2087" s="26"/>
      <c r="R2087" s="26"/>
    </row>
    <row r="2088" spans="9:18" x14ac:dyDescent="0.25">
      <c r="I2088" s="46"/>
      <c r="J2088" s="26"/>
      <c r="K2088" s="26"/>
      <c r="L2088" s="26"/>
      <c r="M2088" s="26"/>
      <c r="N2088" s="26"/>
      <c r="O2088" s="26"/>
      <c r="P2088" s="26"/>
      <c r="Q2088" s="26"/>
      <c r="R2088" s="26"/>
    </row>
    <row r="2089" spans="9:18" x14ac:dyDescent="0.25">
      <c r="I2089" s="46"/>
      <c r="J2089" s="26"/>
      <c r="K2089" s="26"/>
      <c r="L2089" s="26"/>
      <c r="M2089" s="26"/>
      <c r="N2089" s="26"/>
      <c r="O2089" s="26"/>
      <c r="P2089" s="26"/>
      <c r="Q2089" s="26"/>
      <c r="R2089" s="26"/>
    </row>
    <row r="2090" spans="9:18" x14ac:dyDescent="0.25">
      <c r="I2090" s="46"/>
      <c r="J2090" s="26"/>
      <c r="K2090" s="26"/>
      <c r="L2090" s="26"/>
      <c r="M2090" s="26"/>
      <c r="N2090" s="26"/>
      <c r="O2090" s="26"/>
      <c r="P2090" s="26"/>
      <c r="Q2090" s="26"/>
      <c r="R2090" s="26"/>
    </row>
    <row r="2091" spans="9:18" x14ac:dyDescent="0.25">
      <c r="I2091" s="46"/>
      <c r="J2091" s="26"/>
      <c r="K2091" s="26"/>
      <c r="L2091" s="26"/>
      <c r="M2091" s="26"/>
      <c r="N2091" s="26"/>
      <c r="O2091" s="26"/>
      <c r="P2091" s="26"/>
      <c r="Q2091" s="26"/>
      <c r="R2091" s="26"/>
    </row>
    <row r="2092" spans="9:18" x14ac:dyDescent="0.25">
      <c r="I2092" s="46"/>
      <c r="J2092" s="26"/>
      <c r="K2092" s="26"/>
      <c r="L2092" s="26"/>
      <c r="M2092" s="26"/>
      <c r="N2092" s="26"/>
      <c r="O2092" s="26"/>
      <c r="P2092" s="26"/>
      <c r="Q2092" s="26"/>
      <c r="R2092" s="26"/>
    </row>
    <row r="2093" spans="9:18" x14ac:dyDescent="0.25">
      <c r="I2093" s="46"/>
      <c r="J2093" s="26"/>
      <c r="K2093" s="26"/>
      <c r="L2093" s="26"/>
      <c r="M2093" s="26"/>
      <c r="N2093" s="26"/>
      <c r="O2093" s="26"/>
      <c r="P2093" s="26"/>
      <c r="Q2093" s="26"/>
      <c r="R2093" s="26"/>
    </row>
    <row r="2094" spans="9:18" x14ac:dyDescent="0.25">
      <c r="I2094" s="46"/>
      <c r="J2094" s="26"/>
      <c r="K2094" s="26"/>
      <c r="L2094" s="26"/>
      <c r="M2094" s="26"/>
      <c r="N2094" s="26"/>
      <c r="O2094" s="26"/>
      <c r="P2094" s="26"/>
      <c r="Q2094" s="26"/>
      <c r="R2094" s="26"/>
    </row>
    <row r="2095" spans="9:18" x14ac:dyDescent="0.25">
      <c r="I2095" s="46"/>
      <c r="J2095" s="26"/>
      <c r="K2095" s="26"/>
      <c r="L2095" s="26"/>
      <c r="M2095" s="26"/>
      <c r="N2095" s="26"/>
      <c r="O2095" s="26"/>
      <c r="P2095" s="26"/>
      <c r="Q2095" s="26"/>
      <c r="R2095" s="26"/>
    </row>
    <row r="2096" spans="9:18" x14ac:dyDescent="0.25">
      <c r="I2096" s="46"/>
      <c r="J2096" s="26"/>
      <c r="K2096" s="26"/>
      <c r="L2096" s="26"/>
      <c r="M2096" s="26"/>
      <c r="N2096" s="26"/>
      <c r="O2096" s="26"/>
      <c r="P2096" s="26"/>
      <c r="Q2096" s="26"/>
      <c r="R2096" s="26"/>
    </row>
    <row r="2097" spans="9:18" x14ac:dyDescent="0.25">
      <c r="I2097" s="46"/>
      <c r="J2097" s="26"/>
      <c r="K2097" s="26"/>
      <c r="L2097" s="26"/>
      <c r="M2097" s="26"/>
      <c r="N2097" s="26"/>
      <c r="O2097" s="26"/>
      <c r="P2097" s="26"/>
      <c r="Q2097" s="26"/>
      <c r="R2097" s="26"/>
    </row>
    <row r="2098" spans="9:18" x14ac:dyDescent="0.25">
      <c r="I2098" s="46"/>
      <c r="J2098" s="26"/>
      <c r="K2098" s="26"/>
      <c r="L2098" s="26"/>
      <c r="M2098" s="26"/>
      <c r="N2098" s="26"/>
      <c r="O2098" s="26"/>
      <c r="P2098" s="26"/>
      <c r="Q2098" s="26"/>
      <c r="R2098" s="26"/>
    </row>
    <row r="2099" spans="9:18" x14ac:dyDescent="0.25">
      <c r="I2099" s="46"/>
      <c r="J2099" s="26"/>
      <c r="K2099" s="26"/>
      <c r="L2099" s="26"/>
      <c r="M2099" s="26"/>
      <c r="N2099" s="26"/>
      <c r="O2099" s="26"/>
      <c r="P2099" s="26"/>
      <c r="Q2099" s="26"/>
      <c r="R2099" s="26"/>
    </row>
    <row r="2100" spans="9:18" x14ac:dyDescent="0.25">
      <c r="I2100" s="46"/>
      <c r="J2100" s="26"/>
      <c r="K2100" s="26"/>
      <c r="L2100" s="26"/>
      <c r="M2100" s="26"/>
      <c r="N2100" s="26"/>
      <c r="O2100" s="26"/>
      <c r="P2100" s="26"/>
      <c r="Q2100" s="26"/>
      <c r="R2100" s="26"/>
    </row>
    <row r="2101" spans="9:18" x14ac:dyDescent="0.25">
      <c r="I2101" s="46"/>
      <c r="J2101" s="26"/>
      <c r="K2101" s="26"/>
      <c r="L2101" s="26"/>
      <c r="M2101" s="26"/>
      <c r="N2101" s="26"/>
      <c r="O2101" s="26"/>
      <c r="P2101" s="26"/>
      <c r="Q2101" s="26"/>
      <c r="R2101" s="26"/>
    </row>
    <row r="2102" spans="9:18" x14ac:dyDescent="0.25">
      <c r="I2102" s="46"/>
      <c r="J2102" s="26"/>
      <c r="K2102" s="26"/>
      <c r="L2102" s="26"/>
      <c r="M2102" s="26"/>
      <c r="N2102" s="26"/>
      <c r="O2102" s="26"/>
      <c r="P2102" s="26"/>
      <c r="Q2102" s="26"/>
      <c r="R2102" s="26"/>
    </row>
    <row r="2103" spans="9:18" x14ac:dyDescent="0.25">
      <c r="I2103" s="46"/>
      <c r="J2103" s="26"/>
      <c r="K2103" s="26"/>
      <c r="L2103" s="26"/>
      <c r="M2103" s="26"/>
      <c r="N2103" s="26"/>
      <c r="O2103" s="26"/>
      <c r="P2103" s="26"/>
      <c r="Q2103" s="26"/>
      <c r="R2103" s="26"/>
    </row>
    <row r="2104" spans="9:18" x14ac:dyDescent="0.25">
      <c r="I2104" s="46"/>
      <c r="J2104" s="26"/>
      <c r="K2104" s="26"/>
      <c r="L2104" s="26"/>
      <c r="M2104" s="26"/>
      <c r="N2104" s="26"/>
      <c r="O2104" s="26"/>
      <c r="P2104" s="26"/>
      <c r="Q2104" s="26"/>
      <c r="R2104" s="26"/>
    </row>
    <row r="2105" spans="9:18" x14ac:dyDescent="0.25">
      <c r="I2105" s="46"/>
      <c r="J2105" s="26"/>
      <c r="K2105" s="26"/>
      <c r="L2105" s="26"/>
      <c r="M2105" s="26"/>
      <c r="N2105" s="26"/>
      <c r="O2105" s="26"/>
      <c r="P2105" s="26"/>
      <c r="Q2105" s="26"/>
      <c r="R2105" s="26"/>
    </row>
    <row r="2106" spans="9:18" x14ac:dyDescent="0.25">
      <c r="I2106" s="46"/>
      <c r="J2106" s="26"/>
      <c r="K2106" s="26"/>
      <c r="L2106" s="26"/>
      <c r="M2106" s="26"/>
      <c r="N2106" s="26"/>
      <c r="O2106" s="26"/>
      <c r="P2106" s="26"/>
      <c r="Q2106" s="26"/>
      <c r="R2106" s="26"/>
    </row>
    <row r="2107" spans="9:18" x14ac:dyDescent="0.25">
      <c r="I2107" s="46"/>
      <c r="J2107" s="26"/>
      <c r="K2107" s="26"/>
      <c r="L2107" s="26"/>
      <c r="M2107" s="26"/>
      <c r="N2107" s="26"/>
      <c r="O2107" s="26"/>
      <c r="P2107" s="26"/>
      <c r="Q2107" s="26"/>
      <c r="R2107" s="26"/>
    </row>
    <row r="2108" spans="9:18" x14ac:dyDescent="0.25">
      <c r="I2108" s="46"/>
      <c r="J2108" s="26"/>
      <c r="K2108" s="26"/>
      <c r="L2108" s="26"/>
      <c r="M2108" s="26"/>
      <c r="N2108" s="26"/>
      <c r="O2108" s="26"/>
      <c r="P2108" s="26"/>
      <c r="Q2108" s="26"/>
      <c r="R2108" s="26"/>
    </row>
    <row r="2109" spans="9:18" x14ac:dyDescent="0.25">
      <c r="I2109" s="46"/>
      <c r="J2109" s="26"/>
      <c r="K2109" s="26"/>
      <c r="L2109" s="26"/>
      <c r="M2109" s="26"/>
      <c r="N2109" s="26"/>
      <c r="O2109" s="26"/>
      <c r="P2109" s="26"/>
      <c r="Q2109" s="26"/>
      <c r="R2109" s="26"/>
    </row>
    <row r="2110" spans="9:18" x14ac:dyDescent="0.25">
      <c r="I2110" s="46"/>
      <c r="J2110" s="26"/>
      <c r="K2110" s="26"/>
      <c r="L2110" s="26"/>
      <c r="M2110" s="26"/>
      <c r="N2110" s="26"/>
      <c r="O2110" s="26"/>
      <c r="P2110" s="26"/>
      <c r="Q2110" s="26"/>
      <c r="R2110" s="26"/>
    </row>
    <row r="2111" spans="9:18" x14ac:dyDescent="0.25">
      <c r="I2111" s="46"/>
      <c r="J2111" s="26"/>
      <c r="K2111" s="26"/>
      <c r="L2111" s="26"/>
      <c r="M2111" s="26"/>
      <c r="N2111" s="26"/>
      <c r="O2111" s="26"/>
      <c r="P2111" s="26"/>
      <c r="Q2111" s="26"/>
      <c r="R2111" s="26"/>
    </row>
    <row r="2112" spans="9:18" x14ac:dyDescent="0.25">
      <c r="I2112" s="46"/>
      <c r="J2112" s="26"/>
      <c r="K2112" s="26"/>
      <c r="L2112" s="26"/>
      <c r="M2112" s="26"/>
      <c r="N2112" s="26"/>
      <c r="O2112" s="26"/>
      <c r="P2112" s="26"/>
      <c r="Q2112" s="26"/>
      <c r="R2112" s="26"/>
    </row>
    <row r="2113" spans="9:18" x14ac:dyDescent="0.25">
      <c r="I2113" s="46"/>
      <c r="J2113" s="26"/>
      <c r="K2113" s="26"/>
      <c r="L2113" s="26"/>
      <c r="M2113" s="26"/>
      <c r="N2113" s="26"/>
      <c r="O2113" s="26"/>
      <c r="P2113" s="26"/>
      <c r="Q2113" s="26"/>
      <c r="R2113" s="26"/>
    </row>
    <row r="2114" spans="9:18" x14ac:dyDescent="0.25">
      <c r="I2114" s="46"/>
      <c r="J2114" s="26"/>
      <c r="K2114" s="26"/>
      <c r="L2114" s="26"/>
      <c r="M2114" s="26"/>
      <c r="N2114" s="26"/>
      <c r="O2114" s="26"/>
      <c r="P2114" s="26"/>
      <c r="Q2114" s="26"/>
      <c r="R2114" s="26"/>
    </row>
    <row r="2115" spans="9:18" x14ac:dyDescent="0.25">
      <c r="I2115" s="46"/>
      <c r="J2115" s="26"/>
      <c r="K2115" s="26"/>
      <c r="L2115" s="26"/>
      <c r="M2115" s="26"/>
      <c r="N2115" s="26"/>
      <c r="O2115" s="26"/>
      <c r="P2115" s="26"/>
      <c r="Q2115" s="26"/>
      <c r="R2115" s="26"/>
    </row>
    <row r="2116" spans="9:18" x14ac:dyDescent="0.25">
      <c r="I2116" s="46"/>
      <c r="J2116" s="26"/>
      <c r="K2116" s="26"/>
      <c r="L2116" s="26"/>
      <c r="M2116" s="26"/>
      <c r="N2116" s="26"/>
      <c r="O2116" s="26"/>
      <c r="P2116" s="26"/>
      <c r="Q2116" s="26"/>
      <c r="R2116" s="26"/>
    </row>
    <row r="2117" spans="9:18" x14ac:dyDescent="0.25">
      <c r="I2117" s="46"/>
      <c r="J2117" s="26"/>
      <c r="K2117" s="26"/>
      <c r="L2117" s="26"/>
      <c r="M2117" s="26"/>
      <c r="N2117" s="26"/>
      <c r="O2117" s="26"/>
      <c r="P2117" s="26"/>
      <c r="Q2117" s="26"/>
      <c r="R2117" s="26"/>
    </row>
    <row r="2118" spans="9:18" x14ac:dyDescent="0.25">
      <c r="I2118" s="46"/>
      <c r="J2118" s="26"/>
      <c r="K2118" s="26"/>
      <c r="L2118" s="26"/>
      <c r="M2118" s="26"/>
      <c r="N2118" s="26"/>
      <c r="O2118" s="26"/>
      <c r="P2118" s="26"/>
      <c r="Q2118" s="26"/>
      <c r="R2118" s="26"/>
    </row>
    <row r="2119" spans="9:18" x14ac:dyDescent="0.25">
      <c r="I2119" s="46"/>
      <c r="J2119" s="26"/>
      <c r="K2119" s="26"/>
      <c r="L2119" s="26"/>
      <c r="M2119" s="26"/>
      <c r="N2119" s="26"/>
      <c r="O2119" s="26"/>
      <c r="P2119" s="26"/>
      <c r="Q2119" s="26"/>
      <c r="R2119" s="26"/>
    </row>
    <row r="2120" spans="9:18" x14ac:dyDescent="0.25">
      <c r="I2120" s="46"/>
      <c r="J2120" s="26"/>
      <c r="K2120" s="26"/>
      <c r="L2120" s="26"/>
      <c r="M2120" s="26"/>
      <c r="N2120" s="26"/>
      <c r="O2120" s="26"/>
      <c r="P2120" s="26"/>
      <c r="Q2120" s="26"/>
      <c r="R2120" s="26"/>
    </row>
    <row r="2121" spans="9:18" x14ac:dyDescent="0.25">
      <c r="I2121" s="46"/>
      <c r="J2121" s="26"/>
      <c r="K2121" s="26"/>
      <c r="L2121" s="26"/>
      <c r="M2121" s="26"/>
      <c r="N2121" s="26"/>
      <c r="O2121" s="26"/>
      <c r="P2121" s="26"/>
      <c r="Q2121" s="26"/>
      <c r="R2121" s="26"/>
    </row>
    <row r="2122" spans="9:18" x14ac:dyDescent="0.25">
      <c r="I2122" s="46"/>
      <c r="J2122" s="26"/>
      <c r="K2122" s="26"/>
      <c r="L2122" s="26"/>
      <c r="M2122" s="26"/>
      <c r="N2122" s="26"/>
      <c r="O2122" s="26"/>
      <c r="P2122" s="26"/>
      <c r="Q2122" s="26"/>
      <c r="R2122" s="26"/>
    </row>
    <row r="2123" spans="9:18" x14ac:dyDescent="0.25">
      <c r="I2123" s="46"/>
      <c r="J2123" s="26"/>
      <c r="K2123" s="26"/>
      <c r="L2123" s="26"/>
      <c r="M2123" s="26"/>
      <c r="N2123" s="26"/>
      <c r="O2123" s="26"/>
      <c r="P2123" s="26"/>
      <c r="Q2123" s="26"/>
      <c r="R2123" s="26"/>
    </row>
    <row r="2124" spans="9:18" x14ac:dyDescent="0.25">
      <c r="I2124" s="46"/>
      <c r="J2124" s="26"/>
      <c r="K2124" s="26"/>
      <c r="L2124" s="26"/>
      <c r="M2124" s="26"/>
      <c r="N2124" s="26"/>
      <c r="O2124" s="26"/>
      <c r="P2124" s="26"/>
      <c r="Q2124" s="26"/>
      <c r="R2124" s="26"/>
    </row>
    <row r="2125" spans="9:18" x14ac:dyDescent="0.25">
      <c r="I2125" s="46"/>
      <c r="J2125" s="26"/>
      <c r="K2125" s="26"/>
      <c r="L2125" s="26"/>
      <c r="M2125" s="26"/>
      <c r="N2125" s="26"/>
      <c r="O2125" s="26"/>
      <c r="P2125" s="26"/>
      <c r="Q2125" s="26"/>
      <c r="R2125" s="26"/>
    </row>
    <row r="2126" spans="9:18" x14ac:dyDescent="0.25">
      <c r="I2126" s="46"/>
      <c r="J2126" s="26"/>
      <c r="K2126" s="26"/>
      <c r="L2126" s="26"/>
      <c r="M2126" s="26"/>
      <c r="N2126" s="26"/>
      <c r="O2126" s="26"/>
      <c r="P2126" s="26"/>
      <c r="Q2126" s="26"/>
      <c r="R2126" s="26"/>
    </row>
    <row r="2127" spans="9:18" x14ac:dyDescent="0.25">
      <c r="I2127" s="46"/>
      <c r="J2127" s="26"/>
      <c r="K2127" s="26"/>
      <c r="L2127" s="26"/>
      <c r="M2127" s="26"/>
      <c r="N2127" s="26"/>
      <c r="O2127" s="26"/>
      <c r="P2127" s="26"/>
      <c r="Q2127" s="26"/>
      <c r="R2127" s="26"/>
    </row>
    <row r="2128" spans="9:18" x14ac:dyDescent="0.25">
      <c r="I2128" s="46"/>
      <c r="J2128" s="26"/>
      <c r="K2128" s="26"/>
      <c r="L2128" s="26"/>
      <c r="M2128" s="26"/>
      <c r="N2128" s="26"/>
      <c r="O2128" s="26"/>
      <c r="P2128" s="26"/>
      <c r="Q2128" s="26"/>
      <c r="R2128" s="26"/>
    </row>
    <row r="2129" spans="9:18" x14ac:dyDescent="0.25">
      <c r="I2129" s="46"/>
      <c r="J2129" s="26"/>
      <c r="K2129" s="26"/>
      <c r="L2129" s="26"/>
      <c r="M2129" s="26"/>
      <c r="N2129" s="26"/>
      <c r="O2129" s="26"/>
      <c r="P2129" s="26"/>
      <c r="Q2129" s="26"/>
      <c r="R2129" s="26"/>
    </row>
    <row r="2130" spans="9:18" x14ac:dyDescent="0.25">
      <c r="I2130" s="46"/>
      <c r="J2130" s="26"/>
      <c r="K2130" s="26"/>
      <c r="L2130" s="26"/>
      <c r="M2130" s="26"/>
      <c r="N2130" s="26"/>
      <c r="O2130" s="26"/>
      <c r="P2130" s="26"/>
      <c r="Q2130" s="26"/>
      <c r="R2130" s="26"/>
    </row>
    <row r="2131" spans="9:18" x14ac:dyDescent="0.25">
      <c r="I2131" s="46"/>
      <c r="J2131" s="26"/>
      <c r="K2131" s="26"/>
      <c r="L2131" s="26"/>
      <c r="M2131" s="26"/>
      <c r="N2131" s="26"/>
      <c r="O2131" s="26"/>
      <c r="P2131" s="26"/>
      <c r="Q2131" s="26"/>
      <c r="R2131" s="26"/>
    </row>
    <row r="2132" spans="9:18" x14ac:dyDescent="0.25">
      <c r="I2132" s="46"/>
      <c r="J2132" s="26"/>
      <c r="K2132" s="26"/>
      <c r="L2132" s="26"/>
      <c r="M2132" s="26"/>
      <c r="N2132" s="26"/>
      <c r="O2132" s="26"/>
      <c r="P2132" s="26"/>
      <c r="Q2132" s="26"/>
      <c r="R2132" s="26"/>
    </row>
    <row r="2133" spans="9:18" x14ac:dyDescent="0.25">
      <c r="I2133" s="46"/>
      <c r="J2133" s="26"/>
      <c r="K2133" s="26"/>
      <c r="L2133" s="26"/>
      <c r="M2133" s="26"/>
      <c r="N2133" s="26"/>
      <c r="O2133" s="26"/>
      <c r="P2133" s="26"/>
      <c r="Q2133" s="26"/>
      <c r="R2133" s="26"/>
    </row>
    <row r="2134" spans="9:18" x14ac:dyDescent="0.25">
      <c r="I2134" s="46"/>
      <c r="J2134" s="26"/>
      <c r="K2134" s="26"/>
      <c r="L2134" s="26"/>
      <c r="M2134" s="26"/>
      <c r="N2134" s="26"/>
      <c r="O2134" s="26"/>
      <c r="P2134" s="26"/>
      <c r="Q2134" s="26"/>
      <c r="R2134" s="26"/>
    </row>
    <row r="2135" spans="9:18" x14ac:dyDescent="0.25">
      <c r="I2135" s="46"/>
      <c r="J2135" s="26"/>
      <c r="K2135" s="26"/>
      <c r="L2135" s="26"/>
      <c r="M2135" s="26"/>
      <c r="N2135" s="26"/>
      <c r="O2135" s="26"/>
      <c r="P2135" s="26"/>
      <c r="Q2135" s="26"/>
      <c r="R2135" s="26"/>
    </row>
    <row r="2136" spans="9:18" x14ac:dyDescent="0.25">
      <c r="I2136" s="46"/>
      <c r="J2136" s="26"/>
      <c r="K2136" s="26"/>
      <c r="L2136" s="26"/>
      <c r="M2136" s="26"/>
      <c r="N2136" s="26"/>
      <c r="O2136" s="26"/>
      <c r="P2136" s="26"/>
      <c r="Q2136" s="26"/>
      <c r="R2136" s="26"/>
    </row>
    <row r="2137" spans="9:18" x14ac:dyDescent="0.25">
      <c r="I2137" s="46"/>
      <c r="J2137" s="26"/>
      <c r="K2137" s="26"/>
      <c r="L2137" s="26"/>
      <c r="M2137" s="26"/>
      <c r="N2137" s="26"/>
      <c r="O2137" s="26"/>
      <c r="P2137" s="26"/>
      <c r="Q2137" s="26"/>
      <c r="R2137" s="26"/>
    </row>
    <row r="2138" spans="9:18" x14ac:dyDescent="0.25">
      <c r="I2138" s="46"/>
      <c r="J2138" s="26"/>
      <c r="K2138" s="26"/>
      <c r="L2138" s="26"/>
      <c r="M2138" s="26"/>
      <c r="N2138" s="26"/>
      <c r="O2138" s="26"/>
      <c r="P2138" s="26"/>
      <c r="Q2138" s="26"/>
      <c r="R2138" s="26"/>
    </row>
    <row r="2139" spans="9:18" x14ac:dyDescent="0.25">
      <c r="I2139" s="46"/>
      <c r="J2139" s="26"/>
      <c r="K2139" s="26"/>
      <c r="L2139" s="26"/>
      <c r="M2139" s="26"/>
      <c r="N2139" s="26"/>
      <c r="O2139" s="26"/>
      <c r="P2139" s="26"/>
      <c r="Q2139" s="26"/>
      <c r="R2139" s="26"/>
    </row>
    <row r="2140" spans="9:18" x14ac:dyDescent="0.25">
      <c r="I2140" s="46"/>
      <c r="J2140" s="26"/>
      <c r="K2140" s="26"/>
      <c r="L2140" s="26"/>
      <c r="M2140" s="26"/>
      <c r="N2140" s="26"/>
      <c r="O2140" s="26"/>
      <c r="P2140" s="26"/>
      <c r="Q2140" s="26"/>
      <c r="R2140" s="26"/>
    </row>
    <row r="2141" spans="9:18" x14ac:dyDescent="0.25">
      <c r="I2141" s="46"/>
      <c r="J2141" s="26"/>
      <c r="K2141" s="26"/>
      <c r="L2141" s="26"/>
      <c r="M2141" s="26"/>
      <c r="N2141" s="26"/>
      <c r="O2141" s="26"/>
      <c r="P2141" s="26"/>
      <c r="Q2141" s="26"/>
      <c r="R2141" s="26"/>
    </row>
    <row r="2142" spans="9:18" x14ac:dyDescent="0.25">
      <c r="I2142" s="46"/>
      <c r="J2142" s="26"/>
      <c r="K2142" s="26"/>
      <c r="L2142" s="26"/>
      <c r="M2142" s="26"/>
      <c r="N2142" s="26"/>
      <c r="O2142" s="26"/>
      <c r="P2142" s="26"/>
      <c r="Q2142" s="26"/>
      <c r="R2142" s="26"/>
    </row>
    <row r="2143" spans="9:18" x14ac:dyDescent="0.25">
      <c r="I2143" s="46"/>
      <c r="J2143" s="26"/>
      <c r="K2143" s="26"/>
      <c r="L2143" s="26"/>
      <c r="M2143" s="26"/>
      <c r="N2143" s="26"/>
      <c r="O2143" s="26"/>
      <c r="P2143" s="26"/>
      <c r="Q2143" s="26"/>
      <c r="R2143" s="26"/>
    </row>
    <row r="2144" spans="9:18" x14ac:dyDescent="0.25">
      <c r="I2144" s="46"/>
      <c r="J2144" s="26"/>
      <c r="K2144" s="26"/>
      <c r="L2144" s="26"/>
      <c r="M2144" s="26"/>
      <c r="N2144" s="26"/>
      <c r="O2144" s="26"/>
      <c r="P2144" s="26"/>
      <c r="Q2144" s="26"/>
      <c r="R2144" s="26"/>
    </row>
    <row r="2145" spans="9:18" x14ac:dyDescent="0.25">
      <c r="I2145" s="46"/>
      <c r="J2145" s="26"/>
      <c r="K2145" s="26"/>
      <c r="L2145" s="26"/>
      <c r="M2145" s="26"/>
      <c r="N2145" s="26"/>
      <c r="O2145" s="26"/>
      <c r="P2145" s="26"/>
      <c r="Q2145" s="26"/>
      <c r="R2145" s="26"/>
    </row>
    <row r="2146" spans="9:18" x14ac:dyDescent="0.25">
      <c r="I2146" s="46"/>
      <c r="J2146" s="26"/>
      <c r="K2146" s="26"/>
      <c r="L2146" s="26"/>
      <c r="M2146" s="26"/>
      <c r="N2146" s="26"/>
      <c r="O2146" s="26"/>
      <c r="P2146" s="26"/>
      <c r="Q2146" s="26"/>
      <c r="R2146" s="26"/>
    </row>
    <row r="2147" spans="9:18" x14ac:dyDescent="0.25">
      <c r="I2147" s="46"/>
      <c r="J2147" s="26"/>
      <c r="K2147" s="26"/>
      <c r="L2147" s="26"/>
      <c r="M2147" s="26"/>
      <c r="N2147" s="26"/>
      <c r="O2147" s="26"/>
      <c r="P2147" s="26"/>
      <c r="Q2147" s="26"/>
      <c r="R2147" s="26"/>
    </row>
    <row r="2148" spans="9:18" x14ac:dyDescent="0.25">
      <c r="I2148" s="46"/>
      <c r="J2148" s="26"/>
      <c r="K2148" s="26"/>
      <c r="L2148" s="26"/>
      <c r="M2148" s="26"/>
      <c r="N2148" s="26"/>
      <c r="O2148" s="26"/>
      <c r="P2148" s="26"/>
      <c r="Q2148" s="26"/>
      <c r="R2148" s="26"/>
    </row>
    <row r="2149" spans="9:18" x14ac:dyDescent="0.25">
      <c r="I2149" s="46"/>
      <c r="J2149" s="26"/>
      <c r="K2149" s="26"/>
      <c r="L2149" s="26"/>
      <c r="M2149" s="26"/>
      <c r="N2149" s="26"/>
      <c r="O2149" s="26"/>
      <c r="P2149" s="26"/>
      <c r="Q2149" s="26"/>
      <c r="R2149" s="26"/>
    </row>
    <row r="2150" spans="9:18" x14ac:dyDescent="0.25">
      <c r="I2150" s="46"/>
      <c r="J2150" s="26"/>
      <c r="K2150" s="26"/>
      <c r="L2150" s="26"/>
      <c r="M2150" s="26"/>
      <c r="N2150" s="26"/>
      <c r="O2150" s="26"/>
      <c r="P2150" s="26"/>
      <c r="Q2150" s="26"/>
      <c r="R2150" s="26"/>
    </row>
    <row r="2151" spans="9:18" x14ac:dyDescent="0.25">
      <c r="I2151" s="46"/>
      <c r="J2151" s="26"/>
      <c r="K2151" s="26"/>
      <c r="L2151" s="26"/>
      <c r="M2151" s="26"/>
      <c r="N2151" s="26"/>
      <c r="O2151" s="26"/>
      <c r="P2151" s="26"/>
      <c r="Q2151" s="26"/>
      <c r="R2151" s="26"/>
    </row>
    <row r="2152" spans="9:18" x14ac:dyDescent="0.25">
      <c r="I2152" s="46"/>
      <c r="J2152" s="26"/>
      <c r="K2152" s="26"/>
      <c r="L2152" s="26"/>
      <c r="M2152" s="26"/>
      <c r="N2152" s="26"/>
      <c r="O2152" s="26"/>
      <c r="P2152" s="26"/>
      <c r="Q2152" s="26"/>
      <c r="R2152" s="26"/>
    </row>
    <row r="2153" spans="9:18" x14ac:dyDescent="0.25">
      <c r="I2153" s="46"/>
      <c r="J2153" s="26"/>
      <c r="K2153" s="26"/>
      <c r="L2153" s="26"/>
      <c r="M2153" s="26"/>
      <c r="N2153" s="26"/>
      <c r="O2153" s="26"/>
      <c r="P2153" s="26"/>
      <c r="Q2153" s="26"/>
      <c r="R2153" s="26"/>
    </row>
    <row r="2154" spans="9:18" x14ac:dyDescent="0.25">
      <c r="I2154" s="46"/>
      <c r="J2154" s="26"/>
      <c r="K2154" s="26"/>
      <c r="L2154" s="26"/>
      <c r="M2154" s="26"/>
      <c r="N2154" s="26"/>
      <c r="O2154" s="26"/>
      <c r="P2154" s="26"/>
      <c r="Q2154" s="26"/>
      <c r="R2154" s="26"/>
    </row>
    <row r="2155" spans="9:18" x14ac:dyDescent="0.25">
      <c r="I2155" s="46"/>
      <c r="J2155" s="26"/>
      <c r="K2155" s="26"/>
      <c r="L2155" s="26"/>
      <c r="M2155" s="26"/>
      <c r="N2155" s="26"/>
      <c r="O2155" s="26"/>
      <c r="P2155" s="26"/>
      <c r="Q2155" s="26"/>
      <c r="R2155" s="26"/>
    </row>
    <row r="2156" spans="9:18" x14ac:dyDescent="0.25">
      <c r="I2156" s="46"/>
      <c r="J2156" s="26"/>
      <c r="K2156" s="26"/>
      <c r="L2156" s="26"/>
      <c r="M2156" s="26"/>
      <c r="N2156" s="26"/>
      <c r="O2156" s="26"/>
      <c r="P2156" s="26"/>
      <c r="Q2156" s="26"/>
      <c r="R2156" s="26"/>
    </row>
    <row r="2157" spans="9:18" x14ac:dyDescent="0.25">
      <c r="I2157" s="46"/>
      <c r="J2157" s="26"/>
      <c r="K2157" s="26"/>
      <c r="L2157" s="26"/>
      <c r="M2157" s="26"/>
      <c r="N2157" s="26"/>
      <c r="O2157" s="26"/>
      <c r="P2157" s="26"/>
      <c r="Q2157" s="26"/>
      <c r="R2157" s="26"/>
    </row>
    <row r="2158" spans="9:18" x14ac:dyDescent="0.25">
      <c r="I2158" s="46"/>
      <c r="J2158" s="26"/>
      <c r="K2158" s="26"/>
      <c r="L2158" s="26"/>
      <c r="M2158" s="26"/>
      <c r="N2158" s="26"/>
      <c r="O2158" s="26"/>
      <c r="P2158" s="26"/>
      <c r="Q2158" s="26"/>
      <c r="R2158" s="26"/>
    </row>
    <row r="2159" spans="9:18" x14ac:dyDescent="0.25">
      <c r="I2159" s="46"/>
      <c r="J2159" s="26"/>
      <c r="K2159" s="26"/>
      <c r="L2159" s="26"/>
      <c r="M2159" s="26"/>
      <c r="N2159" s="26"/>
      <c r="O2159" s="26"/>
      <c r="P2159" s="26"/>
      <c r="Q2159" s="26"/>
      <c r="R2159" s="26"/>
    </row>
    <row r="2160" spans="9:18" x14ac:dyDescent="0.25">
      <c r="I2160" s="46"/>
      <c r="J2160" s="26"/>
      <c r="K2160" s="26"/>
      <c r="L2160" s="26"/>
      <c r="M2160" s="26"/>
      <c r="N2160" s="26"/>
      <c r="O2160" s="26"/>
      <c r="P2160" s="26"/>
      <c r="Q2160" s="26"/>
      <c r="R2160" s="26"/>
    </row>
    <row r="2161" spans="9:18" x14ac:dyDescent="0.25">
      <c r="I2161" s="46"/>
      <c r="J2161" s="26"/>
      <c r="K2161" s="26"/>
      <c r="L2161" s="26"/>
      <c r="M2161" s="26"/>
      <c r="N2161" s="26"/>
      <c r="O2161" s="26"/>
      <c r="P2161" s="26"/>
      <c r="Q2161" s="26"/>
      <c r="R2161" s="26"/>
    </row>
    <row r="2162" spans="9:18" x14ac:dyDescent="0.25">
      <c r="I2162" s="46"/>
      <c r="J2162" s="26"/>
      <c r="K2162" s="26"/>
      <c r="L2162" s="26"/>
      <c r="M2162" s="26"/>
      <c r="N2162" s="26"/>
      <c r="O2162" s="26"/>
      <c r="P2162" s="26"/>
      <c r="Q2162" s="26"/>
      <c r="R2162" s="26"/>
    </row>
    <row r="2163" spans="9:18" x14ac:dyDescent="0.25">
      <c r="I2163" s="46"/>
      <c r="J2163" s="26"/>
      <c r="K2163" s="26"/>
      <c r="L2163" s="26"/>
      <c r="M2163" s="26"/>
      <c r="N2163" s="26"/>
      <c r="O2163" s="26"/>
      <c r="P2163" s="26"/>
      <c r="Q2163" s="26"/>
      <c r="R2163" s="26"/>
    </row>
    <row r="2164" spans="9:18" x14ac:dyDescent="0.25">
      <c r="I2164" s="46"/>
      <c r="J2164" s="26"/>
      <c r="K2164" s="26"/>
      <c r="L2164" s="26"/>
      <c r="M2164" s="26"/>
      <c r="N2164" s="26"/>
      <c r="O2164" s="26"/>
      <c r="P2164" s="26"/>
      <c r="Q2164" s="26"/>
      <c r="R2164" s="26"/>
    </row>
    <row r="2165" spans="9:18" x14ac:dyDescent="0.25">
      <c r="I2165" s="46"/>
      <c r="J2165" s="26"/>
      <c r="K2165" s="26"/>
      <c r="L2165" s="26"/>
      <c r="M2165" s="26"/>
      <c r="N2165" s="26"/>
      <c r="O2165" s="26"/>
      <c r="P2165" s="26"/>
      <c r="Q2165" s="26"/>
      <c r="R2165" s="26"/>
    </row>
    <row r="2166" spans="9:18" x14ac:dyDescent="0.25">
      <c r="I2166" s="46"/>
      <c r="J2166" s="26"/>
      <c r="K2166" s="26"/>
      <c r="L2166" s="26"/>
      <c r="M2166" s="26"/>
      <c r="N2166" s="26"/>
      <c r="O2166" s="26"/>
      <c r="P2166" s="26"/>
      <c r="Q2166" s="26"/>
      <c r="R2166" s="26"/>
    </row>
    <row r="2167" spans="9:18" x14ac:dyDescent="0.25">
      <c r="I2167" s="46"/>
      <c r="J2167" s="26"/>
      <c r="K2167" s="26"/>
      <c r="L2167" s="26"/>
      <c r="M2167" s="26"/>
      <c r="N2167" s="26"/>
      <c r="O2167" s="26"/>
      <c r="P2167" s="26"/>
      <c r="Q2167" s="26"/>
      <c r="R2167" s="26"/>
    </row>
    <row r="2168" spans="9:18" x14ac:dyDescent="0.25">
      <c r="I2168" s="46"/>
      <c r="J2168" s="26"/>
      <c r="K2168" s="26"/>
      <c r="L2168" s="26"/>
      <c r="M2168" s="26"/>
      <c r="N2168" s="26"/>
      <c r="O2168" s="26"/>
      <c r="P2168" s="26"/>
      <c r="Q2168" s="26"/>
      <c r="R2168" s="26"/>
    </row>
    <row r="2169" spans="9:18" x14ac:dyDescent="0.25">
      <c r="I2169" s="46"/>
      <c r="J2169" s="26"/>
      <c r="K2169" s="26"/>
      <c r="L2169" s="26"/>
      <c r="M2169" s="26"/>
      <c r="N2169" s="26"/>
      <c r="O2169" s="26"/>
      <c r="P2169" s="26"/>
      <c r="Q2169" s="26"/>
      <c r="R2169" s="26"/>
    </row>
    <row r="2170" spans="9:18" x14ac:dyDescent="0.25">
      <c r="I2170" s="46"/>
      <c r="J2170" s="26"/>
      <c r="K2170" s="26"/>
      <c r="L2170" s="26"/>
      <c r="M2170" s="26"/>
      <c r="N2170" s="26"/>
      <c r="O2170" s="26"/>
      <c r="P2170" s="26"/>
      <c r="Q2170" s="26"/>
      <c r="R2170" s="26"/>
    </row>
    <row r="2171" spans="9:18" x14ac:dyDescent="0.25">
      <c r="I2171" s="46"/>
      <c r="J2171" s="26"/>
      <c r="K2171" s="26"/>
      <c r="L2171" s="26"/>
      <c r="M2171" s="26"/>
      <c r="N2171" s="26"/>
      <c r="O2171" s="26"/>
      <c r="P2171" s="26"/>
      <c r="Q2171" s="26"/>
      <c r="R2171" s="26"/>
    </row>
    <row r="2172" spans="9:18" x14ac:dyDescent="0.25">
      <c r="I2172" s="46"/>
      <c r="J2172" s="26"/>
      <c r="K2172" s="26"/>
      <c r="L2172" s="26"/>
      <c r="M2172" s="26"/>
      <c r="N2172" s="26"/>
      <c r="O2172" s="26"/>
      <c r="P2172" s="26"/>
      <c r="Q2172" s="26"/>
      <c r="R2172" s="26"/>
    </row>
    <row r="2173" spans="9:18" x14ac:dyDescent="0.25">
      <c r="I2173" s="46"/>
      <c r="J2173" s="26"/>
      <c r="K2173" s="26"/>
      <c r="L2173" s="26"/>
      <c r="M2173" s="26"/>
      <c r="N2173" s="26"/>
      <c r="O2173" s="26"/>
      <c r="P2173" s="26"/>
      <c r="Q2173" s="26"/>
      <c r="R2173" s="26"/>
    </row>
    <row r="2174" spans="9:18" x14ac:dyDescent="0.25">
      <c r="I2174" s="46"/>
      <c r="J2174" s="26"/>
      <c r="K2174" s="26"/>
      <c r="L2174" s="26"/>
      <c r="M2174" s="26"/>
      <c r="N2174" s="26"/>
      <c r="O2174" s="26"/>
      <c r="P2174" s="26"/>
      <c r="Q2174" s="26"/>
      <c r="R2174" s="26"/>
    </row>
    <row r="2175" spans="9:18" x14ac:dyDescent="0.25">
      <c r="I2175" s="46"/>
      <c r="J2175" s="26"/>
      <c r="K2175" s="26"/>
      <c r="L2175" s="26"/>
      <c r="M2175" s="26"/>
      <c r="N2175" s="26"/>
      <c r="O2175" s="26"/>
      <c r="P2175" s="26"/>
      <c r="Q2175" s="26"/>
      <c r="R2175" s="26"/>
    </row>
    <row r="2176" spans="9:18" x14ac:dyDescent="0.25">
      <c r="I2176" s="46"/>
      <c r="J2176" s="26"/>
      <c r="K2176" s="26"/>
      <c r="L2176" s="26"/>
      <c r="M2176" s="26"/>
      <c r="N2176" s="26"/>
      <c r="O2176" s="26"/>
      <c r="P2176" s="26"/>
      <c r="Q2176" s="26"/>
      <c r="R2176" s="26"/>
    </row>
    <row r="2177" spans="9:18" x14ac:dyDescent="0.25">
      <c r="I2177" s="46"/>
      <c r="J2177" s="26"/>
      <c r="K2177" s="26"/>
      <c r="L2177" s="26"/>
      <c r="M2177" s="26"/>
      <c r="N2177" s="26"/>
      <c r="O2177" s="26"/>
      <c r="P2177" s="26"/>
      <c r="Q2177" s="26"/>
      <c r="R2177" s="26"/>
    </row>
    <row r="2178" spans="9:18" x14ac:dyDescent="0.25">
      <c r="I2178" s="46"/>
      <c r="J2178" s="26"/>
      <c r="K2178" s="26"/>
      <c r="L2178" s="26"/>
      <c r="M2178" s="26"/>
      <c r="N2178" s="26"/>
      <c r="O2178" s="26"/>
      <c r="P2178" s="26"/>
      <c r="Q2178" s="26"/>
      <c r="R2178" s="26"/>
    </row>
    <row r="2179" spans="9:18" x14ac:dyDescent="0.25">
      <c r="I2179" s="46"/>
      <c r="J2179" s="26"/>
      <c r="K2179" s="26"/>
      <c r="L2179" s="26"/>
      <c r="M2179" s="26"/>
      <c r="N2179" s="26"/>
      <c r="O2179" s="26"/>
      <c r="P2179" s="26"/>
      <c r="Q2179" s="26"/>
      <c r="R2179" s="26"/>
    </row>
    <row r="2180" spans="9:18" x14ac:dyDescent="0.25">
      <c r="I2180" s="46"/>
      <c r="J2180" s="26"/>
      <c r="K2180" s="26"/>
      <c r="L2180" s="26"/>
      <c r="M2180" s="26"/>
      <c r="N2180" s="26"/>
      <c r="O2180" s="26"/>
      <c r="P2180" s="26"/>
      <c r="Q2180" s="26"/>
      <c r="R2180" s="26"/>
    </row>
    <row r="2181" spans="9:18" x14ac:dyDescent="0.25">
      <c r="I2181" s="46"/>
      <c r="J2181" s="26"/>
      <c r="K2181" s="26"/>
      <c r="L2181" s="26"/>
      <c r="M2181" s="26"/>
      <c r="N2181" s="26"/>
      <c r="O2181" s="26"/>
      <c r="P2181" s="26"/>
      <c r="Q2181" s="26"/>
      <c r="R2181" s="26"/>
    </row>
    <row r="2182" spans="9:18" x14ac:dyDescent="0.25">
      <c r="I2182" s="46"/>
      <c r="J2182" s="26"/>
      <c r="K2182" s="26"/>
      <c r="L2182" s="26"/>
      <c r="M2182" s="26"/>
      <c r="N2182" s="26"/>
      <c r="O2182" s="26"/>
      <c r="P2182" s="26"/>
      <c r="Q2182" s="26"/>
      <c r="R2182" s="26"/>
    </row>
    <row r="2183" spans="9:18" x14ac:dyDescent="0.25">
      <c r="I2183" s="46"/>
      <c r="J2183" s="26"/>
      <c r="K2183" s="26"/>
      <c r="L2183" s="26"/>
      <c r="M2183" s="26"/>
      <c r="N2183" s="26"/>
      <c r="O2183" s="26"/>
      <c r="P2183" s="26"/>
      <c r="Q2183" s="26"/>
      <c r="R2183" s="26"/>
    </row>
    <row r="2184" spans="9:18" x14ac:dyDescent="0.25">
      <c r="I2184" s="46"/>
      <c r="J2184" s="26"/>
      <c r="K2184" s="26"/>
      <c r="L2184" s="26"/>
      <c r="M2184" s="26"/>
      <c r="N2184" s="26"/>
      <c r="O2184" s="26"/>
      <c r="P2184" s="26"/>
      <c r="Q2184" s="26"/>
      <c r="R2184" s="26"/>
    </row>
    <row r="2185" spans="9:18" x14ac:dyDescent="0.25">
      <c r="I2185" s="46"/>
      <c r="J2185" s="26"/>
      <c r="K2185" s="26"/>
      <c r="L2185" s="26"/>
      <c r="M2185" s="26"/>
      <c r="N2185" s="26"/>
      <c r="O2185" s="26"/>
      <c r="P2185" s="26"/>
      <c r="Q2185" s="26"/>
      <c r="R2185" s="26"/>
    </row>
    <row r="2186" spans="9:18" x14ac:dyDescent="0.25">
      <c r="I2186" s="46"/>
      <c r="J2186" s="26"/>
      <c r="K2186" s="26"/>
      <c r="L2186" s="26"/>
      <c r="M2186" s="26"/>
      <c r="N2186" s="26"/>
      <c r="O2186" s="26"/>
      <c r="P2186" s="26"/>
      <c r="Q2186" s="26"/>
      <c r="R2186" s="26"/>
    </row>
    <row r="2187" spans="9:18" x14ac:dyDescent="0.25">
      <c r="I2187" s="46"/>
      <c r="J2187" s="26"/>
      <c r="K2187" s="26"/>
      <c r="L2187" s="26"/>
      <c r="M2187" s="26"/>
      <c r="N2187" s="26"/>
      <c r="O2187" s="26"/>
      <c r="P2187" s="26"/>
      <c r="Q2187" s="26"/>
      <c r="R2187" s="26"/>
    </row>
    <row r="2188" spans="9:18" x14ac:dyDescent="0.25">
      <c r="I2188" s="46"/>
      <c r="J2188" s="26"/>
      <c r="K2188" s="26"/>
      <c r="L2188" s="26"/>
      <c r="M2188" s="26"/>
      <c r="N2188" s="26"/>
      <c r="O2188" s="26"/>
      <c r="P2188" s="26"/>
      <c r="Q2188" s="26"/>
      <c r="R2188" s="26"/>
    </row>
    <row r="2189" spans="9:18" x14ac:dyDescent="0.25">
      <c r="I2189" s="46"/>
      <c r="J2189" s="26"/>
      <c r="K2189" s="26"/>
      <c r="L2189" s="26"/>
      <c r="M2189" s="26"/>
      <c r="N2189" s="26"/>
      <c r="O2189" s="26"/>
      <c r="P2189" s="26"/>
      <c r="Q2189" s="26"/>
      <c r="R2189" s="26"/>
    </row>
    <row r="2190" spans="9:18" x14ac:dyDescent="0.25">
      <c r="I2190" s="46"/>
      <c r="J2190" s="26"/>
      <c r="K2190" s="26"/>
      <c r="L2190" s="26"/>
      <c r="M2190" s="26"/>
      <c r="N2190" s="26"/>
      <c r="O2190" s="26"/>
      <c r="P2190" s="26"/>
      <c r="Q2190" s="26"/>
      <c r="R2190" s="26"/>
    </row>
    <row r="2191" spans="9:18" x14ac:dyDescent="0.25">
      <c r="I2191" s="46"/>
      <c r="J2191" s="26"/>
      <c r="K2191" s="26"/>
      <c r="L2191" s="26"/>
      <c r="M2191" s="26"/>
      <c r="N2191" s="26"/>
      <c r="O2191" s="26"/>
      <c r="P2191" s="26"/>
      <c r="Q2191" s="26"/>
      <c r="R2191" s="26"/>
    </row>
    <row r="2192" spans="9:18" x14ac:dyDescent="0.25">
      <c r="I2192" s="46"/>
      <c r="J2192" s="26"/>
      <c r="K2192" s="26"/>
      <c r="L2192" s="26"/>
      <c r="M2192" s="26"/>
      <c r="N2192" s="26"/>
      <c r="O2192" s="26"/>
      <c r="P2192" s="26"/>
      <c r="Q2192" s="26"/>
      <c r="R2192" s="26"/>
    </row>
    <row r="2193" spans="9:18" x14ac:dyDescent="0.25">
      <c r="I2193" s="46"/>
      <c r="J2193" s="26"/>
      <c r="K2193" s="26"/>
      <c r="L2193" s="26"/>
      <c r="M2193" s="26"/>
      <c r="N2193" s="26"/>
      <c r="O2193" s="26"/>
      <c r="P2193" s="26"/>
      <c r="Q2193" s="26"/>
      <c r="R2193" s="26"/>
    </row>
    <row r="2194" spans="9:18" x14ac:dyDescent="0.25">
      <c r="I2194" s="46"/>
      <c r="J2194" s="26"/>
      <c r="K2194" s="26"/>
      <c r="L2194" s="26"/>
      <c r="M2194" s="26"/>
      <c r="N2194" s="26"/>
      <c r="O2194" s="26"/>
      <c r="P2194" s="26"/>
      <c r="Q2194" s="26"/>
      <c r="R2194" s="26"/>
    </row>
    <row r="2195" spans="9:18" x14ac:dyDescent="0.25">
      <c r="I2195" s="46"/>
      <c r="J2195" s="26"/>
      <c r="K2195" s="26"/>
      <c r="L2195" s="26"/>
      <c r="M2195" s="26"/>
      <c r="N2195" s="26"/>
      <c r="O2195" s="26"/>
      <c r="P2195" s="26"/>
      <c r="Q2195" s="26"/>
      <c r="R2195" s="26"/>
    </row>
    <row r="2196" spans="9:18" x14ac:dyDescent="0.25">
      <c r="I2196" s="46"/>
      <c r="J2196" s="26"/>
      <c r="K2196" s="26"/>
      <c r="L2196" s="26"/>
      <c r="M2196" s="26"/>
      <c r="N2196" s="26"/>
      <c r="O2196" s="26"/>
      <c r="P2196" s="26"/>
      <c r="Q2196" s="26"/>
      <c r="R2196" s="26"/>
    </row>
    <row r="2197" spans="9:18" x14ac:dyDescent="0.25">
      <c r="I2197" s="46"/>
      <c r="J2197" s="26"/>
      <c r="K2197" s="26"/>
      <c r="L2197" s="26"/>
      <c r="M2197" s="26"/>
      <c r="N2197" s="26"/>
      <c r="O2197" s="26"/>
      <c r="P2197" s="26"/>
      <c r="Q2197" s="26"/>
      <c r="R2197" s="26"/>
    </row>
    <row r="2198" spans="9:18" x14ac:dyDescent="0.25">
      <c r="I2198" s="46"/>
      <c r="J2198" s="26"/>
      <c r="K2198" s="26"/>
      <c r="L2198" s="26"/>
      <c r="M2198" s="26"/>
      <c r="N2198" s="26"/>
      <c r="O2198" s="26"/>
      <c r="P2198" s="26"/>
      <c r="Q2198" s="26"/>
      <c r="R2198" s="26"/>
    </row>
    <row r="2199" spans="9:18" x14ac:dyDescent="0.25">
      <c r="I2199" s="46"/>
      <c r="J2199" s="26"/>
      <c r="K2199" s="26"/>
      <c r="L2199" s="26"/>
      <c r="M2199" s="26"/>
      <c r="N2199" s="26"/>
      <c r="O2199" s="26"/>
      <c r="P2199" s="26"/>
      <c r="Q2199" s="26"/>
      <c r="R2199" s="26"/>
    </row>
    <row r="2200" spans="9:18" x14ac:dyDescent="0.25">
      <c r="I2200" s="46"/>
      <c r="J2200" s="26"/>
      <c r="K2200" s="26"/>
      <c r="L2200" s="26"/>
      <c r="M2200" s="26"/>
      <c r="N2200" s="26"/>
      <c r="O2200" s="26"/>
      <c r="P2200" s="26"/>
      <c r="Q2200" s="26"/>
      <c r="R2200" s="26"/>
    </row>
    <row r="2201" spans="9:18" x14ac:dyDescent="0.25">
      <c r="I2201" s="46"/>
      <c r="J2201" s="26"/>
      <c r="K2201" s="26"/>
      <c r="L2201" s="26"/>
      <c r="M2201" s="26"/>
      <c r="N2201" s="26"/>
      <c r="O2201" s="26"/>
      <c r="P2201" s="26"/>
      <c r="Q2201" s="26"/>
      <c r="R2201" s="26"/>
    </row>
    <row r="2202" spans="9:18" x14ac:dyDescent="0.25">
      <c r="I2202" s="46"/>
      <c r="J2202" s="26"/>
      <c r="K2202" s="26"/>
      <c r="L2202" s="26"/>
      <c r="M2202" s="26"/>
      <c r="N2202" s="26"/>
      <c r="O2202" s="26"/>
      <c r="P2202" s="26"/>
      <c r="Q2202" s="26"/>
      <c r="R2202" s="26"/>
    </row>
    <row r="2203" spans="9:18" x14ac:dyDescent="0.25">
      <c r="I2203" s="46"/>
      <c r="J2203" s="26"/>
      <c r="K2203" s="26"/>
      <c r="L2203" s="26"/>
      <c r="M2203" s="26"/>
      <c r="N2203" s="26"/>
      <c r="O2203" s="26"/>
      <c r="P2203" s="26"/>
      <c r="Q2203" s="26"/>
      <c r="R2203" s="26"/>
    </row>
    <row r="2204" spans="9:18" x14ac:dyDescent="0.25">
      <c r="I2204" s="46"/>
      <c r="J2204" s="26"/>
      <c r="K2204" s="26"/>
      <c r="L2204" s="26"/>
      <c r="M2204" s="26"/>
      <c r="N2204" s="26"/>
      <c r="O2204" s="26"/>
      <c r="P2204" s="26"/>
      <c r="Q2204" s="26"/>
      <c r="R2204" s="26"/>
    </row>
    <row r="2205" spans="9:18" x14ac:dyDescent="0.25">
      <c r="I2205" s="46"/>
      <c r="J2205" s="26"/>
      <c r="K2205" s="26"/>
      <c r="L2205" s="26"/>
      <c r="M2205" s="26"/>
      <c r="N2205" s="26"/>
      <c r="O2205" s="26"/>
      <c r="P2205" s="26"/>
      <c r="Q2205" s="26"/>
      <c r="R2205" s="26"/>
    </row>
    <row r="2206" spans="9:18" x14ac:dyDescent="0.25">
      <c r="I2206" s="46"/>
      <c r="J2206" s="26"/>
      <c r="K2206" s="26"/>
      <c r="L2206" s="26"/>
      <c r="M2206" s="26"/>
      <c r="N2206" s="26"/>
      <c r="O2206" s="26"/>
      <c r="P2206" s="26"/>
      <c r="Q2206" s="26"/>
      <c r="R2206" s="26"/>
    </row>
    <row r="2207" spans="9:18" x14ac:dyDescent="0.25">
      <c r="I2207" s="46"/>
      <c r="J2207" s="26"/>
      <c r="K2207" s="26"/>
      <c r="L2207" s="26"/>
      <c r="M2207" s="26"/>
      <c r="N2207" s="26"/>
      <c r="O2207" s="26"/>
      <c r="P2207" s="26"/>
      <c r="Q2207" s="26"/>
      <c r="R2207" s="26"/>
    </row>
    <row r="2208" spans="9:18" x14ac:dyDescent="0.25">
      <c r="I2208" s="46"/>
      <c r="J2208" s="26"/>
      <c r="K2208" s="26"/>
      <c r="L2208" s="26"/>
      <c r="M2208" s="26"/>
      <c r="N2208" s="26"/>
      <c r="O2208" s="26"/>
      <c r="P2208" s="26"/>
      <c r="Q2208" s="26"/>
      <c r="R2208" s="26"/>
    </row>
    <row r="2209" spans="9:18" x14ac:dyDescent="0.25">
      <c r="I2209" s="46"/>
      <c r="J2209" s="26"/>
      <c r="K2209" s="26"/>
      <c r="L2209" s="26"/>
      <c r="M2209" s="26"/>
      <c r="N2209" s="26"/>
      <c r="O2209" s="26"/>
      <c r="P2209" s="26"/>
      <c r="Q2209" s="26"/>
      <c r="R2209" s="26"/>
    </row>
    <row r="2210" spans="9:18" x14ac:dyDescent="0.25">
      <c r="I2210" s="46"/>
      <c r="J2210" s="26"/>
      <c r="K2210" s="26"/>
      <c r="L2210" s="26"/>
      <c r="M2210" s="26"/>
      <c r="N2210" s="26"/>
      <c r="O2210" s="26"/>
      <c r="P2210" s="26"/>
      <c r="Q2210" s="26"/>
      <c r="R2210" s="26"/>
    </row>
    <row r="2211" spans="9:18" x14ac:dyDescent="0.25">
      <c r="I2211" s="46"/>
      <c r="J2211" s="26"/>
      <c r="K2211" s="26"/>
      <c r="L2211" s="26"/>
      <c r="M2211" s="26"/>
      <c r="N2211" s="26"/>
      <c r="O2211" s="26"/>
      <c r="P2211" s="26"/>
      <c r="Q2211" s="26"/>
      <c r="R2211" s="26"/>
    </row>
    <row r="2212" spans="9:18" x14ac:dyDescent="0.25">
      <c r="I2212" s="46"/>
      <c r="J2212" s="26"/>
      <c r="K2212" s="26"/>
      <c r="L2212" s="26"/>
      <c r="M2212" s="26"/>
      <c r="N2212" s="26"/>
      <c r="O2212" s="26"/>
      <c r="P2212" s="26"/>
      <c r="Q2212" s="26"/>
      <c r="R2212" s="26"/>
    </row>
    <row r="2213" spans="9:18" x14ac:dyDescent="0.25">
      <c r="I2213" s="46"/>
      <c r="J2213" s="26"/>
      <c r="K2213" s="26"/>
      <c r="L2213" s="26"/>
      <c r="M2213" s="26"/>
      <c r="N2213" s="26"/>
      <c r="O2213" s="26"/>
      <c r="P2213" s="26"/>
      <c r="Q2213" s="26"/>
      <c r="R2213" s="26"/>
    </row>
    <row r="2214" spans="9:18" x14ac:dyDescent="0.25">
      <c r="I2214" s="46"/>
      <c r="J2214" s="26"/>
      <c r="K2214" s="26"/>
      <c r="L2214" s="26"/>
      <c r="M2214" s="26"/>
      <c r="N2214" s="26"/>
      <c r="O2214" s="26"/>
      <c r="P2214" s="26"/>
      <c r="Q2214" s="26"/>
      <c r="R2214" s="26"/>
    </row>
    <row r="2215" spans="9:18" x14ac:dyDescent="0.25">
      <c r="I2215" s="46"/>
      <c r="J2215" s="26"/>
      <c r="K2215" s="26"/>
      <c r="L2215" s="26"/>
      <c r="M2215" s="26"/>
      <c r="N2215" s="26"/>
      <c r="O2215" s="26"/>
      <c r="P2215" s="26"/>
      <c r="Q2215" s="26"/>
      <c r="R2215" s="26"/>
    </row>
    <row r="2216" spans="9:18" x14ac:dyDescent="0.25">
      <c r="I2216" s="46"/>
      <c r="J2216" s="26"/>
      <c r="K2216" s="26"/>
      <c r="L2216" s="26"/>
      <c r="M2216" s="26"/>
      <c r="N2216" s="26"/>
      <c r="O2216" s="26"/>
      <c r="P2216" s="26"/>
      <c r="Q2216" s="26"/>
      <c r="R2216" s="26"/>
    </row>
    <row r="2217" spans="9:18" x14ac:dyDescent="0.25">
      <c r="I2217" s="46"/>
      <c r="J2217" s="26"/>
      <c r="K2217" s="26"/>
      <c r="L2217" s="26"/>
      <c r="M2217" s="26"/>
      <c r="N2217" s="26"/>
      <c r="O2217" s="26"/>
      <c r="P2217" s="26"/>
      <c r="Q2217" s="26"/>
      <c r="R2217" s="26"/>
    </row>
    <row r="2218" spans="9:18" x14ac:dyDescent="0.25">
      <c r="I2218" s="46"/>
      <c r="J2218" s="26"/>
      <c r="K2218" s="26"/>
      <c r="L2218" s="26"/>
      <c r="M2218" s="26"/>
      <c r="N2218" s="26"/>
      <c r="O2218" s="26"/>
      <c r="P2218" s="26"/>
      <c r="Q2218" s="26"/>
      <c r="R2218" s="26"/>
    </row>
    <row r="2219" spans="9:18" x14ac:dyDescent="0.25">
      <c r="I2219" s="46"/>
      <c r="J2219" s="26"/>
      <c r="K2219" s="26"/>
      <c r="L2219" s="26"/>
      <c r="M2219" s="26"/>
      <c r="N2219" s="26"/>
      <c r="O2219" s="26"/>
      <c r="P2219" s="26"/>
      <c r="Q2219" s="26"/>
      <c r="R2219" s="26"/>
    </row>
    <row r="2220" spans="9:18" x14ac:dyDescent="0.25">
      <c r="I2220" s="46"/>
      <c r="J2220" s="26"/>
      <c r="K2220" s="26"/>
      <c r="L2220" s="26"/>
      <c r="M2220" s="26"/>
      <c r="N2220" s="26"/>
      <c r="O2220" s="26"/>
      <c r="P2220" s="26"/>
      <c r="Q2220" s="26"/>
      <c r="R2220" s="26"/>
    </row>
    <row r="2221" spans="9:18" x14ac:dyDescent="0.25">
      <c r="I2221" s="46"/>
      <c r="J2221" s="26"/>
      <c r="K2221" s="26"/>
      <c r="L2221" s="26"/>
      <c r="M2221" s="26"/>
      <c r="N2221" s="26"/>
      <c r="O2221" s="26"/>
      <c r="P2221" s="26"/>
      <c r="Q2221" s="26"/>
      <c r="R2221" s="26"/>
    </row>
    <row r="2222" spans="9:18" x14ac:dyDescent="0.25">
      <c r="I2222" s="46"/>
      <c r="J2222" s="26"/>
      <c r="K2222" s="26"/>
      <c r="L2222" s="26"/>
      <c r="M2222" s="26"/>
      <c r="N2222" s="26"/>
      <c r="O2222" s="26"/>
      <c r="P2222" s="26"/>
      <c r="Q2222" s="26"/>
      <c r="R2222" s="26"/>
    </row>
    <row r="2223" spans="9:18" x14ac:dyDescent="0.25">
      <c r="I2223" s="46"/>
      <c r="J2223" s="26"/>
      <c r="K2223" s="26"/>
      <c r="L2223" s="26"/>
      <c r="M2223" s="26"/>
      <c r="N2223" s="26"/>
      <c r="O2223" s="26"/>
      <c r="P2223" s="26"/>
      <c r="Q2223" s="26"/>
      <c r="R2223" s="26"/>
    </row>
    <row r="2224" spans="9:18" x14ac:dyDescent="0.25">
      <c r="I2224" s="46"/>
      <c r="J2224" s="26"/>
      <c r="K2224" s="26"/>
      <c r="L2224" s="26"/>
      <c r="M2224" s="26"/>
      <c r="N2224" s="26"/>
      <c r="O2224" s="26"/>
      <c r="P2224" s="26"/>
      <c r="Q2224" s="26"/>
      <c r="R2224" s="26"/>
    </row>
    <row r="2225" spans="9:18" x14ac:dyDescent="0.25">
      <c r="I2225" s="46"/>
      <c r="J2225" s="26"/>
      <c r="K2225" s="26"/>
      <c r="L2225" s="26"/>
      <c r="M2225" s="26"/>
      <c r="N2225" s="26"/>
      <c r="O2225" s="26"/>
      <c r="P2225" s="26"/>
      <c r="Q2225" s="26"/>
      <c r="R2225" s="26"/>
    </row>
    <row r="2226" spans="9:18" x14ac:dyDescent="0.25">
      <c r="I2226" s="46"/>
      <c r="J2226" s="26"/>
      <c r="K2226" s="26"/>
      <c r="L2226" s="26"/>
      <c r="M2226" s="26"/>
      <c r="N2226" s="26"/>
      <c r="O2226" s="26"/>
      <c r="P2226" s="26"/>
      <c r="Q2226" s="26"/>
      <c r="R2226" s="26"/>
    </row>
    <row r="2227" spans="9:18" x14ac:dyDescent="0.25">
      <c r="I2227" s="46"/>
      <c r="J2227" s="26"/>
      <c r="K2227" s="26"/>
      <c r="L2227" s="26"/>
      <c r="M2227" s="26"/>
      <c r="N2227" s="26"/>
      <c r="O2227" s="26"/>
      <c r="P2227" s="26"/>
      <c r="Q2227" s="26"/>
      <c r="R2227" s="26"/>
    </row>
    <row r="2228" spans="9:18" x14ac:dyDescent="0.25">
      <c r="I2228" s="46"/>
      <c r="J2228" s="26"/>
      <c r="K2228" s="26"/>
      <c r="L2228" s="26"/>
      <c r="M2228" s="26"/>
      <c r="N2228" s="26"/>
      <c r="O2228" s="26"/>
      <c r="P2228" s="26"/>
      <c r="Q2228" s="26"/>
      <c r="R2228" s="26"/>
    </row>
    <row r="2229" spans="9:18" x14ac:dyDescent="0.25">
      <c r="I2229" s="46"/>
      <c r="J2229" s="26"/>
      <c r="K2229" s="26"/>
      <c r="L2229" s="26"/>
      <c r="M2229" s="26"/>
      <c r="N2229" s="26"/>
      <c r="O2229" s="26"/>
      <c r="P2229" s="26"/>
      <c r="Q2229" s="26"/>
      <c r="R2229" s="26"/>
    </row>
    <row r="2230" spans="9:18" x14ac:dyDescent="0.25">
      <c r="I2230" s="46"/>
      <c r="J2230" s="26"/>
      <c r="K2230" s="26"/>
      <c r="L2230" s="26"/>
      <c r="M2230" s="26"/>
      <c r="N2230" s="26"/>
      <c r="O2230" s="26"/>
      <c r="P2230" s="26"/>
      <c r="Q2230" s="26"/>
      <c r="R2230" s="26"/>
    </row>
    <row r="2231" spans="9:18" x14ac:dyDescent="0.25">
      <c r="I2231" s="46"/>
      <c r="J2231" s="26"/>
      <c r="K2231" s="26"/>
      <c r="L2231" s="26"/>
      <c r="M2231" s="26"/>
      <c r="N2231" s="26"/>
      <c r="O2231" s="26"/>
      <c r="P2231" s="26"/>
      <c r="Q2231" s="26"/>
      <c r="R2231" s="26"/>
    </row>
    <row r="2232" spans="9:18" x14ac:dyDescent="0.25">
      <c r="I2232" s="46"/>
      <c r="J2232" s="26"/>
      <c r="K2232" s="26"/>
      <c r="L2232" s="26"/>
      <c r="M2232" s="26"/>
      <c r="N2232" s="26"/>
      <c r="O2232" s="26"/>
      <c r="P2232" s="26"/>
      <c r="Q2232" s="26"/>
      <c r="R2232" s="26"/>
    </row>
    <row r="2233" spans="9:18" x14ac:dyDescent="0.25">
      <c r="I2233" s="46"/>
      <c r="J2233" s="26"/>
      <c r="K2233" s="26"/>
      <c r="L2233" s="26"/>
      <c r="M2233" s="26"/>
      <c r="N2233" s="26"/>
      <c r="O2233" s="26"/>
      <c r="P2233" s="26"/>
      <c r="Q2233" s="26"/>
      <c r="R2233" s="26"/>
    </row>
    <row r="2234" spans="9:18" x14ac:dyDescent="0.25">
      <c r="I2234" s="46"/>
      <c r="J2234" s="26"/>
      <c r="K2234" s="26"/>
      <c r="L2234" s="26"/>
      <c r="M2234" s="26"/>
      <c r="N2234" s="26"/>
      <c r="O2234" s="26"/>
      <c r="P2234" s="26"/>
      <c r="Q2234" s="26"/>
      <c r="R2234" s="26"/>
    </row>
    <row r="2235" spans="9:18" x14ac:dyDescent="0.25">
      <c r="I2235" s="46"/>
      <c r="J2235" s="26"/>
      <c r="K2235" s="26"/>
      <c r="L2235" s="26"/>
      <c r="M2235" s="26"/>
      <c r="N2235" s="26"/>
      <c r="O2235" s="26"/>
      <c r="P2235" s="26"/>
      <c r="Q2235" s="26"/>
      <c r="R2235" s="26"/>
    </row>
    <row r="2236" spans="9:18" x14ac:dyDescent="0.25">
      <c r="I2236" s="46"/>
      <c r="J2236" s="26"/>
      <c r="K2236" s="26"/>
      <c r="L2236" s="26"/>
      <c r="M2236" s="26"/>
      <c r="N2236" s="26"/>
      <c r="O2236" s="26"/>
      <c r="P2236" s="26"/>
      <c r="Q2236" s="26"/>
      <c r="R2236" s="26"/>
    </row>
    <row r="2237" spans="9:18" x14ac:dyDescent="0.25">
      <c r="I2237" s="46"/>
      <c r="J2237" s="26"/>
      <c r="K2237" s="26"/>
      <c r="L2237" s="26"/>
      <c r="M2237" s="26"/>
      <c r="N2237" s="26"/>
      <c r="O2237" s="26"/>
      <c r="P2237" s="26"/>
      <c r="Q2237" s="26"/>
      <c r="R2237" s="26"/>
    </row>
    <row r="2238" spans="9:18" x14ac:dyDescent="0.25">
      <c r="I2238" s="46"/>
      <c r="J2238" s="26"/>
      <c r="K2238" s="26"/>
      <c r="L2238" s="26"/>
      <c r="M2238" s="26"/>
      <c r="N2238" s="26"/>
      <c r="O2238" s="26"/>
      <c r="P2238" s="26"/>
      <c r="Q2238" s="26"/>
      <c r="R2238" s="26"/>
    </row>
    <row r="2239" spans="9:18" x14ac:dyDescent="0.25">
      <c r="I2239" s="46"/>
      <c r="J2239" s="26"/>
      <c r="K2239" s="26"/>
      <c r="L2239" s="26"/>
      <c r="M2239" s="26"/>
      <c r="N2239" s="26"/>
      <c r="O2239" s="26"/>
      <c r="P2239" s="26"/>
      <c r="Q2239" s="26"/>
      <c r="R2239" s="26"/>
    </row>
    <row r="2240" spans="9:18" x14ac:dyDescent="0.25">
      <c r="I2240" s="46"/>
      <c r="J2240" s="26"/>
      <c r="K2240" s="26"/>
      <c r="L2240" s="26"/>
      <c r="M2240" s="26"/>
      <c r="N2240" s="26"/>
      <c r="O2240" s="26"/>
      <c r="P2240" s="26"/>
      <c r="Q2240" s="26"/>
      <c r="R2240" s="26"/>
    </row>
    <row r="2241" spans="9:18" x14ac:dyDescent="0.25">
      <c r="I2241" s="46"/>
      <c r="J2241" s="26"/>
      <c r="K2241" s="26"/>
      <c r="L2241" s="26"/>
      <c r="M2241" s="26"/>
      <c r="N2241" s="26"/>
      <c r="O2241" s="26"/>
      <c r="P2241" s="26"/>
      <c r="Q2241" s="26"/>
      <c r="R2241" s="26"/>
    </row>
    <row r="2242" spans="9:18" x14ac:dyDescent="0.25">
      <c r="I2242" s="46"/>
      <c r="J2242" s="26"/>
      <c r="K2242" s="26"/>
      <c r="L2242" s="26"/>
      <c r="M2242" s="26"/>
      <c r="N2242" s="26"/>
      <c r="O2242" s="26"/>
      <c r="P2242" s="26"/>
      <c r="Q2242" s="26"/>
      <c r="R2242" s="26"/>
    </row>
    <row r="2243" spans="9:18" x14ac:dyDescent="0.25">
      <c r="I2243" s="46"/>
      <c r="J2243" s="26"/>
      <c r="K2243" s="26"/>
      <c r="L2243" s="26"/>
      <c r="M2243" s="26"/>
      <c r="N2243" s="26"/>
      <c r="O2243" s="26"/>
      <c r="P2243" s="26"/>
      <c r="Q2243" s="26"/>
      <c r="R2243" s="26"/>
    </row>
    <row r="2244" spans="9:18" x14ac:dyDescent="0.25">
      <c r="I2244" s="46"/>
      <c r="J2244" s="26"/>
      <c r="K2244" s="26"/>
      <c r="L2244" s="26"/>
      <c r="M2244" s="26"/>
      <c r="N2244" s="26"/>
      <c r="O2244" s="26"/>
      <c r="P2244" s="26"/>
      <c r="Q2244" s="26"/>
      <c r="R2244" s="26"/>
    </row>
    <row r="2245" spans="9:18" x14ac:dyDescent="0.25">
      <c r="I2245" s="46"/>
      <c r="J2245" s="26"/>
      <c r="K2245" s="26"/>
      <c r="L2245" s="26"/>
      <c r="M2245" s="26"/>
      <c r="N2245" s="26"/>
      <c r="O2245" s="26"/>
      <c r="P2245" s="26"/>
      <c r="Q2245" s="26"/>
      <c r="R2245" s="26"/>
    </row>
    <row r="2246" spans="9:18" x14ac:dyDescent="0.25">
      <c r="I2246" s="46"/>
      <c r="J2246" s="26"/>
      <c r="K2246" s="26"/>
      <c r="L2246" s="26"/>
      <c r="M2246" s="26"/>
      <c r="N2246" s="26"/>
      <c r="O2246" s="26"/>
      <c r="P2246" s="26"/>
      <c r="Q2246" s="26"/>
      <c r="R2246" s="26"/>
    </row>
    <row r="2247" spans="9:18" x14ac:dyDescent="0.25">
      <c r="I2247" s="46"/>
      <c r="J2247" s="26"/>
      <c r="K2247" s="26"/>
      <c r="L2247" s="26"/>
      <c r="M2247" s="26"/>
      <c r="N2247" s="26"/>
      <c r="O2247" s="26"/>
      <c r="P2247" s="26"/>
      <c r="Q2247" s="26"/>
      <c r="R2247" s="26"/>
    </row>
    <row r="2248" spans="9:18" x14ac:dyDescent="0.25">
      <c r="I2248" s="46"/>
      <c r="J2248" s="26"/>
      <c r="K2248" s="26"/>
      <c r="L2248" s="26"/>
      <c r="M2248" s="26"/>
      <c r="N2248" s="26"/>
      <c r="O2248" s="26"/>
      <c r="P2248" s="26"/>
      <c r="Q2248" s="26"/>
      <c r="R2248" s="26"/>
    </row>
    <row r="2249" spans="9:18" x14ac:dyDescent="0.25">
      <c r="I2249" s="46"/>
      <c r="J2249" s="26"/>
      <c r="K2249" s="26"/>
      <c r="L2249" s="26"/>
      <c r="M2249" s="26"/>
      <c r="N2249" s="26"/>
      <c r="O2249" s="26"/>
      <c r="P2249" s="26"/>
      <c r="Q2249" s="26"/>
      <c r="R2249" s="26"/>
    </row>
    <row r="2250" spans="9:18" x14ac:dyDescent="0.25">
      <c r="I2250" s="46"/>
      <c r="J2250" s="26"/>
      <c r="K2250" s="26"/>
      <c r="L2250" s="26"/>
      <c r="M2250" s="26"/>
      <c r="N2250" s="26"/>
      <c r="O2250" s="26"/>
      <c r="P2250" s="26"/>
      <c r="Q2250" s="26"/>
      <c r="R2250" s="26"/>
    </row>
    <row r="2251" spans="9:18" x14ac:dyDescent="0.25">
      <c r="I2251" s="46"/>
      <c r="J2251" s="26"/>
      <c r="K2251" s="26"/>
      <c r="L2251" s="26"/>
      <c r="M2251" s="26"/>
      <c r="N2251" s="26"/>
      <c r="O2251" s="26"/>
      <c r="P2251" s="26"/>
      <c r="Q2251" s="26"/>
      <c r="R2251" s="26"/>
    </row>
    <row r="2252" spans="9:18" x14ac:dyDescent="0.25">
      <c r="I2252" s="46"/>
      <c r="J2252" s="26"/>
      <c r="K2252" s="26"/>
      <c r="L2252" s="26"/>
      <c r="M2252" s="26"/>
      <c r="N2252" s="26"/>
      <c r="O2252" s="26"/>
      <c r="P2252" s="26"/>
      <c r="Q2252" s="26"/>
      <c r="R2252" s="26"/>
    </row>
    <row r="2253" spans="9:18" x14ac:dyDescent="0.25">
      <c r="I2253" s="46"/>
      <c r="J2253" s="26"/>
      <c r="K2253" s="26"/>
      <c r="L2253" s="26"/>
      <c r="M2253" s="26"/>
      <c r="N2253" s="26"/>
      <c r="O2253" s="26"/>
      <c r="P2253" s="26"/>
      <c r="Q2253" s="26"/>
      <c r="R2253" s="26"/>
    </row>
    <row r="2254" spans="9:18" x14ac:dyDescent="0.25">
      <c r="I2254" s="46"/>
      <c r="J2254" s="26"/>
      <c r="K2254" s="26"/>
      <c r="L2254" s="26"/>
      <c r="M2254" s="26"/>
      <c r="N2254" s="26"/>
      <c r="O2254" s="26"/>
      <c r="P2254" s="26"/>
      <c r="Q2254" s="26"/>
      <c r="R2254" s="26"/>
    </row>
    <row r="2255" spans="9:18" x14ac:dyDescent="0.25">
      <c r="I2255" s="46"/>
      <c r="J2255" s="26"/>
      <c r="K2255" s="26"/>
      <c r="L2255" s="26"/>
      <c r="M2255" s="26"/>
      <c r="N2255" s="26"/>
      <c r="O2255" s="26"/>
      <c r="P2255" s="26"/>
      <c r="Q2255" s="26"/>
      <c r="R2255" s="26"/>
    </row>
    <row r="2256" spans="9:18" x14ac:dyDescent="0.25">
      <c r="I2256" s="46"/>
      <c r="J2256" s="26"/>
      <c r="K2256" s="26"/>
      <c r="L2256" s="26"/>
      <c r="M2256" s="26"/>
      <c r="N2256" s="26"/>
      <c r="O2256" s="26"/>
      <c r="P2256" s="26"/>
      <c r="Q2256" s="26"/>
      <c r="R2256" s="26"/>
    </row>
    <row r="2257" spans="9:18" x14ac:dyDescent="0.25">
      <c r="I2257" s="46"/>
      <c r="J2257" s="26"/>
      <c r="K2257" s="26"/>
      <c r="L2257" s="26"/>
      <c r="M2257" s="26"/>
      <c r="N2257" s="26"/>
      <c r="O2257" s="26"/>
      <c r="P2257" s="26"/>
      <c r="Q2257" s="26"/>
      <c r="R2257" s="26"/>
    </row>
    <row r="2258" spans="9:18" x14ac:dyDescent="0.25">
      <c r="I2258" s="46"/>
      <c r="J2258" s="26"/>
      <c r="K2258" s="26"/>
      <c r="L2258" s="26"/>
      <c r="M2258" s="26"/>
      <c r="N2258" s="26"/>
      <c r="O2258" s="26"/>
      <c r="P2258" s="26"/>
      <c r="Q2258" s="26"/>
      <c r="R2258" s="26"/>
    </row>
    <row r="2259" spans="9:18" x14ac:dyDescent="0.25">
      <c r="I2259" s="46"/>
      <c r="J2259" s="26"/>
      <c r="K2259" s="26"/>
      <c r="L2259" s="26"/>
      <c r="M2259" s="26"/>
      <c r="N2259" s="26"/>
      <c r="O2259" s="26"/>
      <c r="P2259" s="26"/>
      <c r="Q2259" s="26"/>
      <c r="R2259" s="26"/>
    </row>
    <row r="2260" spans="9:18" x14ac:dyDescent="0.25">
      <c r="I2260" s="46"/>
      <c r="J2260" s="26"/>
      <c r="K2260" s="26"/>
      <c r="L2260" s="26"/>
      <c r="M2260" s="26"/>
      <c r="N2260" s="26"/>
      <c r="O2260" s="26"/>
      <c r="P2260" s="26"/>
      <c r="Q2260" s="26"/>
      <c r="R2260" s="26"/>
    </row>
    <row r="2261" spans="9:18" x14ac:dyDescent="0.25">
      <c r="I2261" s="46"/>
      <c r="J2261" s="26"/>
      <c r="K2261" s="26"/>
      <c r="L2261" s="26"/>
      <c r="M2261" s="26"/>
      <c r="N2261" s="26"/>
      <c r="O2261" s="26"/>
      <c r="P2261" s="26"/>
      <c r="Q2261" s="26"/>
      <c r="R2261" s="26"/>
    </row>
    <row r="2262" spans="9:18" x14ac:dyDescent="0.25">
      <c r="I2262" s="46"/>
      <c r="J2262" s="26"/>
      <c r="K2262" s="26"/>
      <c r="L2262" s="26"/>
      <c r="M2262" s="26"/>
      <c r="N2262" s="26"/>
      <c r="O2262" s="26"/>
      <c r="P2262" s="26"/>
      <c r="Q2262" s="26"/>
      <c r="R2262" s="26"/>
    </row>
    <row r="2263" spans="9:18" x14ac:dyDescent="0.25">
      <c r="I2263" s="46"/>
      <c r="J2263" s="26"/>
      <c r="K2263" s="26"/>
      <c r="L2263" s="26"/>
      <c r="M2263" s="26"/>
      <c r="N2263" s="26"/>
      <c r="O2263" s="26"/>
      <c r="P2263" s="26"/>
      <c r="Q2263" s="26"/>
      <c r="R2263" s="26"/>
    </row>
    <row r="2264" spans="9:18" x14ac:dyDescent="0.25">
      <c r="I2264" s="46"/>
      <c r="J2264" s="26"/>
      <c r="K2264" s="26"/>
      <c r="L2264" s="26"/>
      <c r="M2264" s="26"/>
      <c r="N2264" s="26"/>
      <c r="O2264" s="26"/>
      <c r="P2264" s="26"/>
      <c r="Q2264" s="26"/>
      <c r="R2264" s="26"/>
    </row>
    <row r="2265" spans="9:18" x14ac:dyDescent="0.25">
      <c r="I2265" s="46"/>
      <c r="J2265" s="26"/>
      <c r="K2265" s="26"/>
      <c r="L2265" s="26"/>
      <c r="M2265" s="26"/>
      <c r="N2265" s="26"/>
      <c r="O2265" s="26"/>
      <c r="P2265" s="26"/>
      <c r="Q2265" s="26"/>
      <c r="R2265" s="26"/>
    </row>
    <row r="2266" spans="9:18" x14ac:dyDescent="0.25">
      <c r="I2266" s="46"/>
      <c r="J2266" s="26"/>
      <c r="K2266" s="26"/>
      <c r="L2266" s="26"/>
      <c r="M2266" s="26"/>
      <c r="N2266" s="26"/>
      <c r="O2266" s="26"/>
      <c r="P2266" s="26"/>
      <c r="Q2266" s="26"/>
      <c r="R2266" s="26"/>
    </row>
    <row r="2267" spans="9:18" x14ac:dyDescent="0.25">
      <c r="I2267" s="46"/>
      <c r="J2267" s="26"/>
      <c r="K2267" s="26"/>
      <c r="L2267" s="26"/>
      <c r="M2267" s="26"/>
      <c r="N2267" s="26"/>
      <c r="O2267" s="26"/>
      <c r="P2267" s="26"/>
      <c r="Q2267" s="26"/>
      <c r="R2267" s="26"/>
    </row>
    <row r="2268" spans="9:18" x14ac:dyDescent="0.25">
      <c r="I2268" s="46"/>
      <c r="J2268" s="26"/>
      <c r="K2268" s="26"/>
      <c r="L2268" s="26"/>
      <c r="M2268" s="26"/>
      <c r="N2268" s="26"/>
      <c r="O2268" s="26"/>
      <c r="P2268" s="26"/>
      <c r="Q2268" s="26"/>
      <c r="R2268" s="26"/>
    </row>
    <row r="2269" spans="9:18" x14ac:dyDescent="0.25">
      <c r="I2269" s="46"/>
      <c r="J2269" s="26"/>
      <c r="K2269" s="26"/>
      <c r="L2269" s="26"/>
      <c r="M2269" s="26"/>
      <c r="N2269" s="26"/>
      <c r="O2269" s="26"/>
      <c r="P2269" s="26"/>
      <c r="Q2269" s="26"/>
      <c r="R2269" s="26"/>
    </row>
    <row r="2270" spans="9:18" x14ac:dyDescent="0.25">
      <c r="I2270" s="46"/>
      <c r="J2270" s="26"/>
      <c r="K2270" s="26"/>
      <c r="L2270" s="26"/>
      <c r="M2270" s="26"/>
      <c r="N2270" s="26"/>
      <c r="O2270" s="26"/>
      <c r="P2270" s="26"/>
      <c r="Q2270" s="26"/>
      <c r="R2270" s="26"/>
    </row>
    <row r="2271" spans="9:18" x14ac:dyDescent="0.25">
      <c r="I2271" s="46"/>
      <c r="J2271" s="26"/>
      <c r="K2271" s="26"/>
      <c r="L2271" s="26"/>
      <c r="M2271" s="26"/>
      <c r="N2271" s="26"/>
      <c r="O2271" s="26"/>
      <c r="P2271" s="26"/>
      <c r="Q2271" s="26"/>
      <c r="R2271" s="26"/>
    </row>
    <row r="2272" spans="9:18" x14ac:dyDescent="0.25">
      <c r="I2272" s="46"/>
      <c r="J2272" s="26"/>
      <c r="K2272" s="26"/>
      <c r="L2272" s="26"/>
      <c r="M2272" s="26"/>
      <c r="N2272" s="26"/>
      <c r="O2272" s="26"/>
      <c r="P2272" s="26"/>
      <c r="Q2272" s="26"/>
      <c r="R2272" s="26"/>
    </row>
    <row r="2273" spans="9:18" x14ac:dyDescent="0.25">
      <c r="I2273" s="46"/>
      <c r="J2273" s="26"/>
      <c r="K2273" s="26"/>
      <c r="L2273" s="26"/>
      <c r="M2273" s="26"/>
      <c r="N2273" s="26"/>
      <c r="O2273" s="26"/>
      <c r="P2273" s="26"/>
      <c r="Q2273" s="26"/>
      <c r="R2273" s="26"/>
    </row>
    <row r="2274" spans="9:18" x14ac:dyDescent="0.25">
      <c r="I2274" s="46"/>
      <c r="J2274" s="26"/>
      <c r="K2274" s="26"/>
      <c r="L2274" s="26"/>
      <c r="M2274" s="26"/>
      <c r="N2274" s="26"/>
      <c r="O2274" s="26"/>
      <c r="P2274" s="26"/>
      <c r="Q2274" s="26"/>
      <c r="R2274" s="26"/>
    </row>
    <row r="2275" spans="9:18" x14ac:dyDescent="0.25">
      <c r="I2275" s="46"/>
      <c r="J2275" s="26"/>
      <c r="K2275" s="26"/>
      <c r="L2275" s="26"/>
      <c r="M2275" s="26"/>
      <c r="N2275" s="26"/>
      <c r="O2275" s="26"/>
      <c r="P2275" s="26"/>
      <c r="Q2275" s="26"/>
      <c r="R2275" s="26"/>
    </row>
    <row r="2276" spans="9:18" x14ac:dyDescent="0.25">
      <c r="I2276" s="46"/>
      <c r="J2276" s="26"/>
      <c r="K2276" s="26"/>
      <c r="L2276" s="26"/>
      <c r="M2276" s="26"/>
      <c r="N2276" s="26"/>
      <c r="O2276" s="26"/>
      <c r="P2276" s="26"/>
      <c r="Q2276" s="26"/>
      <c r="R2276" s="26"/>
    </row>
    <row r="2277" spans="9:18" x14ac:dyDescent="0.25">
      <c r="I2277" s="46"/>
      <c r="J2277" s="26"/>
      <c r="K2277" s="26"/>
      <c r="L2277" s="26"/>
      <c r="M2277" s="26"/>
      <c r="N2277" s="26"/>
      <c r="O2277" s="26"/>
      <c r="P2277" s="26"/>
      <c r="Q2277" s="26"/>
      <c r="R2277" s="26"/>
    </row>
    <row r="2278" spans="9:18" x14ac:dyDescent="0.25">
      <c r="I2278" s="46"/>
      <c r="J2278" s="26"/>
      <c r="K2278" s="26"/>
      <c r="L2278" s="26"/>
      <c r="M2278" s="26"/>
      <c r="N2278" s="26"/>
      <c r="O2278" s="26"/>
      <c r="P2278" s="26"/>
      <c r="Q2278" s="26"/>
      <c r="R2278" s="26"/>
    </row>
    <row r="2279" spans="9:18" x14ac:dyDescent="0.25">
      <c r="I2279" s="46"/>
      <c r="J2279" s="26"/>
      <c r="K2279" s="26"/>
      <c r="L2279" s="26"/>
      <c r="M2279" s="26"/>
      <c r="N2279" s="26"/>
      <c r="O2279" s="26"/>
      <c r="P2279" s="26"/>
      <c r="Q2279" s="26"/>
      <c r="R2279" s="26"/>
    </row>
    <row r="2280" spans="9:18" x14ac:dyDescent="0.25">
      <c r="I2280" s="46"/>
      <c r="J2280" s="26"/>
      <c r="K2280" s="26"/>
      <c r="L2280" s="26"/>
      <c r="M2280" s="26"/>
      <c r="N2280" s="26"/>
      <c r="O2280" s="26"/>
      <c r="P2280" s="26"/>
      <c r="Q2280" s="26"/>
      <c r="R2280" s="26"/>
    </row>
    <row r="2281" spans="9:18" x14ac:dyDescent="0.25">
      <c r="I2281" s="46"/>
      <c r="J2281" s="26"/>
      <c r="K2281" s="26"/>
      <c r="L2281" s="26"/>
      <c r="M2281" s="26"/>
      <c r="N2281" s="26"/>
      <c r="O2281" s="26"/>
      <c r="P2281" s="26"/>
      <c r="Q2281" s="26"/>
      <c r="R2281" s="26"/>
    </row>
    <row r="2282" spans="9:18" x14ac:dyDescent="0.25">
      <c r="I2282" s="46"/>
      <c r="J2282" s="26"/>
      <c r="K2282" s="26"/>
      <c r="L2282" s="26"/>
      <c r="M2282" s="26"/>
      <c r="N2282" s="26"/>
      <c r="O2282" s="26"/>
      <c r="P2282" s="26"/>
      <c r="Q2282" s="26"/>
      <c r="R2282" s="26"/>
    </row>
    <row r="2283" spans="9:18" x14ac:dyDescent="0.25">
      <c r="I2283" s="46"/>
      <c r="J2283" s="26"/>
      <c r="K2283" s="26"/>
      <c r="L2283" s="26"/>
      <c r="M2283" s="26"/>
      <c r="N2283" s="26"/>
      <c r="O2283" s="26"/>
      <c r="P2283" s="26"/>
      <c r="Q2283" s="26"/>
      <c r="R2283" s="26"/>
    </row>
    <row r="2284" spans="9:18" x14ac:dyDescent="0.25">
      <c r="I2284" s="46"/>
      <c r="J2284" s="26"/>
      <c r="K2284" s="26"/>
      <c r="L2284" s="26"/>
      <c r="M2284" s="26"/>
      <c r="N2284" s="26"/>
      <c r="O2284" s="26"/>
      <c r="P2284" s="26"/>
      <c r="Q2284" s="26"/>
      <c r="R2284" s="26"/>
    </row>
    <row r="2285" spans="9:18" x14ac:dyDescent="0.25">
      <c r="I2285" s="46"/>
      <c r="J2285" s="26"/>
      <c r="K2285" s="26"/>
      <c r="L2285" s="26"/>
      <c r="M2285" s="26"/>
      <c r="N2285" s="26"/>
      <c r="O2285" s="26"/>
      <c r="P2285" s="26"/>
      <c r="Q2285" s="26"/>
      <c r="R2285" s="26"/>
    </row>
    <row r="2286" spans="9:18" x14ac:dyDescent="0.25">
      <c r="I2286" s="46"/>
      <c r="J2286" s="26"/>
      <c r="K2286" s="26"/>
      <c r="L2286" s="26"/>
      <c r="M2286" s="26"/>
      <c r="N2286" s="26"/>
      <c r="O2286" s="26"/>
      <c r="P2286" s="26"/>
      <c r="Q2286" s="26"/>
      <c r="R2286" s="26"/>
    </row>
    <row r="2287" spans="9:18" x14ac:dyDescent="0.25">
      <c r="I2287" s="46"/>
      <c r="J2287" s="26"/>
      <c r="K2287" s="26"/>
      <c r="L2287" s="26"/>
      <c r="M2287" s="26"/>
      <c r="N2287" s="26"/>
      <c r="O2287" s="26"/>
      <c r="P2287" s="26"/>
      <c r="Q2287" s="26"/>
      <c r="R2287" s="26"/>
    </row>
    <row r="2288" spans="9:18" x14ac:dyDescent="0.25">
      <c r="I2288" s="46"/>
      <c r="J2288" s="26"/>
      <c r="K2288" s="26"/>
      <c r="L2288" s="26"/>
      <c r="M2288" s="26"/>
      <c r="N2288" s="26"/>
      <c r="O2288" s="26"/>
      <c r="P2288" s="26"/>
      <c r="Q2288" s="26"/>
      <c r="R2288" s="26"/>
    </row>
    <row r="2289" spans="9:18" x14ac:dyDescent="0.25">
      <c r="I2289" s="46"/>
      <c r="J2289" s="26"/>
      <c r="K2289" s="26"/>
      <c r="L2289" s="26"/>
      <c r="M2289" s="26"/>
      <c r="N2289" s="26"/>
      <c r="O2289" s="26"/>
      <c r="P2289" s="26"/>
      <c r="Q2289" s="26"/>
      <c r="R2289" s="26"/>
    </row>
    <row r="2290" spans="9:18" x14ac:dyDescent="0.25">
      <c r="I2290" s="46"/>
      <c r="J2290" s="26"/>
      <c r="K2290" s="26"/>
      <c r="L2290" s="26"/>
      <c r="M2290" s="26"/>
      <c r="N2290" s="26"/>
      <c r="O2290" s="26"/>
      <c r="P2290" s="26"/>
      <c r="Q2290" s="26"/>
      <c r="R2290" s="26"/>
    </row>
    <row r="2291" spans="9:18" x14ac:dyDescent="0.25">
      <c r="I2291" s="46"/>
      <c r="J2291" s="26"/>
      <c r="K2291" s="26"/>
      <c r="L2291" s="26"/>
      <c r="M2291" s="26"/>
      <c r="N2291" s="26"/>
      <c r="O2291" s="26"/>
      <c r="P2291" s="26"/>
      <c r="Q2291" s="26"/>
      <c r="R2291" s="26"/>
    </row>
    <row r="2292" spans="9:18" x14ac:dyDescent="0.25">
      <c r="I2292" s="46"/>
      <c r="J2292" s="26"/>
      <c r="K2292" s="26"/>
      <c r="L2292" s="26"/>
      <c r="M2292" s="26"/>
      <c r="N2292" s="26"/>
      <c r="O2292" s="26"/>
      <c r="P2292" s="26"/>
      <c r="Q2292" s="26"/>
      <c r="R2292" s="26"/>
    </row>
    <row r="2293" spans="9:18" x14ac:dyDescent="0.25">
      <c r="I2293" s="46"/>
      <c r="J2293" s="26"/>
      <c r="K2293" s="26"/>
      <c r="L2293" s="26"/>
      <c r="M2293" s="26"/>
      <c r="N2293" s="26"/>
      <c r="O2293" s="26"/>
      <c r="P2293" s="26"/>
      <c r="Q2293" s="26"/>
      <c r="R2293" s="26"/>
    </row>
    <row r="2294" spans="9:18" x14ac:dyDescent="0.25">
      <c r="I2294" s="46"/>
      <c r="J2294" s="26"/>
      <c r="K2294" s="26"/>
      <c r="L2294" s="26"/>
      <c r="M2294" s="26"/>
      <c r="N2294" s="26"/>
      <c r="O2294" s="26"/>
      <c r="P2294" s="26"/>
      <c r="Q2294" s="26"/>
      <c r="R2294" s="26"/>
    </row>
    <row r="2295" spans="9:18" x14ac:dyDescent="0.25">
      <c r="I2295" s="46"/>
      <c r="J2295" s="26"/>
      <c r="K2295" s="26"/>
      <c r="L2295" s="26"/>
      <c r="M2295" s="26"/>
      <c r="N2295" s="26"/>
      <c r="O2295" s="26"/>
      <c r="P2295" s="26"/>
      <c r="Q2295" s="26"/>
      <c r="R2295" s="26"/>
    </row>
    <row r="2296" spans="9:18" x14ac:dyDescent="0.25">
      <c r="I2296" s="46"/>
      <c r="J2296" s="26"/>
      <c r="K2296" s="26"/>
      <c r="L2296" s="26"/>
      <c r="M2296" s="26"/>
      <c r="N2296" s="26"/>
      <c r="O2296" s="26"/>
      <c r="P2296" s="26"/>
      <c r="Q2296" s="26"/>
      <c r="R2296" s="26"/>
    </row>
    <row r="2297" spans="9:18" x14ac:dyDescent="0.25">
      <c r="I2297" s="46"/>
      <c r="J2297" s="26"/>
      <c r="K2297" s="26"/>
      <c r="L2297" s="26"/>
      <c r="M2297" s="26"/>
      <c r="N2297" s="26"/>
      <c r="O2297" s="26"/>
      <c r="P2297" s="26"/>
      <c r="Q2297" s="26"/>
      <c r="R2297" s="26"/>
    </row>
    <row r="2298" spans="9:18" x14ac:dyDescent="0.25">
      <c r="I2298" s="46"/>
      <c r="J2298" s="26"/>
      <c r="K2298" s="26"/>
      <c r="L2298" s="26"/>
      <c r="M2298" s="26"/>
      <c r="N2298" s="26"/>
      <c r="O2298" s="26"/>
      <c r="P2298" s="26"/>
      <c r="Q2298" s="26"/>
      <c r="R2298" s="26"/>
    </row>
    <row r="2299" spans="9:18" x14ac:dyDescent="0.25">
      <c r="I2299" s="46"/>
      <c r="J2299" s="26"/>
      <c r="K2299" s="26"/>
      <c r="L2299" s="26"/>
      <c r="M2299" s="26"/>
      <c r="N2299" s="26"/>
      <c r="O2299" s="26"/>
      <c r="P2299" s="26"/>
      <c r="Q2299" s="26"/>
      <c r="R2299" s="26"/>
    </row>
    <row r="2300" spans="9:18" x14ac:dyDescent="0.25">
      <c r="I2300" s="46"/>
      <c r="J2300" s="26"/>
      <c r="K2300" s="26"/>
      <c r="L2300" s="26"/>
      <c r="M2300" s="26"/>
      <c r="N2300" s="26"/>
      <c r="O2300" s="26"/>
      <c r="P2300" s="26"/>
      <c r="Q2300" s="26"/>
      <c r="R2300" s="26"/>
    </row>
    <row r="2301" spans="9:18" x14ac:dyDescent="0.25">
      <c r="I2301" s="46"/>
      <c r="J2301" s="26"/>
      <c r="K2301" s="26"/>
      <c r="L2301" s="26"/>
      <c r="M2301" s="26"/>
      <c r="N2301" s="26"/>
      <c r="O2301" s="26"/>
      <c r="P2301" s="26"/>
      <c r="Q2301" s="26"/>
      <c r="R2301" s="26"/>
    </row>
    <row r="2302" spans="9:18" x14ac:dyDescent="0.25">
      <c r="I2302" s="46"/>
      <c r="J2302" s="26"/>
      <c r="K2302" s="26"/>
      <c r="L2302" s="26"/>
      <c r="M2302" s="26"/>
      <c r="N2302" s="26"/>
      <c r="O2302" s="26"/>
      <c r="P2302" s="26"/>
      <c r="Q2302" s="26"/>
      <c r="R2302" s="26"/>
    </row>
    <row r="2303" spans="9:18" x14ac:dyDescent="0.25">
      <c r="I2303" s="46"/>
      <c r="J2303" s="26"/>
      <c r="K2303" s="26"/>
      <c r="L2303" s="26"/>
      <c r="M2303" s="26"/>
      <c r="N2303" s="26"/>
      <c r="O2303" s="26"/>
      <c r="P2303" s="26"/>
      <c r="Q2303" s="26"/>
      <c r="R2303" s="26"/>
    </row>
    <row r="2304" spans="9:18" x14ac:dyDescent="0.25">
      <c r="I2304" s="46"/>
      <c r="J2304" s="26"/>
      <c r="K2304" s="26"/>
      <c r="L2304" s="26"/>
      <c r="M2304" s="26"/>
      <c r="N2304" s="26"/>
      <c r="O2304" s="26"/>
      <c r="P2304" s="26"/>
      <c r="Q2304" s="26"/>
      <c r="R2304" s="26"/>
    </row>
    <row r="2305" spans="9:18" x14ac:dyDescent="0.25">
      <c r="I2305" s="46"/>
      <c r="J2305" s="26"/>
      <c r="K2305" s="26"/>
      <c r="L2305" s="26"/>
      <c r="M2305" s="26"/>
      <c r="N2305" s="26"/>
      <c r="O2305" s="26"/>
      <c r="P2305" s="26"/>
      <c r="Q2305" s="26"/>
      <c r="R2305" s="26"/>
    </row>
    <row r="2306" spans="9:18" x14ac:dyDescent="0.25">
      <c r="I2306" s="46"/>
      <c r="J2306" s="26"/>
      <c r="K2306" s="26"/>
      <c r="L2306" s="26"/>
      <c r="M2306" s="26"/>
      <c r="N2306" s="26"/>
      <c r="O2306" s="26"/>
      <c r="P2306" s="26"/>
      <c r="Q2306" s="26"/>
      <c r="R2306" s="26"/>
    </row>
    <row r="2307" spans="9:18" x14ac:dyDescent="0.25">
      <c r="I2307" s="46"/>
      <c r="J2307" s="26"/>
      <c r="K2307" s="26"/>
      <c r="L2307" s="26"/>
      <c r="M2307" s="26"/>
      <c r="N2307" s="26"/>
      <c r="O2307" s="26"/>
      <c r="P2307" s="26"/>
      <c r="Q2307" s="26"/>
      <c r="R2307" s="26"/>
    </row>
    <row r="2308" spans="9:18" x14ac:dyDescent="0.25">
      <c r="I2308" s="46"/>
      <c r="J2308" s="26"/>
      <c r="K2308" s="26"/>
      <c r="L2308" s="26"/>
      <c r="M2308" s="26"/>
      <c r="N2308" s="26"/>
      <c r="O2308" s="26"/>
      <c r="P2308" s="26"/>
      <c r="Q2308" s="26"/>
      <c r="R2308" s="26"/>
    </row>
    <row r="2309" spans="9:18" x14ac:dyDescent="0.25">
      <c r="I2309" s="46"/>
      <c r="J2309" s="26"/>
      <c r="K2309" s="26"/>
      <c r="L2309" s="26"/>
      <c r="M2309" s="26"/>
      <c r="N2309" s="26"/>
      <c r="O2309" s="26"/>
      <c r="P2309" s="26"/>
      <c r="Q2309" s="26"/>
      <c r="R2309" s="26"/>
    </row>
    <row r="2310" spans="9:18" x14ac:dyDescent="0.25">
      <c r="I2310" s="46"/>
      <c r="J2310" s="26"/>
      <c r="K2310" s="26"/>
      <c r="L2310" s="26"/>
      <c r="M2310" s="26"/>
      <c r="N2310" s="26"/>
      <c r="O2310" s="26"/>
      <c r="P2310" s="26"/>
      <c r="Q2310" s="26"/>
      <c r="R2310" s="26"/>
    </row>
    <row r="2311" spans="9:18" x14ac:dyDescent="0.25">
      <c r="I2311" s="46"/>
      <c r="J2311" s="26"/>
      <c r="K2311" s="26"/>
      <c r="L2311" s="26"/>
      <c r="M2311" s="26"/>
      <c r="N2311" s="26"/>
      <c r="O2311" s="26"/>
      <c r="P2311" s="26"/>
      <c r="Q2311" s="26"/>
      <c r="R2311" s="26"/>
    </row>
    <row r="2312" spans="9:18" x14ac:dyDescent="0.25">
      <c r="I2312" s="46"/>
      <c r="J2312" s="26"/>
      <c r="K2312" s="26"/>
      <c r="L2312" s="26"/>
      <c r="M2312" s="26"/>
      <c r="N2312" s="26"/>
      <c r="O2312" s="26"/>
      <c r="P2312" s="26"/>
      <c r="Q2312" s="26"/>
      <c r="R2312" s="26"/>
    </row>
    <row r="2313" spans="9:18" x14ac:dyDescent="0.25">
      <c r="I2313" s="46"/>
      <c r="J2313" s="26"/>
      <c r="K2313" s="26"/>
      <c r="L2313" s="26"/>
      <c r="M2313" s="26"/>
      <c r="N2313" s="26"/>
      <c r="O2313" s="26"/>
      <c r="P2313" s="26"/>
      <c r="Q2313" s="26"/>
      <c r="R2313" s="26"/>
    </row>
    <row r="2314" spans="9:18" x14ac:dyDescent="0.25">
      <c r="I2314" s="46"/>
      <c r="J2314" s="26"/>
      <c r="K2314" s="26"/>
      <c r="L2314" s="26"/>
      <c r="M2314" s="26"/>
      <c r="N2314" s="26"/>
      <c r="O2314" s="26"/>
      <c r="P2314" s="26"/>
      <c r="Q2314" s="26"/>
      <c r="R2314" s="26"/>
    </row>
    <row r="2315" spans="9:18" x14ac:dyDescent="0.25">
      <c r="I2315" s="46"/>
      <c r="J2315" s="26"/>
      <c r="K2315" s="26"/>
      <c r="L2315" s="26"/>
      <c r="M2315" s="26"/>
      <c r="N2315" s="26"/>
      <c r="O2315" s="26"/>
      <c r="P2315" s="26"/>
      <c r="Q2315" s="26"/>
      <c r="R2315" s="26"/>
    </row>
    <row r="2316" spans="9:18" x14ac:dyDescent="0.25">
      <c r="I2316" s="46"/>
      <c r="J2316" s="26"/>
      <c r="K2316" s="26"/>
      <c r="L2316" s="26"/>
      <c r="M2316" s="26"/>
      <c r="N2316" s="26"/>
      <c r="O2316" s="26"/>
      <c r="P2316" s="26"/>
      <c r="Q2316" s="26"/>
      <c r="R2316" s="26"/>
    </row>
    <row r="2317" spans="9:18" x14ac:dyDescent="0.25">
      <c r="I2317" s="46"/>
      <c r="J2317" s="26"/>
      <c r="K2317" s="26"/>
      <c r="L2317" s="26"/>
      <c r="M2317" s="26"/>
      <c r="N2317" s="26"/>
      <c r="O2317" s="26"/>
      <c r="P2317" s="26"/>
      <c r="Q2317" s="26"/>
      <c r="R2317" s="26"/>
    </row>
    <row r="2318" spans="9:18" x14ac:dyDescent="0.25">
      <c r="I2318" s="46"/>
      <c r="J2318" s="26"/>
      <c r="K2318" s="26"/>
      <c r="L2318" s="26"/>
      <c r="M2318" s="26"/>
      <c r="N2318" s="26"/>
      <c r="O2318" s="26"/>
      <c r="P2318" s="26"/>
      <c r="Q2318" s="26"/>
      <c r="R2318" s="26"/>
    </row>
    <row r="2319" spans="9:18" x14ac:dyDescent="0.25">
      <c r="I2319" s="46"/>
      <c r="J2319" s="26"/>
      <c r="K2319" s="26"/>
      <c r="L2319" s="26"/>
      <c r="M2319" s="26"/>
      <c r="N2319" s="26"/>
      <c r="O2319" s="26"/>
      <c r="P2319" s="26"/>
      <c r="Q2319" s="26"/>
      <c r="R2319" s="26"/>
    </row>
    <row r="2320" spans="9:18" x14ac:dyDescent="0.25">
      <c r="I2320" s="46"/>
      <c r="J2320" s="26"/>
      <c r="K2320" s="26"/>
      <c r="L2320" s="26"/>
      <c r="M2320" s="26"/>
      <c r="N2320" s="26"/>
      <c r="O2320" s="26"/>
      <c r="P2320" s="26"/>
      <c r="Q2320" s="26"/>
      <c r="R2320" s="26"/>
    </row>
    <row r="2321" spans="9:18" x14ac:dyDescent="0.25">
      <c r="I2321" s="46"/>
      <c r="J2321" s="26"/>
      <c r="K2321" s="26"/>
      <c r="L2321" s="26"/>
      <c r="M2321" s="26"/>
      <c r="N2321" s="26"/>
      <c r="O2321" s="26"/>
      <c r="P2321" s="26"/>
      <c r="Q2321" s="26"/>
      <c r="R2321" s="26"/>
    </row>
    <row r="2322" spans="9:18" x14ac:dyDescent="0.25">
      <c r="I2322" s="46"/>
      <c r="J2322" s="26"/>
      <c r="K2322" s="26"/>
      <c r="L2322" s="26"/>
      <c r="M2322" s="26"/>
      <c r="N2322" s="26"/>
      <c r="O2322" s="26"/>
      <c r="P2322" s="26"/>
      <c r="Q2322" s="26"/>
      <c r="R2322" s="26"/>
    </row>
    <row r="2323" spans="9:18" x14ac:dyDescent="0.25">
      <c r="I2323" s="46"/>
      <c r="J2323" s="26"/>
      <c r="K2323" s="26"/>
      <c r="L2323" s="26"/>
      <c r="M2323" s="26"/>
      <c r="N2323" s="26"/>
      <c r="O2323" s="26"/>
      <c r="P2323" s="26"/>
      <c r="Q2323" s="26"/>
      <c r="R2323" s="26"/>
    </row>
    <row r="2324" spans="9:18" x14ac:dyDescent="0.25">
      <c r="I2324" s="46"/>
      <c r="J2324" s="26"/>
      <c r="K2324" s="26"/>
      <c r="L2324" s="26"/>
      <c r="M2324" s="26"/>
      <c r="N2324" s="26"/>
      <c r="O2324" s="26"/>
      <c r="P2324" s="26"/>
      <c r="Q2324" s="26"/>
      <c r="R2324" s="26"/>
    </row>
    <row r="2325" spans="9:18" x14ac:dyDescent="0.25">
      <c r="I2325" s="46"/>
      <c r="J2325" s="26"/>
      <c r="K2325" s="26"/>
      <c r="L2325" s="26"/>
      <c r="M2325" s="26"/>
      <c r="N2325" s="26"/>
      <c r="O2325" s="26"/>
      <c r="P2325" s="26"/>
      <c r="Q2325" s="26"/>
      <c r="R2325" s="26"/>
    </row>
    <row r="2326" spans="9:18" x14ac:dyDescent="0.25">
      <c r="I2326" s="46"/>
      <c r="J2326" s="26"/>
      <c r="K2326" s="26"/>
      <c r="L2326" s="26"/>
      <c r="M2326" s="26"/>
      <c r="N2326" s="26"/>
      <c r="O2326" s="26"/>
      <c r="P2326" s="26"/>
      <c r="Q2326" s="26"/>
      <c r="R2326" s="26"/>
    </row>
    <row r="2327" spans="9:18" x14ac:dyDescent="0.25">
      <c r="I2327" s="46"/>
      <c r="J2327" s="26"/>
      <c r="K2327" s="26"/>
      <c r="L2327" s="26"/>
      <c r="M2327" s="26"/>
      <c r="N2327" s="26"/>
      <c r="O2327" s="26"/>
      <c r="P2327" s="26"/>
      <c r="Q2327" s="26"/>
      <c r="R2327" s="26"/>
    </row>
    <row r="2328" spans="9:18" x14ac:dyDescent="0.25">
      <c r="I2328" s="46"/>
      <c r="J2328" s="26"/>
      <c r="K2328" s="26"/>
      <c r="L2328" s="26"/>
      <c r="M2328" s="26"/>
      <c r="N2328" s="26"/>
      <c r="O2328" s="26"/>
      <c r="P2328" s="26"/>
      <c r="Q2328" s="26"/>
      <c r="R2328" s="26"/>
    </row>
    <row r="2329" spans="9:18" x14ac:dyDescent="0.25">
      <c r="I2329" s="46"/>
      <c r="J2329" s="26"/>
      <c r="K2329" s="26"/>
      <c r="L2329" s="26"/>
      <c r="M2329" s="26"/>
      <c r="N2329" s="26"/>
      <c r="O2329" s="26"/>
      <c r="P2329" s="26"/>
      <c r="Q2329" s="26"/>
      <c r="R2329" s="26"/>
    </row>
    <row r="2330" spans="9:18" x14ac:dyDescent="0.25">
      <c r="I2330" s="46"/>
      <c r="J2330" s="26"/>
      <c r="K2330" s="26"/>
      <c r="L2330" s="26"/>
      <c r="M2330" s="26"/>
      <c r="N2330" s="26"/>
      <c r="O2330" s="26"/>
      <c r="P2330" s="26"/>
      <c r="Q2330" s="26"/>
      <c r="R2330" s="26"/>
    </row>
    <row r="2331" spans="9:18" x14ac:dyDescent="0.25">
      <c r="I2331" s="46"/>
      <c r="J2331" s="26"/>
      <c r="K2331" s="26"/>
      <c r="L2331" s="26"/>
      <c r="M2331" s="26"/>
      <c r="N2331" s="26"/>
      <c r="O2331" s="26"/>
      <c r="P2331" s="26"/>
      <c r="Q2331" s="26"/>
      <c r="R2331" s="26"/>
    </row>
    <row r="2332" spans="9:18" x14ac:dyDescent="0.25">
      <c r="I2332" s="46"/>
      <c r="J2332" s="26"/>
      <c r="K2332" s="26"/>
      <c r="L2332" s="26"/>
      <c r="M2332" s="26"/>
      <c r="N2332" s="26"/>
      <c r="O2332" s="26"/>
      <c r="P2332" s="26"/>
      <c r="Q2332" s="26"/>
      <c r="R2332" s="26"/>
    </row>
    <row r="2333" spans="9:18" x14ac:dyDescent="0.25">
      <c r="I2333" s="46"/>
      <c r="J2333" s="26"/>
      <c r="K2333" s="26"/>
      <c r="L2333" s="26"/>
      <c r="M2333" s="26"/>
      <c r="N2333" s="26"/>
      <c r="O2333" s="26"/>
      <c r="P2333" s="26"/>
      <c r="Q2333" s="26"/>
      <c r="R2333" s="26"/>
    </row>
    <row r="2334" spans="9:18" x14ac:dyDescent="0.25">
      <c r="I2334" s="46"/>
      <c r="J2334" s="26"/>
      <c r="K2334" s="26"/>
      <c r="L2334" s="26"/>
      <c r="M2334" s="26"/>
      <c r="N2334" s="26"/>
      <c r="O2334" s="26"/>
      <c r="P2334" s="26"/>
      <c r="Q2334" s="26"/>
      <c r="R2334" s="26"/>
    </row>
    <row r="2335" spans="9:18" x14ac:dyDescent="0.25">
      <c r="I2335" s="46"/>
      <c r="J2335" s="26"/>
      <c r="K2335" s="26"/>
      <c r="L2335" s="26"/>
      <c r="M2335" s="26"/>
      <c r="N2335" s="26"/>
      <c r="O2335" s="26"/>
      <c r="P2335" s="26"/>
      <c r="Q2335" s="26"/>
      <c r="R2335" s="26"/>
    </row>
    <row r="2336" spans="9:18" x14ac:dyDescent="0.25">
      <c r="I2336" s="46"/>
      <c r="J2336" s="26"/>
      <c r="K2336" s="26"/>
      <c r="L2336" s="26"/>
      <c r="M2336" s="26"/>
      <c r="N2336" s="26"/>
      <c r="O2336" s="26"/>
      <c r="P2336" s="26"/>
      <c r="Q2336" s="26"/>
      <c r="R2336" s="26"/>
    </row>
    <row r="2337" spans="9:18" x14ac:dyDescent="0.25">
      <c r="I2337" s="46"/>
      <c r="J2337" s="26"/>
      <c r="K2337" s="26"/>
      <c r="L2337" s="26"/>
      <c r="M2337" s="26"/>
      <c r="N2337" s="26"/>
      <c r="O2337" s="26"/>
      <c r="P2337" s="26"/>
      <c r="Q2337" s="26"/>
      <c r="R2337" s="26"/>
    </row>
    <row r="2338" spans="9:18" x14ac:dyDescent="0.25">
      <c r="I2338" s="46"/>
      <c r="J2338" s="26"/>
      <c r="K2338" s="26"/>
      <c r="L2338" s="26"/>
      <c r="M2338" s="26"/>
      <c r="N2338" s="26"/>
      <c r="O2338" s="26"/>
      <c r="P2338" s="26"/>
      <c r="Q2338" s="26"/>
      <c r="R2338" s="26"/>
    </row>
    <row r="2339" spans="9:18" x14ac:dyDescent="0.25">
      <c r="I2339" s="46"/>
      <c r="J2339" s="26"/>
      <c r="K2339" s="26"/>
      <c r="L2339" s="26"/>
      <c r="M2339" s="26"/>
      <c r="N2339" s="26"/>
      <c r="O2339" s="26"/>
      <c r="P2339" s="26"/>
      <c r="Q2339" s="26"/>
      <c r="R2339" s="26"/>
    </row>
    <row r="2340" spans="9:18" x14ac:dyDescent="0.25">
      <c r="I2340" s="46"/>
      <c r="J2340" s="26"/>
      <c r="K2340" s="26"/>
      <c r="L2340" s="26"/>
      <c r="M2340" s="26"/>
      <c r="N2340" s="26"/>
      <c r="O2340" s="26"/>
      <c r="P2340" s="26"/>
      <c r="Q2340" s="26"/>
      <c r="R2340" s="26"/>
    </row>
    <row r="2341" spans="9:18" x14ac:dyDescent="0.25">
      <c r="I2341" s="46"/>
      <c r="J2341" s="26"/>
      <c r="K2341" s="26"/>
      <c r="L2341" s="26"/>
      <c r="M2341" s="26"/>
      <c r="N2341" s="26"/>
      <c r="O2341" s="26"/>
      <c r="P2341" s="26"/>
      <c r="Q2341" s="26"/>
      <c r="R2341" s="26"/>
    </row>
    <row r="2342" spans="9:18" x14ac:dyDescent="0.25">
      <c r="I2342" s="46"/>
      <c r="J2342" s="26"/>
      <c r="K2342" s="26"/>
      <c r="L2342" s="26"/>
      <c r="M2342" s="26"/>
      <c r="N2342" s="26"/>
      <c r="O2342" s="26"/>
      <c r="P2342" s="26"/>
      <c r="Q2342" s="26"/>
      <c r="R2342" s="26"/>
    </row>
    <row r="2343" spans="9:18" x14ac:dyDescent="0.25">
      <c r="I2343" s="46"/>
      <c r="J2343" s="26"/>
      <c r="K2343" s="26"/>
      <c r="L2343" s="26"/>
      <c r="M2343" s="26"/>
      <c r="N2343" s="26"/>
      <c r="O2343" s="26"/>
      <c r="P2343" s="26"/>
      <c r="Q2343" s="26"/>
      <c r="R2343" s="26"/>
    </row>
    <row r="2344" spans="9:18" x14ac:dyDescent="0.25">
      <c r="I2344" s="46"/>
      <c r="J2344" s="26"/>
      <c r="K2344" s="26"/>
      <c r="L2344" s="26"/>
      <c r="M2344" s="26"/>
      <c r="N2344" s="26"/>
      <c r="O2344" s="26"/>
      <c r="P2344" s="26"/>
      <c r="Q2344" s="26"/>
      <c r="R2344" s="26"/>
    </row>
    <row r="2345" spans="9:18" x14ac:dyDescent="0.25">
      <c r="I2345" s="46"/>
      <c r="J2345" s="26"/>
      <c r="K2345" s="26"/>
      <c r="L2345" s="26"/>
      <c r="M2345" s="26"/>
      <c r="N2345" s="26"/>
      <c r="O2345" s="26"/>
      <c r="P2345" s="26"/>
      <c r="Q2345" s="26"/>
      <c r="R2345" s="26"/>
    </row>
    <row r="2346" spans="9:18" x14ac:dyDescent="0.25">
      <c r="I2346" s="46"/>
      <c r="J2346" s="26"/>
      <c r="K2346" s="26"/>
      <c r="L2346" s="26"/>
      <c r="M2346" s="26"/>
      <c r="N2346" s="26"/>
      <c r="O2346" s="26"/>
      <c r="P2346" s="26"/>
      <c r="Q2346" s="26"/>
      <c r="R2346" s="26"/>
    </row>
    <row r="2347" spans="9:18" x14ac:dyDescent="0.25">
      <c r="I2347" s="46"/>
      <c r="J2347" s="26"/>
      <c r="K2347" s="26"/>
      <c r="L2347" s="26"/>
      <c r="M2347" s="26"/>
      <c r="N2347" s="26"/>
      <c r="O2347" s="26"/>
      <c r="P2347" s="26"/>
      <c r="Q2347" s="26"/>
      <c r="R2347" s="26"/>
    </row>
    <row r="2348" spans="9:18" x14ac:dyDescent="0.25">
      <c r="I2348" s="46"/>
      <c r="J2348" s="26"/>
      <c r="K2348" s="26"/>
      <c r="L2348" s="26"/>
      <c r="M2348" s="26"/>
      <c r="N2348" s="26"/>
      <c r="O2348" s="26"/>
      <c r="P2348" s="26"/>
      <c r="Q2348" s="26"/>
      <c r="R2348" s="26"/>
    </row>
    <row r="2349" spans="9:18" x14ac:dyDescent="0.25">
      <c r="I2349" s="46"/>
      <c r="J2349" s="26"/>
      <c r="K2349" s="26"/>
      <c r="L2349" s="26"/>
      <c r="M2349" s="26"/>
      <c r="N2349" s="26"/>
      <c r="O2349" s="26"/>
      <c r="P2349" s="26"/>
      <c r="Q2349" s="26"/>
      <c r="R2349" s="26"/>
    </row>
    <row r="2350" spans="9:18" x14ac:dyDescent="0.25">
      <c r="I2350" s="46"/>
      <c r="J2350" s="26"/>
      <c r="K2350" s="26"/>
      <c r="L2350" s="26"/>
      <c r="M2350" s="26"/>
      <c r="N2350" s="26"/>
      <c r="O2350" s="26"/>
      <c r="P2350" s="26"/>
      <c r="Q2350" s="26"/>
      <c r="R2350" s="26"/>
    </row>
    <row r="2351" spans="9:18" x14ac:dyDescent="0.25">
      <c r="I2351" s="46"/>
      <c r="J2351" s="26"/>
      <c r="K2351" s="26"/>
      <c r="L2351" s="26"/>
      <c r="M2351" s="26"/>
      <c r="N2351" s="26"/>
      <c r="O2351" s="26"/>
      <c r="P2351" s="26"/>
      <c r="Q2351" s="26"/>
      <c r="R2351" s="26"/>
    </row>
    <row r="2352" spans="9:18" x14ac:dyDescent="0.25">
      <c r="I2352" s="46"/>
      <c r="J2352" s="26"/>
      <c r="K2352" s="26"/>
      <c r="L2352" s="26"/>
      <c r="M2352" s="26"/>
      <c r="N2352" s="26"/>
      <c r="O2352" s="26"/>
      <c r="P2352" s="26"/>
      <c r="Q2352" s="26"/>
      <c r="R2352" s="26"/>
    </row>
    <row r="2353" spans="9:18" x14ac:dyDescent="0.25">
      <c r="I2353" s="46"/>
      <c r="J2353" s="26"/>
      <c r="K2353" s="26"/>
      <c r="L2353" s="26"/>
      <c r="M2353" s="26"/>
      <c r="N2353" s="26"/>
      <c r="O2353" s="26"/>
      <c r="P2353" s="26"/>
      <c r="Q2353" s="26"/>
      <c r="R2353" s="26"/>
    </row>
    <row r="2354" spans="9:18" x14ac:dyDescent="0.25">
      <c r="I2354" s="46"/>
      <c r="J2354" s="26"/>
      <c r="K2354" s="26"/>
      <c r="L2354" s="26"/>
      <c r="M2354" s="26"/>
      <c r="N2354" s="26"/>
      <c r="O2354" s="26"/>
      <c r="P2354" s="26"/>
      <c r="Q2354" s="26"/>
      <c r="R2354" s="26"/>
    </row>
    <row r="2355" spans="9:18" x14ac:dyDescent="0.25">
      <c r="I2355" s="46"/>
      <c r="J2355" s="26"/>
      <c r="K2355" s="26"/>
      <c r="L2355" s="26"/>
      <c r="M2355" s="26"/>
      <c r="N2355" s="26"/>
      <c r="O2355" s="26"/>
      <c r="P2355" s="26"/>
      <c r="Q2355" s="26"/>
      <c r="R2355" s="26"/>
    </row>
    <row r="2356" spans="9:18" x14ac:dyDescent="0.25">
      <c r="I2356" s="46"/>
      <c r="J2356" s="26"/>
      <c r="K2356" s="26"/>
      <c r="L2356" s="26"/>
      <c r="M2356" s="26"/>
      <c r="N2356" s="26"/>
      <c r="O2356" s="26"/>
      <c r="P2356" s="26"/>
      <c r="Q2356" s="26"/>
      <c r="R2356" s="26"/>
    </row>
    <row r="2357" spans="9:18" x14ac:dyDescent="0.25">
      <c r="I2357" s="46"/>
      <c r="J2357" s="26"/>
      <c r="K2357" s="26"/>
      <c r="L2357" s="26"/>
      <c r="M2357" s="26"/>
      <c r="N2357" s="26"/>
      <c r="O2357" s="26"/>
      <c r="P2357" s="26"/>
      <c r="Q2357" s="26"/>
      <c r="R2357" s="26"/>
    </row>
    <row r="2358" spans="9:18" x14ac:dyDescent="0.25">
      <c r="I2358" s="46"/>
      <c r="J2358" s="26"/>
      <c r="K2358" s="26"/>
      <c r="L2358" s="26"/>
      <c r="M2358" s="26"/>
      <c r="N2358" s="26"/>
      <c r="O2358" s="26"/>
      <c r="P2358" s="26"/>
      <c r="Q2358" s="26"/>
      <c r="R2358" s="26"/>
    </row>
    <row r="2359" spans="9:18" x14ac:dyDescent="0.25">
      <c r="I2359" s="46"/>
      <c r="J2359" s="26"/>
      <c r="K2359" s="26"/>
      <c r="L2359" s="26"/>
      <c r="M2359" s="26"/>
      <c r="N2359" s="26"/>
      <c r="O2359" s="26"/>
      <c r="P2359" s="26"/>
      <c r="Q2359" s="26"/>
      <c r="R2359" s="26"/>
    </row>
    <row r="2360" spans="9:18" x14ac:dyDescent="0.25">
      <c r="I2360" s="46"/>
      <c r="J2360" s="26"/>
      <c r="K2360" s="26"/>
      <c r="L2360" s="26"/>
      <c r="M2360" s="26"/>
      <c r="N2360" s="26"/>
      <c r="O2360" s="26"/>
      <c r="P2360" s="26"/>
      <c r="Q2360" s="26"/>
      <c r="R2360" s="26"/>
    </row>
    <row r="2361" spans="9:18" x14ac:dyDescent="0.25">
      <c r="I2361" s="46"/>
      <c r="J2361" s="26"/>
      <c r="K2361" s="26"/>
      <c r="L2361" s="26"/>
      <c r="M2361" s="26"/>
      <c r="N2361" s="26"/>
      <c r="O2361" s="26"/>
      <c r="P2361" s="26"/>
      <c r="Q2361" s="26"/>
      <c r="R2361" s="26"/>
    </row>
    <row r="2362" spans="9:18" x14ac:dyDescent="0.25">
      <c r="I2362" s="46"/>
      <c r="J2362" s="26"/>
      <c r="K2362" s="26"/>
      <c r="L2362" s="26"/>
      <c r="M2362" s="26"/>
      <c r="N2362" s="26"/>
      <c r="O2362" s="26"/>
      <c r="P2362" s="26"/>
      <c r="Q2362" s="26"/>
      <c r="R2362" s="26"/>
    </row>
    <row r="2363" spans="9:18" x14ac:dyDescent="0.25">
      <c r="I2363" s="46"/>
      <c r="J2363" s="26"/>
      <c r="K2363" s="26"/>
      <c r="L2363" s="26"/>
      <c r="M2363" s="26"/>
      <c r="N2363" s="26"/>
      <c r="O2363" s="26"/>
      <c r="P2363" s="26"/>
      <c r="Q2363" s="26"/>
      <c r="R2363" s="26"/>
    </row>
    <row r="2364" spans="9:18" x14ac:dyDescent="0.25">
      <c r="I2364" s="46"/>
      <c r="J2364" s="26"/>
      <c r="K2364" s="26"/>
      <c r="L2364" s="26"/>
      <c r="M2364" s="26"/>
      <c r="N2364" s="26"/>
      <c r="O2364" s="26"/>
      <c r="P2364" s="26"/>
      <c r="Q2364" s="26"/>
      <c r="R2364" s="26"/>
    </row>
    <row r="2365" spans="9:18" x14ac:dyDescent="0.25">
      <c r="I2365" s="46"/>
      <c r="J2365" s="26"/>
      <c r="K2365" s="26"/>
      <c r="L2365" s="26"/>
      <c r="M2365" s="26"/>
      <c r="N2365" s="26"/>
      <c r="O2365" s="26"/>
      <c r="P2365" s="26"/>
      <c r="Q2365" s="26"/>
      <c r="R2365" s="26"/>
    </row>
    <row r="2366" spans="9:18" x14ac:dyDescent="0.25">
      <c r="I2366" s="46"/>
      <c r="J2366" s="26"/>
      <c r="K2366" s="26"/>
      <c r="L2366" s="26"/>
      <c r="M2366" s="26"/>
      <c r="N2366" s="26"/>
      <c r="O2366" s="26"/>
      <c r="P2366" s="26"/>
      <c r="Q2366" s="26"/>
      <c r="R2366" s="26"/>
    </row>
    <row r="2367" spans="9:18" x14ac:dyDescent="0.25">
      <c r="I2367" s="46"/>
      <c r="J2367" s="26"/>
      <c r="K2367" s="26"/>
      <c r="L2367" s="26"/>
      <c r="M2367" s="26"/>
      <c r="N2367" s="26"/>
      <c r="O2367" s="26"/>
      <c r="P2367" s="26"/>
      <c r="Q2367" s="26"/>
      <c r="R2367" s="26"/>
    </row>
    <row r="2368" spans="9:18" x14ac:dyDescent="0.25">
      <c r="I2368" s="46"/>
      <c r="J2368" s="26"/>
      <c r="K2368" s="26"/>
      <c r="L2368" s="26"/>
      <c r="M2368" s="26"/>
      <c r="N2368" s="26"/>
      <c r="O2368" s="26"/>
      <c r="P2368" s="26"/>
      <c r="Q2368" s="26"/>
      <c r="R2368" s="26"/>
    </row>
    <row r="2369" spans="9:18" x14ac:dyDescent="0.25">
      <c r="I2369" s="46"/>
      <c r="J2369" s="26"/>
      <c r="K2369" s="26"/>
      <c r="L2369" s="26"/>
      <c r="M2369" s="26"/>
      <c r="N2369" s="26"/>
      <c r="O2369" s="26"/>
      <c r="P2369" s="26"/>
      <c r="Q2369" s="26"/>
      <c r="R2369" s="26"/>
    </row>
    <row r="2370" spans="9:18" x14ac:dyDescent="0.25">
      <c r="I2370" s="46"/>
      <c r="J2370" s="26"/>
      <c r="K2370" s="26"/>
      <c r="L2370" s="26"/>
      <c r="M2370" s="26"/>
      <c r="N2370" s="26"/>
      <c r="O2370" s="26"/>
      <c r="P2370" s="26"/>
      <c r="Q2370" s="26"/>
      <c r="R2370" s="26"/>
    </row>
    <row r="2371" spans="9:18" x14ac:dyDescent="0.25">
      <c r="I2371" s="46"/>
      <c r="J2371" s="26"/>
      <c r="K2371" s="26"/>
      <c r="L2371" s="26"/>
      <c r="M2371" s="26"/>
      <c r="N2371" s="26"/>
      <c r="O2371" s="26"/>
      <c r="P2371" s="26"/>
      <c r="Q2371" s="26"/>
      <c r="R2371" s="26"/>
    </row>
    <row r="2372" spans="9:18" x14ac:dyDescent="0.25">
      <c r="I2372" s="46"/>
      <c r="J2372" s="26"/>
      <c r="K2372" s="26"/>
      <c r="L2372" s="26"/>
      <c r="M2372" s="26"/>
      <c r="N2372" s="26"/>
      <c r="O2372" s="26"/>
      <c r="P2372" s="26"/>
      <c r="Q2372" s="26"/>
      <c r="R2372" s="26"/>
    </row>
    <row r="2373" spans="9:18" x14ac:dyDescent="0.25">
      <c r="I2373" s="46"/>
      <c r="J2373" s="26"/>
      <c r="K2373" s="26"/>
      <c r="L2373" s="26"/>
      <c r="M2373" s="26"/>
      <c r="N2373" s="26"/>
      <c r="O2373" s="26"/>
      <c r="P2373" s="26"/>
      <c r="Q2373" s="26"/>
      <c r="R2373" s="26"/>
    </row>
    <row r="2374" spans="9:18" x14ac:dyDescent="0.25">
      <c r="I2374" s="46"/>
      <c r="J2374" s="26"/>
      <c r="K2374" s="26"/>
      <c r="L2374" s="26"/>
      <c r="M2374" s="26"/>
      <c r="N2374" s="26"/>
      <c r="O2374" s="26"/>
      <c r="P2374" s="26"/>
      <c r="Q2374" s="26"/>
      <c r="R2374" s="26"/>
    </row>
    <row r="2375" spans="9:18" x14ac:dyDescent="0.25">
      <c r="I2375" s="46"/>
      <c r="J2375" s="26"/>
      <c r="K2375" s="26"/>
      <c r="L2375" s="26"/>
      <c r="M2375" s="26"/>
      <c r="N2375" s="26"/>
      <c r="O2375" s="26"/>
      <c r="P2375" s="26"/>
      <c r="Q2375" s="26"/>
      <c r="R2375" s="26"/>
    </row>
    <row r="2376" spans="9:18" x14ac:dyDescent="0.25">
      <c r="I2376" s="46"/>
      <c r="J2376" s="26"/>
      <c r="K2376" s="26"/>
      <c r="L2376" s="26"/>
      <c r="M2376" s="26"/>
      <c r="N2376" s="26"/>
      <c r="O2376" s="26"/>
      <c r="P2376" s="26"/>
      <c r="Q2376" s="26"/>
      <c r="R2376" s="26"/>
    </row>
    <row r="2377" spans="9:18" x14ac:dyDescent="0.25">
      <c r="I2377" s="46"/>
      <c r="J2377" s="26"/>
      <c r="K2377" s="26"/>
      <c r="L2377" s="26"/>
      <c r="M2377" s="26"/>
      <c r="N2377" s="26"/>
      <c r="O2377" s="26"/>
      <c r="P2377" s="26"/>
      <c r="Q2377" s="26"/>
      <c r="R2377" s="26"/>
    </row>
    <row r="2378" spans="9:18" x14ac:dyDescent="0.25">
      <c r="I2378" s="46"/>
      <c r="J2378" s="26"/>
      <c r="K2378" s="26"/>
      <c r="L2378" s="26"/>
      <c r="M2378" s="26"/>
      <c r="N2378" s="26"/>
      <c r="O2378" s="26"/>
      <c r="P2378" s="26"/>
      <c r="Q2378" s="26"/>
      <c r="R2378" s="26"/>
    </row>
    <row r="2379" spans="9:18" x14ac:dyDescent="0.25">
      <c r="I2379" s="46"/>
      <c r="J2379" s="26"/>
      <c r="K2379" s="26"/>
      <c r="L2379" s="26"/>
      <c r="M2379" s="26"/>
      <c r="N2379" s="26"/>
      <c r="O2379" s="26"/>
      <c r="P2379" s="26"/>
      <c r="Q2379" s="26"/>
      <c r="R2379" s="26"/>
    </row>
    <row r="2380" spans="9:18" x14ac:dyDescent="0.25">
      <c r="I2380" s="46"/>
      <c r="J2380" s="26"/>
      <c r="K2380" s="26"/>
      <c r="L2380" s="26"/>
      <c r="M2380" s="26"/>
      <c r="N2380" s="26"/>
      <c r="O2380" s="26"/>
      <c r="P2380" s="26"/>
      <c r="Q2380" s="26"/>
      <c r="R2380" s="26"/>
    </row>
    <row r="2381" spans="9:18" x14ac:dyDescent="0.25">
      <c r="I2381" s="46"/>
      <c r="J2381" s="26"/>
      <c r="K2381" s="26"/>
      <c r="L2381" s="26"/>
      <c r="M2381" s="26"/>
      <c r="N2381" s="26"/>
      <c r="O2381" s="26"/>
      <c r="P2381" s="26"/>
      <c r="Q2381" s="26"/>
      <c r="R2381" s="26"/>
    </row>
    <row r="2382" spans="9:18" x14ac:dyDescent="0.25">
      <c r="I2382" s="46"/>
      <c r="J2382" s="26"/>
      <c r="K2382" s="26"/>
      <c r="L2382" s="26"/>
      <c r="M2382" s="26"/>
      <c r="N2382" s="26"/>
      <c r="O2382" s="26"/>
      <c r="P2382" s="26"/>
      <c r="Q2382" s="26"/>
      <c r="R2382" s="26"/>
    </row>
    <row r="2383" spans="9:18" x14ac:dyDescent="0.25">
      <c r="I2383" s="46"/>
      <c r="J2383" s="26"/>
      <c r="K2383" s="26"/>
      <c r="L2383" s="26"/>
      <c r="M2383" s="26"/>
      <c r="N2383" s="26"/>
      <c r="O2383" s="26"/>
      <c r="P2383" s="26"/>
      <c r="Q2383" s="26"/>
      <c r="R2383" s="26"/>
    </row>
    <row r="2384" spans="9:18" x14ac:dyDescent="0.25">
      <c r="I2384" s="46"/>
      <c r="J2384" s="26"/>
      <c r="K2384" s="26"/>
      <c r="L2384" s="26"/>
      <c r="M2384" s="26"/>
      <c r="N2384" s="26"/>
      <c r="O2384" s="26"/>
      <c r="P2384" s="26"/>
      <c r="Q2384" s="26"/>
      <c r="R2384" s="26"/>
    </row>
    <row r="2385" spans="9:18" x14ac:dyDescent="0.25">
      <c r="I2385" s="46"/>
      <c r="J2385" s="26"/>
      <c r="K2385" s="26"/>
      <c r="L2385" s="26"/>
      <c r="M2385" s="26"/>
      <c r="N2385" s="26"/>
      <c r="O2385" s="26"/>
      <c r="P2385" s="26"/>
      <c r="Q2385" s="26"/>
      <c r="R2385" s="26"/>
    </row>
    <row r="2386" spans="9:18" x14ac:dyDescent="0.25">
      <c r="I2386" s="46"/>
      <c r="J2386" s="26"/>
      <c r="K2386" s="26"/>
      <c r="L2386" s="26"/>
      <c r="M2386" s="26"/>
      <c r="N2386" s="26"/>
      <c r="O2386" s="26"/>
      <c r="P2386" s="26"/>
      <c r="Q2386" s="26"/>
      <c r="R2386" s="26"/>
    </row>
    <row r="2387" spans="9:18" x14ac:dyDescent="0.25">
      <c r="I2387" s="46"/>
      <c r="J2387" s="26"/>
      <c r="K2387" s="26"/>
      <c r="L2387" s="26"/>
      <c r="M2387" s="26"/>
      <c r="N2387" s="26"/>
      <c r="O2387" s="26"/>
      <c r="P2387" s="26"/>
      <c r="Q2387" s="26"/>
      <c r="R2387" s="26"/>
    </row>
    <row r="2388" spans="9:18" x14ac:dyDescent="0.25">
      <c r="I2388" s="46"/>
      <c r="J2388" s="26"/>
      <c r="K2388" s="26"/>
      <c r="L2388" s="26"/>
      <c r="M2388" s="26"/>
      <c r="N2388" s="26"/>
      <c r="O2388" s="26"/>
      <c r="P2388" s="26"/>
      <c r="Q2388" s="26"/>
      <c r="R2388" s="26"/>
    </row>
    <row r="2389" spans="9:18" x14ac:dyDescent="0.25">
      <c r="I2389" s="46"/>
      <c r="J2389" s="26"/>
      <c r="K2389" s="26"/>
      <c r="L2389" s="26"/>
      <c r="M2389" s="26"/>
      <c r="N2389" s="26"/>
      <c r="O2389" s="26"/>
      <c r="P2389" s="26"/>
      <c r="Q2389" s="26"/>
      <c r="R2389" s="26"/>
    </row>
    <row r="2390" spans="9:18" x14ac:dyDescent="0.25">
      <c r="I2390" s="46"/>
      <c r="J2390" s="26"/>
      <c r="K2390" s="26"/>
      <c r="L2390" s="26"/>
      <c r="M2390" s="26"/>
      <c r="N2390" s="26"/>
      <c r="O2390" s="26"/>
      <c r="P2390" s="26"/>
      <c r="Q2390" s="26"/>
      <c r="R2390" s="26"/>
    </row>
    <row r="2391" spans="9:18" x14ac:dyDescent="0.25">
      <c r="I2391" s="46"/>
      <c r="J2391" s="26"/>
      <c r="K2391" s="26"/>
      <c r="L2391" s="26"/>
      <c r="M2391" s="26"/>
      <c r="N2391" s="26"/>
      <c r="O2391" s="26"/>
      <c r="P2391" s="26"/>
      <c r="Q2391" s="26"/>
      <c r="R2391" s="26"/>
    </row>
    <row r="2392" spans="9:18" x14ac:dyDescent="0.25">
      <c r="I2392" s="46"/>
      <c r="J2392" s="26"/>
      <c r="K2392" s="26"/>
      <c r="L2392" s="26"/>
      <c r="M2392" s="26"/>
      <c r="N2392" s="26"/>
      <c r="O2392" s="26"/>
      <c r="P2392" s="26"/>
      <c r="Q2392" s="26"/>
      <c r="R2392" s="26"/>
    </row>
    <row r="2393" spans="9:18" x14ac:dyDescent="0.25">
      <c r="I2393" s="46"/>
      <c r="J2393" s="26"/>
      <c r="K2393" s="26"/>
      <c r="L2393" s="26"/>
      <c r="M2393" s="26"/>
      <c r="N2393" s="26"/>
      <c r="O2393" s="26"/>
      <c r="P2393" s="26"/>
      <c r="Q2393" s="26"/>
      <c r="R2393" s="26"/>
    </row>
    <row r="2394" spans="9:18" x14ac:dyDescent="0.25">
      <c r="I2394" s="46"/>
      <c r="J2394" s="26"/>
      <c r="K2394" s="26"/>
      <c r="L2394" s="26"/>
      <c r="M2394" s="26"/>
      <c r="N2394" s="26"/>
      <c r="O2394" s="26"/>
      <c r="P2394" s="26"/>
      <c r="Q2394" s="26"/>
      <c r="R2394" s="26"/>
    </row>
    <row r="2395" spans="9:18" x14ac:dyDescent="0.25">
      <c r="I2395" s="46"/>
      <c r="J2395" s="26"/>
      <c r="K2395" s="26"/>
      <c r="L2395" s="26"/>
      <c r="M2395" s="26"/>
      <c r="N2395" s="26"/>
      <c r="O2395" s="26"/>
      <c r="P2395" s="26"/>
      <c r="Q2395" s="26"/>
      <c r="R2395" s="26"/>
    </row>
    <row r="2396" spans="9:18" x14ac:dyDescent="0.25">
      <c r="I2396" s="46"/>
      <c r="J2396" s="26"/>
      <c r="K2396" s="26"/>
      <c r="L2396" s="26"/>
      <c r="M2396" s="26"/>
      <c r="N2396" s="26"/>
      <c r="O2396" s="26"/>
      <c r="P2396" s="26"/>
      <c r="Q2396" s="26"/>
      <c r="R2396" s="26"/>
    </row>
    <row r="2397" spans="9:18" x14ac:dyDescent="0.25">
      <c r="I2397" s="46"/>
      <c r="J2397" s="26"/>
      <c r="K2397" s="26"/>
      <c r="L2397" s="26"/>
      <c r="M2397" s="26"/>
      <c r="N2397" s="26"/>
      <c r="O2397" s="26"/>
      <c r="P2397" s="26"/>
      <c r="Q2397" s="26"/>
      <c r="R2397" s="26"/>
    </row>
    <row r="2398" spans="9:18" x14ac:dyDescent="0.25">
      <c r="I2398" s="46"/>
      <c r="J2398" s="26"/>
      <c r="K2398" s="26"/>
      <c r="L2398" s="26"/>
      <c r="M2398" s="26"/>
      <c r="N2398" s="26"/>
      <c r="O2398" s="26"/>
      <c r="P2398" s="26"/>
      <c r="Q2398" s="26"/>
      <c r="R2398" s="26"/>
    </row>
    <row r="2399" spans="9:18" x14ac:dyDescent="0.25">
      <c r="I2399" s="46"/>
      <c r="J2399" s="26"/>
      <c r="K2399" s="26"/>
      <c r="L2399" s="26"/>
      <c r="M2399" s="26"/>
      <c r="N2399" s="26"/>
      <c r="O2399" s="26"/>
      <c r="P2399" s="26"/>
      <c r="Q2399" s="26"/>
      <c r="R2399" s="26"/>
    </row>
    <row r="2400" spans="9:18" x14ac:dyDescent="0.25">
      <c r="I2400" s="46"/>
      <c r="J2400" s="26"/>
      <c r="K2400" s="26"/>
      <c r="L2400" s="26"/>
      <c r="M2400" s="26"/>
      <c r="N2400" s="26"/>
      <c r="O2400" s="26"/>
      <c r="P2400" s="26"/>
      <c r="Q2400" s="26"/>
      <c r="R2400" s="26"/>
    </row>
    <row r="2401" spans="9:18" x14ac:dyDescent="0.25">
      <c r="I2401" s="46"/>
      <c r="J2401" s="26"/>
      <c r="K2401" s="26"/>
      <c r="L2401" s="26"/>
      <c r="M2401" s="26"/>
      <c r="N2401" s="26"/>
      <c r="O2401" s="26"/>
      <c r="P2401" s="26"/>
      <c r="Q2401" s="26"/>
      <c r="R2401" s="26"/>
    </row>
    <row r="2402" spans="9:18" x14ac:dyDescent="0.25">
      <c r="I2402" s="46"/>
      <c r="J2402" s="26"/>
      <c r="K2402" s="26"/>
      <c r="L2402" s="26"/>
      <c r="M2402" s="26"/>
      <c r="N2402" s="26"/>
      <c r="O2402" s="26"/>
      <c r="P2402" s="26"/>
      <c r="Q2402" s="26"/>
      <c r="R2402" s="26"/>
    </row>
    <row r="2403" spans="9:18" x14ac:dyDescent="0.25">
      <c r="I2403" s="46"/>
      <c r="J2403" s="26"/>
      <c r="K2403" s="26"/>
      <c r="L2403" s="26"/>
      <c r="M2403" s="26"/>
      <c r="N2403" s="26"/>
      <c r="O2403" s="26"/>
      <c r="P2403" s="26"/>
      <c r="Q2403" s="26"/>
      <c r="R2403" s="26"/>
    </row>
    <row r="2404" spans="9:18" x14ac:dyDescent="0.25">
      <c r="I2404" s="46"/>
      <c r="J2404" s="26"/>
      <c r="K2404" s="26"/>
      <c r="L2404" s="26"/>
      <c r="M2404" s="26"/>
      <c r="N2404" s="26"/>
      <c r="O2404" s="26"/>
      <c r="P2404" s="26"/>
      <c r="Q2404" s="26"/>
      <c r="R2404" s="26"/>
    </row>
    <row r="2405" spans="9:18" x14ac:dyDescent="0.25">
      <c r="I2405" s="46"/>
      <c r="J2405" s="26"/>
      <c r="K2405" s="26"/>
      <c r="L2405" s="26"/>
      <c r="M2405" s="26"/>
      <c r="N2405" s="26"/>
      <c r="O2405" s="26"/>
      <c r="P2405" s="26"/>
      <c r="Q2405" s="26"/>
      <c r="R2405" s="26"/>
    </row>
    <row r="2406" spans="9:18" x14ac:dyDescent="0.25">
      <c r="I2406" s="46"/>
      <c r="J2406" s="26"/>
      <c r="K2406" s="26"/>
      <c r="L2406" s="26"/>
      <c r="M2406" s="26"/>
      <c r="N2406" s="26"/>
      <c r="O2406" s="26"/>
      <c r="P2406" s="26"/>
      <c r="Q2406" s="26"/>
      <c r="R2406" s="26"/>
    </row>
    <row r="2407" spans="9:18" x14ac:dyDescent="0.25">
      <c r="I2407" s="46"/>
      <c r="J2407" s="26"/>
      <c r="K2407" s="26"/>
      <c r="L2407" s="26"/>
      <c r="M2407" s="26"/>
      <c r="N2407" s="26"/>
      <c r="O2407" s="26"/>
      <c r="P2407" s="26"/>
      <c r="Q2407" s="26"/>
      <c r="R2407" s="26"/>
    </row>
    <row r="2408" spans="9:18" x14ac:dyDescent="0.25">
      <c r="I2408" s="46"/>
      <c r="J2408" s="26"/>
      <c r="K2408" s="26"/>
      <c r="L2408" s="26"/>
      <c r="M2408" s="26"/>
      <c r="N2408" s="26"/>
      <c r="O2408" s="26"/>
      <c r="P2408" s="26"/>
      <c r="Q2408" s="26"/>
      <c r="R2408" s="26"/>
    </row>
    <row r="2409" spans="9:18" x14ac:dyDescent="0.25">
      <c r="I2409" s="46"/>
      <c r="J2409" s="26"/>
      <c r="K2409" s="26"/>
      <c r="L2409" s="26"/>
      <c r="M2409" s="26"/>
      <c r="N2409" s="26"/>
      <c r="O2409" s="26"/>
      <c r="P2409" s="26"/>
      <c r="Q2409" s="26"/>
      <c r="R2409" s="26"/>
    </row>
    <row r="2410" spans="9:18" x14ac:dyDescent="0.25">
      <c r="I2410" s="46"/>
      <c r="J2410" s="26"/>
      <c r="K2410" s="26"/>
      <c r="L2410" s="26"/>
      <c r="M2410" s="26"/>
      <c r="N2410" s="26"/>
      <c r="O2410" s="26"/>
      <c r="P2410" s="26"/>
      <c r="Q2410" s="26"/>
      <c r="R2410" s="26"/>
    </row>
    <row r="2411" spans="9:18" x14ac:dyDescent="0.25">
      <c r="I2411" s="46"/>
      <c r="J2411" s="26"/>
      <c r="K2411" s="26"/>
      <c r="L2411" s="26"/>
      <c r="M2411" s="26"/>
      <c r="N2411" s="26"/>
      <c r="O2411" s="26"/>
      <c r="P2411" s="26"/>
      <c r="Q2411" s="26"/>
      <c r="R2411" s="26"/>
    </row>
    <row r="2412" spans="9:18" x14ac:dyDescent="0.25">
      <c r="I2412" s="46"/>
      <c r="J2412" s="26"/>
      <c r="K2412" s="26"/>
      <c r="L2412" s="26"/>
      <c r="M2412" s="26"/>
      <c r="N2412" s="26"/>
      <c r="O2412" s="26"/>
      <c r="P2412" s="26"/>
      <c r="Q2412" s="26"/>
      <c r="R2412" s="26"/>
    </row>
    <row r="2413" spans="9:18" x14ac:dyDescent="0.25">
      <c r="I2413" s="46"/>
      <c r="J2413" s="26"/>
      <c r="K2413" s="26"/>
      <c r="L2413" s="26"/>
      <c r="M2413" s="26"/>
      <c r="N2413" s="26"/>
      <c r="O2413" s="26"/>
      <c r="P2413" s="26"/>
      <c r="Q2413" s="26"/>
      <c r="R2413" s="26"/>
    </row>
    <row r="2414" spans="9:18" x14ac:dyDescent="0.25">
      <c r="I2414" s="46"/>
      <c r="J2414" s="26"/>
      <c r="K2414" s="26"/>
      <c r="L2414" s="26"/>
      <c r="M2414" s="26"/>
      <c r="N2414" s="26"/>
      <c r="O2414" s="26"/>
      <c r="P2414" s="26"/>
      <c r="Q2414" s="26"/>
      <c r="R2414" s="26"/>
    </row>
    <row r="2415" spans="9:18" x14ac:dyDescent="0.25">
      <c r="I2415" s="46"/>
      <c r="J2415" s="26"/>
      <c r="K2415" s="26"/>
      <c r="L2415" s="26"/>
      <c r="M2415" s="26"/>
      <c r="N2415" s="26"/>
      <c r="O2415" s="26"/>
      <c r="P2415" s="26"/>
      <c r="Q2415" s="26"/>
      <c r="R2415" s="26"/>
    </row>
    <row r="2416" spans="9:18" x14ac:dyDescent="0.25">
      <c r="I2416" s="46"/>
      <c r="J2416" s="26"/>
      <c r="K2416" s="26"/>
      <c r="L2416" s="26"/>
      <c r="M2416" s="26"/>
      <c r="N2416" s="26"/>
      <c r="O2416" s="26"/>
      <c r="P2416" s="26"/>
      <c r="Q2416" s="26"/>
      <c r="R2416" s="26"/>
    </row>
    <row r="2417" spans="9:18" x14ac:dyDescent="0.25">
      <c r="I2417" s="46"/>
      <c r="J2417" s="26"/>
      <c r="K2417" s="26"/>
      <c r="L2417" s="26"/>
      <c r="M2417" s="26"/>
      <c r="N2417" s="26"/>
      <c r="O2417" s="26"/>
      <c r="P2417" s="26"/>
      <c r="Q2417" s="26"/>
      <c r="R2417" s="26"/>
    </row>
    <row r="2418" spans="9:18" x14ac:dyDescent="0.25">
      <c r="I2418" s="46"/>
      <c r="J2418" s="26"/>
      <c r="K2418" s="26"/>
      <c r="L2418" s="26"/>
      <c r="M2418" s="26"/>
      <c r="N2418" s="26"/>
      <c r="O2418" s="26"/>
      <c r="P2418" s="26"/>
      <c r="Q2418" s="26"/>
      <c r="R2418" s="26"/>
    </row>
    <row r="2419" spans="9:18" x14ac:dyDescent="0.25">
      <c r="I2419" s="46"/>
      <c r="J2419" s="26"/>
      <c r="K2419" s="26"/>
      <c r="L2419" s="26"/>
      <c r="M2419" s="26"/>
      <c r="N2419" s="26"/>
      <c r="O2419" s="26"/>
      <c r="P2419" s="26"/>
      <c r="Q2419" s="26"/>
      <c r="R2419" s="26"/>
    </row>
    <row r="2420" spans="9:18" x14ac:dyDescent="0.25">
      <c r="I2420" s="46"/>
      <c r="J2420" s="26"/>
      <c r="K2420" s="26"/>
      <c r="L2420" s="26"/>
      <c r="M2420" s="26"/>
      <c r="N2420" s="26"/>
      <c r="O2420" s="26"/>
      <c r="P2420" s="26"/>
      <c r="Q2420" s="26"/>
      <c r="R2420" s="26"/>
    </row>
    <row r="2421" spans="9:18" x14ac:dyDescent="0.25">
      <c r="I2421" s="46"/>
      <c r="J2421" s="26"/>
      <c r="K2421" s="26"/>
      <c r="L2421" s="26"/>
      <c r="M2421" s="26"/>
      <c r="N2421" s="26"/>
      <c r="O2421" s="26"/>
      <c r="P2421" s="26"/>
      <c r="Q2421" s="26"/>
      <c r="R2421" s="26"/>
    </row>
    <row r="2422" spans="9:18" x14ac:dyDescent="0.25">
      <c r="I2422" s="46"/>
      <c r="J2422" s="26"/>
      <c r="K2422" s="26"/>
      <c r="L2422" s="26"/>
      <c r="M2422" s="26"/>
      <c r="N2422" s="26"/>
      <c r="O2422" s="26"/>
      <c r="P2422" s="26"/>
      <c r="Q2422" s="26"/>
      <c r="R2422" s="26"/>
    </row>
    <row r="2423" spans="9:18" x14ac:dyDescent="0.25">
      <c r="I2423" s="46"/>
      <c r="J2423" s="26"/>
      <c r="K2423" s="26"/>
      <c r="L2423" s="26"/>
      <c r="M2423" s="26"/>
      <c r="N2423" s="26"/>
      <c r="O2423" s="26"/>
      <c r="P2423" s="26"/>
      <c r="Q2423" s="26"/>
      <c r="R2423" s="26"/>
    </row>
    <row r="2424" spans="9:18" x14ac:dyDescent="0.25">
      <c r="I2424" s="46"/>
      <c r="J2424" s="26"/>
      <c r="K2424" s="26"/>
      <c r="L2424" s="26"/>
      <c r="M2424" s="26"/>
      <c r="N2424" s="26"/>
      <c r="O2424" s="26"/>
      <c r="P2424" s="26"/>
      <c r="Q2424" s="26"/>
      <c r="R2424" s="26"/>
    </row>
    <row r="2425" spans="9:18" x14ac:dyDescent="0.25">
      <c r="I2425" s="46"/>
      <c r="J2425" s="26"/>
      <c r="K2425" s="26"/>
      <c r="L2425" s="26"/>
      <c r="M2425" s="26"/>
      <c r="N2425" s="26"/>
      <c r="O2425" s="26"/>
      <c r="P2425" s="26"/>
      <c r="Q2425" s="26"/>
      <c r="R2425" s="26"/>
    </row>
    <row r="2426" spans="9:18" x14ac:dyDescent="0.25">
      <c r="I2426" s="46"/>
      <c r="J2426" s="26"/>
      <c r="K2426" s="26"/>
      <c r="L2426" s="26"/>
      <c r="M2426" s="26"/>
      <c r="N2426" s="26"/>
      <c r="O2426" s="26"/>
      <c r="P2426" s="26"/>
      <c r="Q2426" s="26"/>
      <c r="R2426" s="26"/>
    </row>
    <row r="2427" spans="9:18" x14ac:dyDescent="0.25">
      <c r="I2427" s="46"/>
      <c r="J2427" s="26"/>
      <c r="K2427" s="26"/>
      <c r="L2427" s="26"/>
      <c r="M2427" s="26"/>
      <c r="N2427" s="26"/>
      <c r="O2427" s="26"/>
      <c r="P2427" s="26"/>
      <c r="Q2427" s="26"/>
      <c r="R2427" s="26"/>
    </row>
    <row r="2428" spans="9:18" x14ac:dyDescent="0.25">
      <c r="I2428" s="46"/>
      <c r="J2428" s="26"/>
      <c r="K2428" s="26"/>
      <c r="L2428" s="26"/>
      <c r="M2428" s="26"/>
      <c r="N2428" s="26"/>
      <c r="O2428" s="26"/>
      <c r="P2428" s="26"/>
      <c r="Q2428" s="26"/>
      <c r="R2428" s="26"/>
    </row>
    <row r="2429" spans="9:18" x14ac:dyDescent="0.25">
      <c r="I2429" s="46"/>
      <c r="J2429" s="26"/>
      <c r="K2429" s="26"/>
      <c r="L2429" s="26"/>
      <c r="M2429" s="26"/>
      <c r="N2429" s="26"/>
      <c r="O2429" s="26"/>
      <c r="P2429" s="26"/>
      <c r="Q2429" s="26"/>
      <c r="R2429" s="26"/>
    </row>
    <row r="2430" spans="9:18" x14ac:dyDescent="0.25">
      <c r="I2430" s="46"/>
      <c r="J2430" s="26"/>
      <c r="K2430" s="26"/>
      <c r="L2430" s="26"/>
      <c r="M2430" s="26"/>
      <c r="N2430" s="26"/>
      <c r="O2430" s="26"/>
      <c r="P2430" s="26"/>
      <c r="Q2430" s="26"/>
      <c r="R2430" s="26"/>
    </row>
    <row r="2431" spans="9:18" x14ac:dyDescent="0.25">
      <c r="I2431" s="46"/>
      <c r="J2431" s="26"/>
      <c r="K2431" s="26"/>
      <c r="L2431" s="26"/>
      <c r="M2431" s="26"/>
      <c r="N2431" s="26"/>
      <c r="O2431" s="26"/>
      <c r="P2431" s="26"/>
      <c r="Q2431" s="26"/>
      <c r="R2431" s="26"/>
    </row>
    <row r="2432" spans="9:18" x14ac:dyDescent="0.25">
      <c r="I2432" s="46"/>
      <c r="J2432" s="26"/>
      <c r="K2432" s="26"/>
      <c r="L2432" s="26"/>
      <c r="M2432" s="26"/>
      <c r="N2432" s="26"/>
      <c r="O2432" s="26"/>
      <c r="P2432" s="26"/>
      <c r="Q2432" s="26"/>
      <c r="R2432" s="26"/>
    </row>
    <row r="2433" spans="9:18" x14ac:dyDescent="0.25">
      <c r="I2433" s="46"/>
      <c r="J2433" s="26"/>
      <c r="K2433" s="26"/>
      <c r="L2433" s="26"/>
      <c r="M2433" s="26"/>
      <c r="N2433" s="26"/>
      <c r="O2433" s="26"/>
      <c r="P2433" s="26"/>
      <c r="Q2433" s="26"/>
      <c r="R2433" s="26"/>
    </row>
    <row r="2434" spans="9:18" x14ac:dyDescent="0.25">
      <c r="I2434" s="46"/>
      <c r="J2434" s="26"/>
      <c r="K2434" s="26"/>
      <c r="L2434" s="26"/>
      <c r="M2434" s="26"/>
      <c r="N2434" s="26"/>
      <c r="O2434" s="26"/>
      <c r="P2434" s="26"/>
      <c r="Q2434" s="26"/>
      <c r="R2434" s="26"/>
    </row>
    <row r="2435" spans="9:18" x14ac:dyDescent="0.25">
      <c r="I2435" s="46"/>
      <c r="J2435" s="26"/>
      <c r="K2435" s="26"/>
      <c r="L2435" s="26"/>
      <c r="M2435" s="26"/>
      <c r="N2435" s="26"/>
      <c r="O2435" s="26"/>
      <c r="P2435" s="26"/>
      <c r="Q2435" s="26"/>
      <c r="R2435" s="26"/>
    </row>
    <row r="2436" spans="9:18" x14ac:dyDescent="0.25">
      <c r="I2436" s="46"/>
      <c r="J2436" s="26"/>
      <c r="K2436" s="26"/>
      <c r="L2436" s="26"/>
      <c r="M2436" s="26"/>
      <c r="N2436" s="26"/>
      <c r="O2436" s="26"/>
      <c r="P2436" s="26"/>
      <c r="Q2436" s="26"/>
      <c r="R2436" s="26"/>
    </row>
    <row r="2437" spans="9:18" x14ac:dyDescent="0.25">
      <c r="I2437" s="46"/>
      <c r="J2437" s="26"/>
      <c r="K2437" s="26"/>
      <c r="L2437" s="26"/>
      <c r="M2437" s="26"/>
      <c r="N2437" s="26"/>
      <c r="O2437" s="26"/>
      <c r="P2437" s="26"/>
      <c r="Q2437" s="26"/>
      <c r="R2437" s="26"/>
    </row>
    <row r="2438" spans="9:18" x14ac:dyDescent="0.25">
      <c r="I2438" s="46"/>
      <c r="J2438" s="26"/>
      <c r="K2438" s="26"/>
      <c r="L2438" s="26"/>
      <c r="M2438" s="26"/>
      <c r="N2438" s="26"/>
      <c r="O2438" s="26"/>
      <c r="P2438" s="26"/>
      <c r="Q2438" s="26"/>
      <c r="R2438" s="26"/>
    </row>
    <row r="2439" spans="9:18" x14ac:dyDescent="0.25">
      <c r="I2439" s="46"/>
      <c r="J2439" s="26"/>
      <c r="K2439" s="26"/>
      <c r="L2439" s="26"/>
      <c r="M2439" s="26"/>
      <c r="N2439" s="26"/>
      <c r="O2439" s="26"/>
      <c r="P2439" s="26"/>
      <c r="Q2439" s="26"/>
      <c r="R2439" s="26"/>
    </row>
    <row r="2440" spans="9:18" x14ac:dyDescent="0.25">
      <c r="I2440" s="46"/>
      <c r="J2440" s="26"/>
      <c r="K2440" s="26"/>
      <c r="L2440" s="26"/>
      <c r="M2440" s="26"/>
      <c r="N2440" s="26"/>
      <c r="O2440" s="26"/>
      <c r="P2440" s="26"/>
      <c r="Q2440" s="26"/>
      <c r="R2440" s="26"/>
    </row>
    <row r="2441" spans="9:18" x14ac:dyDescent="0.25">
      <c r="I2441" s="46"/>
      <c r="J2441" s="26"/>
      <c r="K2441" s="26"/>
      <c r="L2441" s="26"/>
      <c r="M2441" s="26"/>
      <c r="N2441" s="26"/>
      <c r="O2441" s="26"/>
      <c r="P2441" s="26"/>
      <c r="Q2441" s="26"/>
      <c r="R2441" s="26"/>
    </row>
    <row r="2442" spans="9:18" x14ac:dyDescent="0.25">
      <c r="I2442" s="46"/>
      <c r="J2442" s="26"/>
      <c r="K2442" s="26"/>
      <c r="L2442" s="26"/>
      <c r="M2442" s="26"/>
      <c r="N2442" s="26"/>
      <c r="O2442" s="26"/>
      <c r="P2442" s="26"/>
      <c r="Q2442" s="26"/>
      <c r="R2442" s="26"/>
    </row>
    <row r="2443" spans="9:18" x14ac:dyDescent="0.25">
      <c r="I2443" s="46"/>
      <c r="J2443" s="26"/>
      <c r="K2443" s="26"/>
      <c r="L2443" s="26"/>
      <c r="M2443" s="26"/>
      <c r="N2443" s="26"/>
      <c r="O2443" s="26"/>
      <c r="P2443" s="26"/>
      <c r="Q2443" s="26"/>
      <c r="R2443" s="26"/>
    </row>
    <row r="2444" spans="9:18" x14ac:dyDescent="0.25">
      <c r="I2444" s="46"/>
      <c r="J2444" s="26"/>
      <c r="K2444" s="26"/>
      <c r="L2444" s="26"/>
      <c r="M2444" s="26"/>
      <c r="N2444" s="26"/>
      <c r="O2444" s="26"/>
      <c r="P2444" s="26"/>
      <c r="Q2444" s="26"/>
      <c r="R2444" s="26"/>
    </row>
    <row r="2445" spans="9:18" x14ac:dyDescent="0.25">
      <c r="I2445" s="46"/>
      <c r="J2445" s="26"/>
      <c r="K2445" s="26"/>
      <c r="L2445" s="26"/>
      <c r="M2445" s="26"/>
      <c r="N2445" s="26"/>
      <c r="O2445" s="26"/>
      <c r="P2445" s="26"/>
      <c r="Q2445" s="26"/>
      <c r="R2445" s="26"/>
    </row>
    <row r="2446" spans="9:18" x14ac:dyDescent="0.25">
      <c r="I2446" s="46"/>
      <c r="J2446" s="26"/>
      <c r="K2446" s="26"/>
      <c r="L2446" s="26"/>
      <c r="M2446" s="26"/>
      <c r="N2446" s="26"/>
      <c r="O2446" s="26"/>
      <c r="P2446" s="26"/>
      <c r="Q2446" s="26"/>
      <c r="R2446" s="26"/>
    </row>
    <row r="2447" spans="9:18" x14ac:dyDescent="0.25">
      <c r="I2447" s="46"/>
      <c r="J2447" s="26"/>
      <c r="K2447" s="26"/>
      <c r="L2447" s="26"/>
      <c r="M2447" s="26"/>
      <c r="N2447" s="26"/>
      <c r="O2447" s="26"/>
      <c r="P2447" s="26"/>
      <c r="Q2447" s="26"/>
      <c r="R2447" s="26"/>
    </row>
    <row r="2448" spans="9:18" x14ac:dyDescent="0.25">
      <c r="I2448" s="46"/>
      <c r="J2448" s="26"/>
      <c r="K2448" s="26"/>
      <c r="L2448" s="26"/>
      <c r="M2448" s="26"/>
      <c r="N2448" s="26"/>
      <c r="O2448" s="26"/>
      <c r="P2448" s="26"/>
      <c r="Q2448" s="26"/>
      <c r="R2448" s="26"/>
    </row>
    <row r="2449" spans="9:18" x14ac:dyDescent="0.25">
      <c r="I2449" s="46"/>
      <c r="J2449" s="26"/>
      <c r="K2449" s="26"/>
      <c r="L2449" s="26"/>
      <c r="M2449" s="26"/>
      <c r="N2449" s="26"/>
      <c r="O2449" s="26"/>
      <c r="P2449" s="26"/>
      <c r="Q2449" s="26"/>
      <c r="R2449" s="26"/>
    </row>
    <row r="2450" spans="9:18" x14ac:dyDescent="0.25">
      <c r="I2450" s="46"/>
      <c r="J2450" s="26"/>
      <c r="K2450" s="26"/>
      <c r="L2450" s="26"/>
      <c r="M2450" s="26"/>
      <c r="N2450" s="26"/>
      <c r="O2450" s="26"/>
      <c r="P2450" s="26"/>
      <c r="Q2450" s="26"/>
      <c r="R2450" s="26"/>
    </row>
    <row r="2451" spans="9:18" x14ac:dyDescent="0.25">
      <c r="I2451" s="46"/>
      <c r="J2451" s="26"/>
      <c r="K2451" s="26"/>
      <c r="L2451" s="26"/>
      <c r="M2451" s="26"/>
      <c r="N2451" s="26"/>
      <c r="O2451" s="26"/>
      <c r="P2451" s="26"/>
      <c r="Q2451" s="26"/>
      <c r="R2451" s="26"/>
    </row>
    <row r="2452" spans="9:18" x14ac:dyDescent="0.25">
      <c r="I2452" s="46"/>
      <c r="J2452" s="26"/>
      <c r="K2452" s="26"/>
      <c r="L2452" s="26"/>
      <c r="M2452" s="26"/>
      <c r="N2452" s="26"/>
      <c r="O2452" s="26"/>
      <c r="P2452" s="26"/>
      <c r="Q2452" s="26"/>
      <c r="R2452" s="26"/>
    </row>
    <row r="2453" spans="9:18" x14ac:dyDescent="0.25">
      <c r="I2453" s="46"/>
      <c r="J2453" s="26"/>
      <c r="K2453" s="26"/>
      <c r="L2453" s="26"/>
      <c r="M2453" s="26"/>
      <c r="N2453" s="26"/>
      <c r="O2453" s="26"/>
      <c r="P2453" s="26"/>
      <c r="Q2453" s="26"/>
      <c r="R2453" s="26"/>
    </row>
    <row r="2454" spans="9:18" x14ac:dyDescent="0.25">
      <c r="I2454" s="46"/>
      <c r="J2454" s="26"/>
      <c r="K2454" s="26"/>
      <c r="L2454" s="26"/>
      <c r="M2454" s="26"/>
      <c r="N2454" s="26"/>
      <c r="O2454" s="26"/>
      <c r="P2454" s="26"/>
      <c r="Q2454" s="26"/>
      <c r="R2454" s="26"/>
    </row>
    <row r="2455" spans="9:18" x14ac:dyDescent="0.25">
      <c r="I2455" s="46"/>
      <c r="J2455" s="26"/>
      <c r="K2455" s="26"/>
      <c r="L2455" s="26"/>
      <c r="M2455" s="26"/>
      <c r="N2455" s="26"/>
      <c r="O2455" s="26"/>
      <c r="P2455" s="26"/>
      <c r="Q2455" s="26"/>
      <c r="R2455" s="26"/>
    </row>
    <row r="2456" spans="9:18" x14ac:dyDescent="0.25">
      <c r="I2456" s="46"/>
      <c r="J2456" s="26"/>
      <c r="K2456" s="26"/>
      <c r="L2456" s="26"/>
      <c r="M2456" s="26"/>
      <c r="N2456" s="26"/>
      <c r="O2456" s="26"/>
      <c r="P2456" s="26"/>
      <c r="Q2456" s="26"/>
      <c r="R2456" s="26"/>
    </row>
    <row r="2457" spans="9:18" x14ac:dyDescent="0.25">
      <c r="I2457" s="46"/>
      <c r="J2457" s="26"/>
      <c r="K2457" s="26"/>
      <c r="L2457" s="26"/>
      <c r="M2457" s="26"/>
      <c r="N2457" s="26"/>
      <c r="O2457" s="26"/>
      <c r="P2457" s="26"/>
      <c r="Q2457" s="26"/>
      <c r="R2457" s="26"/>
    </row>
    <row r="2458" spans="9:18" x14ac:dyDescent="0.25">
      <c r="I2458" s="46"/>
      <c r="J2458" s="26"/>
      <c r="K2458" s="26"/>
      <c r="L2458" s="26"/>
      <c r="M2458" s="26"/>
      <c r="N2458" s="26"/>
      <c r="O2458" s="26"/>
      <c r="P2458" s="26"/>
      <c r="Q2458" s="26"/>
      <c r="R2458" s="26"/>
    </row>
    <row r="2459" spans="9:18" x14ac:dyDescent="0.25">
      <c r="I2459" s="46"/>
      <c r="J2459" s="26"/>
      <c r="K2459" s="26"/>
      <c r="L2459" s="26"/>
      <c r="M2459" s="26"/>
      <c r="N2459" s="26"/>
      <c r="O2459" s="26"/>
      <c r="P2459" s="26"/>
      <c r="Q2459" s="26"/>
      <c r="R2459" s="26"/>
    </row>
    <row r="2460" spans="9:18" x14ac:dyDescent="0.25">
      <c r="I2460" s="46"/>
      <c r="J2460" s="26"/>
      <c r="K2460" s="26"/>
      <c r="L2460" s="26"/>
      <c r="M2460" s="26"/>
      <c r="N2460" s="26"/>
      <c r="O2460" s="26"/>
      <c r="P2460" s="26"/>
      <c r="Q2460" s="26"/>
      <c r="R2460" s="26"/>
    </row>
    <row r="2461" spans="9:18" x14ac:dyDescent="0.25">
      <c r="I2461" s="46"/>
      <c r="J2461" s="26"/>
      <c r="K2461" s="26"/>
      <c r="L2461" s="26"/>
      <c r="M2461" s="26"/>
      <c r="N2461" s="26"/>
      <c r="O2461" s="26"/>
      <c r="P2461" s="26"/>
      <c r="Q2461" s="26"/>
      <c r="R2461" s="26"/>
    </row>
    <row r="2462" spans="9:18" x14ac:dyDescent="0.25">
      <c r="I2462" s="46"/>
      <c r="J2462" s="26"/>
      <c r="K2462" s="26"/>
      <c r="L2462" s="26"/>
      <c r="M2462" s="26"/>
      <c r="N2462" s="26"/>
      <c r="O2462" s="26"/>
      <c r="P2462" s="26"/>
      <c r="Q2462" s="26"/>
      <c r="R2462" s="26"/>
    </row>
    <row r="2463" spans="9:18" x14ac:dyDescent="0.25">
      <c r="I2463" s="46"/>
      <c r="J2463" s="26"/>
      <c r="K2463" s="26"/>
      <c r="L2463" s="26"/>
      <c r="M2463" s="26"/>
      <c r="N2463" s="26"/>
      <c r="O2463" s="26"/>
      <c r="P2463" s="26"/>
      <c r="Q2463" s="26"/>
      <c r="R2463" s="26"/>
    </row>
    <row r="2464" spans="9:18" x14ac:dyDescent="0.25">
      <c r="I2464" s="46"/>
      <c r="J2464" s="26"/>
      <c r="K2464" s="26"/>
      <c r="L2464" s="26"/>
      <c r="M2464" s="26"/>
      <c r="N2464" s="26"/>
      <c r="O2464" s="26"/>
      <c r="P2464" s="26"/>
      <c r="Q2464" s="26"/>
      <c r="R2464" s="26"/>
    </row>
    <row r="2465" spans="9:18" x14ac:dyDescent="0.25">
      <c r="I2465" s="46"/>
      <c r="J2465" s="26"/>
      <c r="K2465" s="26"/>
      <c r="L2465" s="26"/>
      <c r="M2465" s="26"/>
      <c r="N2465" s="26"/>
      <c r="O2465" s="26"/>
      <c r="P2465" s="26"/>
      <c r="Q2465" s="26"/>
      <c r="R2465" s="26"/>
    </row>
    <row r="2466" spans="9:18" x14ac:dyDescent="0.25">
      <c r="I2466" s="46"/>
      <c r="J2466" s="26"/>
      <c r="K2466" s="26"/>
      <c r="L2466" s="26"/>
      <c r="M2466" s="26"/>
      <c r="N2466" s="26"/>
      <c r="O2466" s="26"/>
      <c r="P2466" s="26"/>
      <c r="Q2466" s="26"/>
      <c r="R2466" s="26"/>
    </row>
    <row r="2467" spans="9:18" x14ac:dyDescent="0.25">
      <c r="I2467" s="46"/>
      <c r="J2467" s="26"/>
      <c r="K2467" s="26"/>
      <c r="L2467" s="26"/>
      <c r="M2467" s="26"/>
      <c r="N2467" s="26"/>
      <c r="O2467" s="26"/>
      <c r="P2467" s="26"/>
      <c r="Q2467" s="26"/>
      <c r="R2467" s="26"/>
    </row>
    <row r="2468" spans="9:18" x14ac:dyDescent="0.25">
      <c r="I2468" s="46"/>
      <c r="J2468" s="26"/>
      <c r="K2468" s="26"/>
      <c r="L2468" s="26"/>
      <c r="M2468" s="26"/>
      <c r="N2468" s="26"/>
      <c r="O2468" s="26"/>
      <c r="P2468" s="26"/>
      <c r="Q2468" s="26"/>
      <c r="R2468" s="26"/>
    </row>
    <row r="2469" spans="9:18" x14ac:dyDescent="0.25">
      <c r="I2469" s="46"/>
      <c r="J2469" s="26"/>
      <c r="K2469" s="26"/>
      <c r="L2469" s="26"/>
      <c r="M2469" s="26"/>
      <c r="N2469" s="26"/>
      <c r="O2469" s="26"/>
      <c r="P2469" s="26"/>
      <c r="Q2469" s="26"/>
      <c r="R2469" s="26"/>
    </row>
    <row r="2470" spans="9:18" x14ac:dyDescent="0.25">
      <c r="I2470" s="46"/>
      <c r="J2470" s="26"/>
      <c r="K2470" s="26"/>
      <c r="L2470" s="26"/>
      <c r="M2470" s="26"/>
      <c r="N2470" s="26"/>
      <c r="O2470" s="26"/>
      <c r="P2470" s="26"/>
      <c r="Q2470" s="26"/>
      <c r="R2470" s="26"/>
    </row>
    <row r="2471" spans="9:18" x14ac:dyDescent="0.25">
      <c r="I2471" s="46"/>
      <c r="J2471" s="26"/>
      <c r="K2471" s="26"/>
      <c r="L2471" s="26"/>
      <c r="M2471" s="26"/>
      <c r="N2471" s="26"/>
      <c r="O2471" s="26"/>
      <c r="P2471" s="26"/>
      <c r="Q2471" s="26"/>
      <c r="R2471" s="26"/>
    </row>
    <row r="2472" spans="9:18" x14ac:dyDescent="0.25">
      <c r="I2472" s="46"/>
      <c r="J2472" s="26"/>
      <c r="K2472" s="26"/>
      <c r="L2472" s="26"/>
      <c r="M2472" s="26"/>
      <c r="N2472" s="26"/>
      <c r="O2472" s="26"/>
      <c r="P2472" s="26"/>
      <c r="Q2472" s="26"/>
      <c r="R2472" s="26"/>
    </row>
    <row r="2473" spans="9:18" x14ac:dyDescent="0.25">
      <c r="I2473" s="46"/>
      <c r="J2473" s="26"/>
      <c r="K2473" s="26"/>
      <c r="L2473" s="26"/>
      <c r="M2473" s="26"/>
      <c r="N2473" s="26"/>
      <c r="O2473" s="26"/>
      <c r="P2473" s="26"/>
      <c r="Q2473" s="26"/>
      <c r="R2473" s="26"/>
    </row>
    <row r="2474" spans="9:18" x14ac:dyDescent="0.25">
      <c r="I2474" s="46"/>
      <c r="J2474" s="26"/>
      <c r="K2474" s="26"/>
      <c r="L2474" s="26"/>
      <c r="M2474" s="26"/>
      <c r="N2474" s="26"/>
      <c r="O2474" s="26"/>
      <c r="P2474" s="26"/>
      <c r="Q2474" s="26"/>
      <c r="R2474" s="26"/>
    </row>
    <row r="2475" spans="9:18" x14ac:dyDescent="0.25">
      <c r="I2475" s="46"/>
      <c r="J2475" s="26"/>
      <c r="K2475" s="26"/>
      <c r="L2475" s="26"/>
      <c r="M2475" s="26"/>
      <c r="N2475" s="26"/>
      <c r="O2475" s="26"/>
      <c r="P2475" s="26"/>
      <c r="Q2475" s="26"/>
      <c r="R2475" s="26"/>
    </row>
    <row r="2476" spans="9:18" x14ac:dyDescent="0.25">
      <c r="I2476" s="46"/>
      <c r="J2476" s="26"/>
      <c r="K2476" s="26"/>
      <c r="L2476" s="26"/>
      <c r="M2476" s="26"/>
      <c r="N2476" s="26"/>
      <c r="O2476" s="26"/>
      <c r="P2476" s="26"/>
      <c r="Q2476" s="26"/>
      <c r="R2476" s="26"/>
    </row>
    <row r="2477" spans="9:18" x14ac:dyDescent="0.25">
      <c r="I2477" s="46"/>
      <c r="J2477" s="26"/>
      <c r="K2477" s="26"/>
      <c r="L2477" s="26"/>
      <c r="M2477" s="26"/>
      <c r="N2477" s="26"/>
      <c r="O2477" s="26"/>
      <c r="P2477" s="26"/>
      <c r="Q2477" s="26"/>
      <c r="R2477" s="26"/>
    </row>
    <row r="2478" spans="9:18" x14ac:dyDescent="0.25">
      <c r="I2478" s="46"/>
      <c r="J2478" s="26"/>
      <c r="K2478" s="26"/>
      <c r="L2478" s="26"/>
      <c r="M2478" s="26"/>
      <c r="N2478" s="26"/>
      <c r="O2478" s="26"/>
      <c r="P2478" s="26"/>
      <c r="Q2478" s="26"/>
      <c r="R2478" s="26"/>
    </row>
    <row r="2479" spans="9:18" x14ac:dyDescent="0.25">
      <c r="I2479" s="46"/>
      <c r="J2479" s="26"/>
      <c r="K2479" s="26"/>
      <c r="L2479" s="26"/>
      <c r="M2479" s="26"/>
      <c r="N2479" s="26"/>
      <c r="O2479" s="26"/>
      <c r="P2479" s="26"/>
      <c r="Q2479" s="26"/>
      <c r="R2479" s="26"/>
    </row>
    <row r="2480" spans="9:18" x14ac:dyDescent="0.25">
      <c r="I2480" s="46"/>
      <c r="J2480" s="26"/>
      <c r="K2480" s="26"/>
      <c r="L2480" s="26"/>
      <c r="M2480" s="26"/>
      <c r="N2480" s="26"/>
      <c r="O2480" s="26"/>
      <c r="P2480" s="26"/>
      <c r="Q2480" s="26"/>
      <c r="R2480" s="26"/>
    </row>
    <row r="2481" spans="9:18" x14ac:dyDescent="0.25">
      <c r="I2481" s="46"/>
      <c r="J2481" s="26"/>
      <c r="K2481" s="26"/>
      <c r="L2481" s="26"/>
      <c r="M2481" s="26"/>
      <c r="N2481" s="26"/>
      <c r="O2481" s="26"/>
      <c r="P2481" s="26"/>
      <c r="Q2481" s="26"/>
      <c r="R2481" s="26"/>
    </row>
    <row r="2482" spans="9:18" x14ac:dyDescent="0.25">
      <c r="I2482" s="46"/>
      <c r="J2482" s="26"/>
      <c r="K2482" s="26"/>
      <c r="L2482" s="26"/>
      <c r="M2482" s="26"/>
      <c r="N2482" s="26"/>
      <c r="O2482" s="26"/>
      <c r="P2482" s="26"/>
      <c r="Q2482" s="26"/>
      <c r="R2482" s="26"/>
    </row>
    <row r="2483" spans="9:18" x14ac:dyDescent="0.25">
      <c r="I2483" s="46"/>
      <c r="J2483" s="26"/>
      <c r="K2483" s="26"/>
      <c r="L2483" s="26"/>
      <c r="M2483" s="26"/>
      <c r="N2483" s="26"/>
      <c r="O2483" s="26"/>
      <c r="P2483" s="26"/>
      <c r="Q2483" s="26"/>
      <c r="R2483" s="26"/>
    </row>
    <row r="2484" spans="9:18" x14ac:dyDescent="0.25">
      <c r="I2484" s="46"/>
      <c r="J2484" s="26"/>
      <c r="K2484" s="26"/>
      <c r="L2484" s="26"/>
      <c r="M2484" s="26"/>
      <c r="N2484" s="26"/>
      <c r="O2484" s="26"/>
      <c r="P2484" s="26"/>
      <c r="Q2484" s="26"/>
      <c r="R2484" s="26"/>
    </row>
    <row r="2485" spans="9:18" x14ac:dyDescent="0.25">
      <c r="I2485" s="46"/>
      <c r="J2485" s="26"/>
      <c r="K2485" s="26"/>
      <c r="L2485" s="26"/>
      <c r="M2485" s="26"/>
      <c r="N2485" s="26"/>
      <c r="O2485" s="26"/>
      <c r="P2485" s="26"/>
      <c r="Q2485" s="26"/>
      <c r="R2485" s="26"/>
    </row>
    <row r="2486" spans="9:18" x14ac:dyDescent="0.25">
      <c r="I2486" s="46"/>
      <c r="J2486" s="26"/>
      <c r="K2486" s="26"/>
      <c r="L2486" s="26"/>
      <c r="M2486" s="26"/>
      <c r="N2486" s="26"/>
      <c r="O2486" s="26"/>
      <c r="P2486" s="26"/>
      <c r="Q2486" s="26"/>
      <c r="R2486" s="26"/>
    </row>
    <row r="2487" spans="9:18" x14ac:dyDescent="0.25">
      <c r="I2487" s="46"/>
      <c r="J2487" s="26"/>
      <c r="K2487" s="26"/>
      <c r="L2487" s="26"/>
      <c r="M2487" s="26"/>
      <c r="N2487" s="26"/>
      <c r="O2487" s="26"/>
      <c r="P2487" s="26"/>
      <c r="Q2487" s="26"/>
      <c r="R2487" s="26"/>
    </row>
    <row r="2488" spans="9:18" x14ac:dyDescent="0.25">
      <c r="I2488" s="46"/>
      <c r="J2488" s="26"/>
      <c r="K2488" s="26"/>
      <c r="L2488" s="26"/>
      <c r="M2488" s="26"/>
      <c r="N2488" s="26"/>
      <c r="O2488" s="26"/>
      <c r="P2488" s="26"/>
      <c r="Q2488" s="26"/>
      <c r="R2488" s="26"/>
    </row>
    <row r="2489" spans="9:18" x14ac:dyDescent="0.25">
      <c r="I2489" s="46"/>
      <c r="J2489" s="26"/>
      <c r="K2489" s="26"/>
      <c r="L2489" s="26"/>
      <c r="M2489" s="26"/>
      <c r="N2489" s="26"/>
      <c r="O2489" s="26"/>
      <c r="P2489" s="26"/>
      <c r="Q2489" s="26"/>
      <c r="R2489" s="26"/>
    </row>
    <row r="2490" spans="9:18" x14ac:dyDescent="0.25">
      <c r="I2490" s="46"/>
      <c r="J2490" s="26"/>
      <c r="K2490" s="26"/>
      <c r="L2490" s="26"/>
      <c r="M2490" s="26"/>
      <c r="N2490" s="26"/>
      <c r="O2490" s="26"/>
      <c r="P2490" s="26"/>
      <c r="Q2490" s="26"/>
      <c r="R2490" s="26"/>
    </row>
    <row r="2491" spans="9:18" x14ac:dyDescent="0.25">
      <c r="I2491" s="46"/>
      <c r="J2491" s="26"/>
      <c r="K2491" s="26"/>
      <c r="L2491" s="26"/>
      <c r="M2491" s="26"/>
      <c r="N2491" s="26"/>
      <c r="O2491" s="26"/>
      <c r="P2491" s="26"/>
      <c r="Q2491" s="26"/>
      <c r="R2491" s="26"/>
    </row>
    <row r="2492" spans="9:18" x14ac:dyDescent="0.25">
      <c r="I2492" s="46"/>
      <c r="J2492" s="26"/>
      <c r="K2492" s="26"/>
      <c r="L2492" s="26"/>
      <c r="M2492" s="26"/>
      <c r="N2492" s="26"/>
      <c r="O2492" s="26"/>
      <c r="P2492" s="26"/>
      <c r="Q2492" s="26"/>
      <c r="R2492" s="26"/>
    </row>
    <row r="2493" spans="9:18" x14ac:dyDescent="0.25">
      <c r="I2493" s="46"/>
      <c r="J2493" s="26"/>
      <c r="K2493" s="26"/>
      <c r="L2493" s="26"/>
      <c r="M2493" s="26"/>
      <c r="N2493" s="26"/>
      <c r="O2493" s="26"/>
      <c r="P2493" s="26"/>
      <c r="Q2493" s="26"/>
      <c r="R2493" s="26"/>
    </row>
    <row r="2494" spans="9:18" x14ac:dyDescent="0.25">
      <c r="I2494" s="46"/>
      <c r="J2494" s="26"/>
      <c r="K2494" s="26"/>
      <c r="L2494" s="26"/>
      <c r="M2494" s="26"/>
      <c r="N2494" s="26"/>
      <c r="O2494" s="26"/>
      <c r="P2494" s="26"/>
      <c r="Q2494" s="26"/>
      <c r="R2494" s="26"/>
    </row>
    <row r="2495" spans="9:18" x14ac:dyDescent="0.25">
      <c r="I2495" s="46"/>
      <c r="J2495" s="26"/>
      <c r="K2495" s="26"/>
      <c r="L2495" s="26"/>
      <c r="M2495" s="26"/>
      <c r="N2495" s="26"/>
      <c r="O2495" s="26"/>
      <c r="P2495" s="26"/>
      <c r="Q2495" s="26"/>
      <c r="R2495" s="26"/>
    </row>
    <row r="2496" spans="9:18" x14ac:dyDescent="0.25">
      <c r="I2496" s="46"/>
      <c r="J2496" s="26"/>
      <c r="K2496" s="26"/>
      <c r="L2496" s="26"/>
      <c r="M2496" s="26"/>
      <c r="N2496" s="26"/>
      <c r="O2496" s="26"/>
      <c r="P2496" s="26"/>
      <c r="Q2496" s="26"/>
      <c r="R2496" s="26"/>
    </row>
    <row r="2497" spans="9:18" x14ac:dyDescent="0.25">
      <c r="I2497" s="46"/>
      <c r="J2497" s="26"/>
      <c r="K2497" s="26"/>
      <c r="L2497" s="26"/>
      <c r="M2497" s="26"/>
      <c r="N2497" s="26"/>
      <c r="O2497" s="26"/>
      <c r="P2497" s="26"/>
      <c r="Q2497" s="26"/>
      <c r="R2497" s="26"/>
    </row>
    <row r="2498" spans="9:18" x14ac:dyDescent="0.25">
      <c r="I2498" s="46"/>
      <c r="J2498" s="26"/>
      <c r="K2498" s="26"/>
      <c r="L2498" s="26"/>
      <c r="M2498" s="26"/>
      <c r="N2498" s="26"/>
      <c r="O2498" s="26"/>
      <c r="P2498" s="26"/>
      <c r="Q2498" s="26"/>
      <c r="R2498" s="26"/>
    </row>
    <row r="2499" spans="9:18" x14ac:dyDescent="0.25">
      <c r="I2499" s="46"/>
      <c r="J2499" s="26"/>
      <c r="K2499" s="26"/>
      <c r="L2499" s="26"/>
      <c r="M2499" s="26"/>
      <c r="N2499" s="26"/>
      <c r="O2499" s="26"/>
      <c r="P2499" s="26"/>
      <c r="Q2499" s="26"/>
      <c r="R2499" s="26"/>
    </row>
    <row r="2500" spans="9:18" x14ac:dyDescent="0.25">
      <c r="I2500" s="46"/>
      <c r="J2500" s="26"/>
      <c r="K2500" s="26"/>
      <c r="L2500" s="26"/>
      <c r="M2500" s="26"/>
      <c r="N2500" s="26"/>
      <c r="O2500" s="26"/>
      <c r="P2500" s="26"/>
      <c r="Q2500" s="26"/>
      <c r="R2500" s="26"/>
    </row>
    <row r="2501" spans="9:18" x14ac:dyDescent="0.25">
      <c r="I2501" s="46"/>
      <c r="J2501" s="26"/>
      <c r="K2501" s="26"/>
      <c r="L2501" s="26"/>
      <c r="M2501" s="26"/>
      <c r="N2501" s="26"/>
      <c r="O2501" s="26"/>
      <c r="P2501" s="26"/>
      <c r="Q2501" s="26"/>
      <c r="R2501" s="26"/>
    </row>
    <row r="2502" spans="9:18" x14ac:dyDescent="0.25">
      <c r="I2502" s="46"/>
      <c r="J2502" s="26"/>
      <c r="K2502" s="26"/>
      <c r="L2502" s="26"/>
      <c r="M2502" s="26"/>
      <c r="N2502" s="26"/>
      <c r="O2502" s="26"/>
      <c r="P2502" s="26"/>
      <c r="Q2502" s="26"/>
      <c r="R2502" s="26"/>
    </row>
    <row r="2503" spans="9:18" x14ac:dyDescent="0.25">
      <c r="I2503" s="46"/>
      <c r="J2503" s="26"/>
      <c r="K2503" s="26"/>
      <c r="L2503" s="26"/>
      <c r="M2503" s="26"/>
      <c r="N2503" s="26"/>
      <c r="O2503" s="26"/>
      <c r="P2503" s="26"/>
      <c r="Q2503" s="26"/>
      <c r="R2503" s="26"/>
    </row>
    <row r="2504" spans="9:18" x14ac:dyDescent="0.25">
      <c r="I2504" s="46"/>
      <c r="J2504" s="26"/>
      <c r="K2504" s="26"/>
      <c r="L2504" s="26"/>
      <c r="M2504" s="26"/>
      <c r="N2504" s="26"/>
      <c r="O2504" s="26"/>
      <c r="P2504" s="26"/>
      <c r="Q2504" s="26"/>
      <c r="R2504" s="26"/>
    </row>
    <row r="2505" spans="9:18" x14ac:dyDescent="0.25">
      <c r="I2505" s="46"/>
      <c r="J2505" s="26"/>
      <c r="K2505" s="26"/>
      <c r="L2505" s="26"/>
      <c r="M2505" s="26"/>
      <c r="N2505" s="26"/>
      <c r="O2505" s="26"/>
      <c r="P2505" s="26"/>
      <c r="Q2505" s="26"/>
      <c r="R2505" s="26"/>
    </row>
    <row r="2506" spans="9:18" x14ac:dyDescent="0.25">
      <c r="I2506" s="46"/>
      <c r="J2506" s="26"/>
      <c r="K2506" s="26"/>
      <c r="L2506" s="26"/>
      <c r="M2506" s="26"/>
      <c r="N2506" s="26"/>
      <c r="O2506" s="26"/>
      <c r="P2506" s="26"/>
      <c r="Q2506" s="26"/>
      <c r="R2506" s="26"/>
    </row>
    <row r="2507" spans="9:18" x14ac:dyDescent="0.25">
      <c r="I2507" s="46"/>
      <c r="J2507" s="26"/>
      <c r="K2507" s="26"/>
      <c r="L2507" s="26"/>
      <c r="M2507" s="26"/>
      <c r="N2507" s="26"/>
      <c r="O2507" s="26"/>
      <c r="P2507" s="26"/>
      <c r="Q2507" s="26"/>
      <c r="R2507" s="26"/>
    </row>
    <row r="2508" spans="9:18" x14ac:dyDescent="0.25">
      <c r="I2508" s="46"/>
      <c r="J2508" s="26"/>
      <c r="K2508" s="26"/>
      <c r="L2508" s="26"/>
      <c r="M2508" s="26"/>
      <c r="N2508" s="26"/>
      <c r="O2508" s="26"/>
      <c r="P2508" s="26"/>
      <c r="Q2508" s="26"/>
      <c r="R2508" s="26"/>
    </row>
    <row r="2509" spans="9:18" x14ac:dyDescent="0.25">
      <c r="I2509" s="46"/>
      <c r="J2509" s="26"/>
      <c r="K2509" s="26"/>
      <c r="L2509" s="26"/>
      <c r="M2509" s="26"/>
      <c r="N2509" s="26"/>
      <c r="O2509" s="26"/>
      <c r="P2509" s="26"/>
      <c r="Q2509" s="26"/>
      <c r="R2509" s="26"/>
    </row>
    <row r="2510" spans="9:18" x14ac:dyDescent="0.25">
      <c r="I2510" s="46"/>
      <c r="J2510" s="26"/>
      <c r="K2510" s="26"/>
      <c r="L2510" s="26"/>
      <c r="M2510" s="26"/>
      <c r="N2510" s="26"/>
      <c r="O2510" s="26"/>
      <c r="P2510" s="26"/>
      <c r="Q2510" s="26"/>
      <c r="R2510" s="26"/>
    </row>
    <row r="2511" spans="9:18" x14ac:dyDescent="0.25">
      <c r="I2511" s="46"/>
      <c r="J2511" s="26"/>
      <c r="K2511" s="26"/>
      <c r="L2511" s="26"/>
      <c r="M2511" s="26"/>
      <c r="N2511" s="26"/>
      <c r="O2511" s="26"/>
      <c r="P2511" s="26"/>
      <c r="Q2511" s="26"/>
      <c r="R2511" s="26"/>
    </row>
    <row r="2512" spans="9:18" x14ac:dyDescent="0.25">
      <c r="I2512" s="46"/>
      <c r="J2512" s="26"/>
      <c r="K2512" s="26"/>
      <c r="L2512" s="26"/>
      <c r="M2512" s="26"/>
      <c r="N2512" s="26"/>
      <c r="O2512" s="26"/>
      <c r="P2512" s="26"/>
      <c r="Q2512" s="26"/>
      <c r="R2512" s="26"/>
    </row>
    <row r="2513" spans="9:18" x14ac:dyDescent="0.25">
      <c r="I2513" s="46"/>
      <c r="J2513" s="26"/>
      <c r="K2513" s="26"/>
      <c r="L2513" s="26"/>
      <c r="M2513" s="26"/>
      <c r="N2513" s="26"/>
      <c r="O2513" s="26"/>
      <c r="P2513" s="26"/>
      <c r="Q2513" s="26"/>
      <c r="R2513" s="26"/>
    </row>
    <row r="2514" spans="9:18" x14ac:dyDescent="0.25">
      <c r="I2514" s="46"/>
      <c r="J2514" s="26"/>
      <c r="K2514" s="26"/>
      <c r="L2514" s="26"/>
      <c r="M2514" s="26"/>
      <c r="N2514" s="26"/>
      <c r="O2514" s="26"/>
      <c r="P2514" s="26"/>
      <c r="Q2514" s="26"/>
      <c r="R2514" s="26"/>
    </row>
    <row r="2515" spans="9:18" x14ac:dyDescent="0.25">
      <c r="I2515" s="46"/>
      <c r="J2515" s="26"/>
      <c r="K2515" s="26"/>
      <c r="L2515" s="26"/>
      <c r="M2515" s="26"/>
      <c r="N2515" s="26"/>
      <c r="O2515" s="26"/>
      <c r="P2515" s="26"/>
      <c r="Q2515" s="26"/>
      <c r="R2515" s="26"/>
    </row>
    <row r="2516" spans="9:18" x14ac:dyDescent="0.25">
      <c r="I2516" s="46"/>
      <c r="J2516" s="26"/>
      <c r="K2516" s="26"/>
      <c r="L2516" s="26"/>
      <c r="M2516" s="26"/>
      <c r="N2516" s="26"/>
      <c r="O2516" s="26"/>
      <c r="P2516" s="26"/>
      <c r="Q2516" s="26"/>
      <c r="R2516" s="26"/>
    </row>
    <row r="2517" spans="9:18" x14ac:dyDescent="0.25">
      <c r="I2517" s="46"/>
      <c r="J2517" s="26"/>
      <c r="K2517" s="26"/>
      <c r="L2517" s="26"/>
      <c r="M2517" s="26"/>
      <c r="N2517" s="26"/>
      <c r="O2517" s="26"/>
      <c r="P2517" s="26"/>
      <c r="Q2517" s="26"/>
      <c r="R2517" s="26"/>
    </row>
    <row r="2518" spans="9:18" x14ac:dyDescent="0.25">
      <c r="I2518" s="46"/>
      <c r="J2518" s="26"/>
      <c r="K2518" s="26"/>
      <c r="L2518" s="26"/>
      <c r="M2518" s="26"/>
      <c r="N2518" s="26"/>
      <c r="O2518" s="26"/>
      <c r="P2518" s="26"/>
      <c r="Q2518" s="26"/>
      <c r="R2518" s="26"/>
    </row>
    <row r="2519" spans="9:18" x14ac:dyDescent="0.25">
      <c r="I2519" s="46"/>
      <c r="J2519" s="26"/>
      <c r="K2519" s="26"/>
      <c r="L2519" s="26"/>
      <c r="M2519" s="26"/>
      <c r="N2519" s="26"/>
      <c r="O2519" s="26"/>
      <c r="P2519" s="26"/>
      <c r="Q2519" s="26"/>
      <c r="R2519" s="26"/>
    </row>
    <row r="2520" spans="9:18" x14ac:dyDescent="0.25">
      <c r="I2520" s="46"/>
      <c r="J2520" s="26"/>
      <c r="K2520" s="26"/>
      <c r="L2520" s="26"/>
      <c r="M2520" s="26"/>
      <c r="N2520" s="26"/>
      <c r="O2520" s="26"/>
      <c r="P2520" s="26"/>
      <c r="Q2520" s="26"/>
      <c r="R2520" s="26"/>
    </row>
    <row r="2521" spans="9:18" x14ac:dyDescent="0.25">
      <c r="I2521" s="46"/>
      <c r="J2521" s="26"/>
      <c r="K2521" s="26"/>
      <c r="L2521" s="26"/>
      <c r="M2521" s="26"/>
      <c r="N2521" s="26"/>
      <c r="O2521" s="26"/>
      <c r="P2521" s="26"/>
      <c r="Q2521" s="26"/>
      <c r="R2521" s="26"/>
    </row>
    <row r="2522" spans="9:18" x14ac:dyDescent="0.25">
      <c r="I2522" s="46"/>
      <c r="J2522" s="26"/>
      <c r="K2522" s="26"/>
      <c r="L2522" s="26"/>
      <c r="M2522" s="26"/>
      <c r="N2522" s="26"/>
      <c r="O2522" s="26"/>
      <c r="P2522" s="26"/>
      <c r="Q2522" s="26"/>
      <c r="R2522" s="26"/>
    </row>
    <row r="2523" spans="9:18" x14ac:dyDescent="0.25">
      <c r="I2523" s="46"/>
      <c r="J2523" s="26"/>
      <c r="K2523" s="26"/>
      <c r="L2523" s="26"/>
      <c r="M2523" s="26"/>
      <c r="N2523" s="26"/>
      <c r="O2523" s="26"/>
      <c r="P2523" s="26"/>
      <c r="Q2523" s="26"/>
      <c r="R2523" s="26"/>
    </row>
    <row r="2524" spans="9:18" x14ac:dyDescent="0.25">
      <c r="I2524" s="46"/>
      <c r="J2524" s="26"/>
      <c r="K2524" s="26"/>
      <c r="L2524" s="26"/>
      <c r="M2524" s="26"/>
      <c r="N2524" s="26"/>
      <c r="O2524" s="26"/>
      <c r="P2524" s="26"/>
      <c r="Q2524" s="26"/>
      <c r="R2524" s="26"/>
    </row>
    <row r="2525" spans="9:18" x14ac:dyDescent="0.25">
      <c r="I2525" s="46"/>
      <c r="J2525" s="26"/>
      <c r="K2525" s="26"/>
      <c r="L2525" s="26"/>
      <c r="M2525" s="26"/>
      <c r="N2525" s="26"/>
      <c r="O2525" s="26"/>
      <c r="P2525" s="26"/>
      <c r="Q2525" s="26"/>
      <c r="R2525" s="26"/>
    </row>
    <row r="2526" spans="9:18" x14ac:dyDescent="0.25">
      <c r="I2526" s="46"/>
      <c r="J2526" s="26"/>
      <c r="K2526" s="26"/>
      <c r="L2526" s="26"/>
      <c r="M2526" s="26"/>
      <c r="N2526" s="26"/>
      <c r="O2526" s="26"/>
      <c r="P2526" s="26"/>
      <c r="Q2526" s="26"/>
      <c r="R2526" s="26"/>
    </row>
    <row r="2527" spans="9:18" x14ac:dyDescent="0.25">
      <c r="I2527" s="46"/>
      <c r="J2527" s="26"/>
      <c r="K2527" s="26"/>
      <c r="L2527" s="26"/>
      <c r="M2527" s="26"/>
      <c r="N2527" s="26"/>
      <c r="O2527" s="26"/>
      <c r="P2527" s="26"/>
      <c r="Q2527" s="26"/>
      <c r="R2527" s="26"/>
    </row>
    <row r="2528" spans="9:18" x14ac:dyDescent="0.25">
      <c r="I2528" s="46"/>
      <c r="J2528" s="26"/>
      <c r="K2528" s="26"/>
      <c r="L2528" s="26"/>
      <c r="M2528" s="26"/>
      <c r="N2528" s="26"/>
      <c r="O2528" s="26"/>
      <c r="P2528" s="26"/>
      <c r="Q2528" s="26"/>
      <c r="R2528" s="26"/>
    </row>
    <row r="2529" spans="9:18" x14ac:dyDescent="0.25">
      <c r="I2529" s="46"/>
      <c r="J2529" s="26"/>
      <c r="K2529" s="26"/>
      <c r="L2529" s="26"/>
      <c r="M2529" s="26"/>
      <c r="N2529" s="26"/>
      <c r="O2529" s="26"/>
      <c r="P2529" s="26"/>
      <c r="Q2529" s="26"/>
      <c r="R2529" s="26"/>
    </row>
    <row r="2530" spans="9:18" x14ac:dyDescent="0.25">
      <c r="I2530" s="46"/>
      <c r="J2530" s="26"/>
      <c r="K2530" s="26"/>
      <c r="L2530" s="26"/>
      <c r="M2530" s="26"/>
      <c r="N2530" s="26"/>
      <c r="O2530" s="26"/>
      <c r="P2530" s="26"/>
      <c r="Q2530" s="26"/>
      <c r="R2530" s="26"/>
    </row>
    <row r="2531" spans="9:18" x14ac:dyDescent="0.25">
      <c r="I2531" s="46"/>
      <c r="J2531" s="26"/>
      <c r="K2531" s="26"/>
      <c r="L2531" s="26"/>
      <c r="M2531" s="26"/>
      <c r="N2531" s="26"/>
      <c r="O2531" s="26"/>
      <c r="P2531" s="26"/>
      <c r="Q2531" s="26"/>
      <c r="R2531" s="26"/>
    </row>
    <row r="2532" spans="9:18" x14ac:dyDescent="0.25">
      <c r="I2532" s="46"/>
      <c r="J2532" s="26"/>
      <c r="K2532" s="26"/>
      <c r="L2532" s="26"/>
      <c r="M2532" s="26"/>
      <c r="N2532" s="26"/>
      <c r="O2532" s="26"/>
      <c r="P2532" s="26"/>
      <c r="Q2532" s="26"/>
      <c r="R2532" s="26"/>
    </row>
    <row r="2533" spans="9:18" x14ac:dyDescent="0.25">
      <c r="I2533" s="46"/>
      <c r="J2533" s="26"/>
      <c r="K2533" s="26"/>
      <c r="L2533" s="26"/>
      <c r="M2533" s="26"/>
      <c r="N2533" s="26"/>
      <c r="O2533" s="26"/>
      <c r="P2533" s="26"/>
      <c r="Q2533" s="26"/>
      <c r="R2533" s="26"/>
    </row>
    <row r="2534" spans="9:18" x14ac:dyDescent="0.25">
      <c r="I2534" s="46"/>
      <c r="J2534" s="26"/>
      <c r="K2534" s="26"/>
      <c r="L2534" s="26"/>
      <c r="M2534" s="26"/>
      <c r="N2534" s="26"/>
      <c r="O2534" s="26"/>
      <c r="P2534" s="26"/>
      <c r="Q2534" s="26"/>
      <c r="R2534" s="26"/>
    </row>
    <row r="2535" spans="9:18" x14ac:dyDescent="0.25">
      <c r="I2535" s="46"/>
      <c r="J2535" s="26"/>
      <c r="K2535" s="26"/>
      <c r="L2535" s="26"/>
      <c r="M2535" s="26"/>
      <c r="N2535" s="26"/>
      <c r="O2535" s="26"/>
      <c r="P2535" s="26"/>
      <c r="Q2535" s="26"/>
      <c r="R2535" s="26"/>
    </row>
    <row r="2536" spans="9:18" x14ac:dyDescent="0.25">
      <c r="I2536" s="46"/>
      <c r="J2536" s="26"/>
      <c r="K2536" s="26"/>
      <c r="L2536" s="26"/>
      <c r="M2536" s="26"/>
      <c r="N2536" s="26"/>
      <c r="O2536" s="26"/>
      <c r="P2536" s="26"/>
      <c r="Q2536" s="26"/>
      <c r="R2536" s="26"/>
    </row>
    <row r="2537" spans="9:18" x14ac:dyDescent="0.25">
      <c r="I2537" s="46"/>
      <c r="J2537" s="26"/>
      <c r="K2537" s="26"/>
      <c r="L2537" s="26"/>
      <c r="M2537" s="26"/>
      <c r="N2537" s="26"/>
      <c r="O2537" s="26"/>
      <c r="P2537" s="26"/>
      <c r="Q2537" s="26"/>
      <c r="R2537" s="26"/>
    </row>
    <row r="2538" spans="9:18" x14ac:dyDescent="0.25">
      <c r="I2538" s="46"/>
      <c r="J2538" s="26"/>
      <c r="K2538" s="26"/>
      <c r="L2538" s="26"/>
      <c r="M2538" s="26"/>
      <c r="N2538" s="26"/>
      <c r="O2538" s="26"/>
      <c r="P2538" s="26"/>
      <c r="Q2538" s="26"/>
      <c r="R2538" s="26"/>
    </row>
    <row r="2539" spans="9:18" x14ac:dyDescent="0.25">
      <c r="I2539" s="46"/>
      <c r="J2539" s="26"/>
      <c r="K2539" s="26"/>
      <c r="L2539" s="26"/>
      <c r="M2539" s="26"/>
      <c r="N2539" s="26"/>
      <c r="O2539" s="26"/>
      <c r="P2539" s="26"/>
      <c r="Q2539" s="26"/>
      <c r="R2539" s="26"/>
    </row>
    <row r="2540" spans="9:18" x14ac:dyDescent="0.25">
      <c r="I2540" s="46"/>
      <c r="J2540" s="26"/>
      <c r="K2540" s="26"/>
      <c r="L2540" s="26"/>
      <c r="M2540" s="26"/>
      <c r="N2540" s="26"/>
      <c r="O2540" s="26"/>
      <c r="P2540" s="26"/>
      <c r="Q2540" s="26"/>
      <c r="R2540" s="26"/>
    </row>
    <row r="2541" spans="9:18" x14ac:dyDescent="0.25">
      <c r="I2541" s="46"/>
      <c r="J2541" s="26"/>
      <c r="K2541" s="26"/>
      <c r="L2541" s="26"/>
      <c r="M2541" s="26"/>
      <c r="N2541" s="26"/>
      <c r="O2541" s="26"/>
      <c r="P2541" s="26"/>
      <c r="Q2541" s="26"/>
      <c r="R2541" s="26"/>
    </row>
    <row r="2542" spans="9:18" x14ac:dyDescent="0.25">
      <c r="I2542" s="46"/>
      <c r="J2542" s="26"/>
      <c r="K2542" s="26"/>
      <c r="L2542" s="26"/>
      <c r="M2542" s="26"/>
      <c r="N2542" s="26"/>
      <c r="O2542" s="26"/>
      <c r="P2542" s="26"/>
      <c r="Q2542" s="26"/>
      <c r="R2542" s="26"/>
    </row>
    <row r="2543" spans="9:18" x14ac:dyDescent="0.25">
      <c r="I2543" s="46"/>
      <c r="J2543" s="26"/>
      <c r="K2543" s="26"/>
      <c r="L2543" s="26"/>
      <c r="M2543" s="26"/>
      <c r="N2543" s="26"/>
      <c r="O2543" s="26"/>
      <c r="P2543" s="26"/>
      <c r="Q2543" s="26"/>
      <c r="R2543" s="26"/>
    </row>
    <row r="2544" spans="9:18" x14ac:dyDescent="0.25">
      <c r="I2544" s="46"/>
      <c r="J2544" s="26"/>
      <c r="K2544" s="26"/>
      <c r="L2544" s="26"/>
      <c r="M2544" s="26"/>
      <c r="N2544" s="26"/>
      <c r="O2544" s="26"/>
      <c r="P2544" s="26"/>
      <c r="Q2544" s="26"/>
      <c r="R2544" s="26"/>
    </row>
    <row r="2545" spans="9:18" x14ac:dyDescent="0.25">
      <c r="I2545" s="46"/>
      <c r="J2545" s="26"/>
      <c r="K2545" s="26"/>
      <c r="L2545" s="26"/>
      <c r="M2545" s="26"/>
      <c r="N2545" s="26"/>
      <c r="O2545" s="26"/>
      <c r="P2545" s="26"/>
      <c r="Q2545" s="26"/>
      <c r="R2545" s="26"/>
    </row>
    <row r="2546" spans="9:18" x14ac:dyDescent="0.25">
      <c r="I2546" s="46"/>
      <c r="J2546" s="26"/>
      <c r="K2546" s="26"/>
      <c r="L2546" s="26"/>
      <c r="M2546" s="26"/>
      <c r="N2546" s="26"/>
      <c r="O2546" s="26"/>
      <c r="P2546" s="26"/>
      <c r="Q2546" s="26"/>
      <c r="R2546" s="26"/>
    </row>
    <row r="2547" spans="9:18" x14ac:dyDescent="0.25">
      <c r="I2547" s="46"/>
      <c r="J2547" s="26"/>
      <c r="K2547" s="26"/>
      <c r="L2547" s="26"/>
      <c r="M2547" s="26"/>
      <c r="N2547" s="26"/>
      <c r="O2547" s="26"/>
      <c r="P2547" s="26"/>
      <c r="Q2547" s="26"/>
      <c r="R2547" s="26"/>
    </row>
    <row r="2548" spans="9:18" x14ac:dyDescent="0.25">
      <c r="I2548" s="46"/>
      <c r="J2548" s="26"/>
      <c r="K2548" s="26"/>
      <c r="L2548" s="26"/>
      <c r="M2548" s="26"/>
      <c r="N2548" s="26"/>
      <c r="O2548" s="26"/>
      <c r="P2548" s="26"/>
      <c r="Q2548" s="26"/>
      <c r="R2548" s="26"/>
    </row>
    <row r="2549" spans="9:18" x14ac:dyDescent="0.25">
      <c r="I2549" s="46"/>
      <c r="J2549" s="26"/>
      <c r="K2549" s="26"/>
      <c r="L2549" s="26"/>
      <c r="M2549" s="26"/>
      <c r="N2549" s="26"/>
      <c r="O2549" s="26"/>
      <c r="P2549" s="26"/>
      <c r="Q2549" s="26"/>
      <c r="R2549" s="26"/>
    </row>
    <row r="2550" spans="9:18" x14ac:dyDescent="0.25">
      <c r="I2550" s="46"/>
      <c r="J2550" s="26"/>
      <c r="K2550" s="26"/>
      <c r="L2550" s="26"/>
      <c r="M2550" s="26"/>
      <c r="N2550" s="26"/>
      <c r="O2550" s="26"/>
      <c r="P2550" s="26"/>
      <c r="Q2550" s="26"/>
      <c r="R2550" s="26"/>
    </row>
    <row r="2551" spans="9:18" x14ac:dyDescent="0.25">
      <c r="I2551" s="46"/>
      <c r="J2551" s="26"/>
      <c r="K2551" s="26"/>
      <c r="L2551" s="26"/>
      <c r="M2551" s="26"/>
      <c r="N2551" s="26"/>
      <c r="O2551" s="26"/>
      <c r="P2551" s="26"/>
      <c r="Q2551" s="26"/>
      <c r="R2551" s="26"/>
    </row>
    <row r="2552" spans="9:18" x14ac:dyDescent="0.25">
      <c r="I2552" s="46"/>
      <c r="J2552" s="26"/>
      <c r="K2552" s="26"/>
      <c r="L2552" s="26"/>
      <c r="M2552" s="26"/>
      <c r="N2552" s="26"/>
      <c r="O2552" s="26"/>
      <c r="P2552" s="26"/>
      <c r="Q2552" s="26"/>
      <c r="R2552" s="26"/>
    </row>
    <row r="2553" spans="9:18" x14ac:dyDescent="0.25">
      <c r="I2553" s="46"/>
      <c r="J2553" s="26"/>
      <c r="K2553" s="26"/>
      <c r="L2553" s="26"/>
      <c r="M2553" s="26"/>
      <c r="N2553" s="26"/>
      <c r="O2553" s="26"/>
      <c r="P2553" s="26"/>
      <c r="Q2553" s="26"/>
      <c r="R2553" s="26"/>
    </row>
    <row r="2554" spans="9:18" x14ac:dyDescent="0.25">
      <c r="I2554" s="46"/>
      <c r="J2554" s="26"/>
      <c r="K2554" s="26"/>
      <c r="L2554" s="26"/>
      <c r="M2554" s="26"/>
      <c r="N2554" s="26"/>
      <c r="O2554" s="26"/>
      <c r="P2554" s="26"/>
      <c r="Q2554" s="26"/>
      <c r="R2554" s="26"/>
    </row>
    <row r="2555" spans="9:18" x14ac:dyDescent="0.25">
      <c r="I2555" s="46"/>
      <c r="J2555" s="26"/>
      <c r="K2555" s="26"/>
      <c r="L2555" s="26"/>
      <c r="M2555" s="26"/>
      <c r="N2555" s="26"/>
      <c r="O2555" s="26"/>
      <c r="P2555" s="26"/>
      <c r="Q2555" s="26"/>
      <c r="R2555" s="26"/>
    </row>
    <row r="2556" spans="9:18" x14ac:dyDescent="0.25">
      <c r="I2556" s="46"/>
      <c r="J2556" s="26"/>
      <c r="K2556" s="26"/>
      <c r="L2556" s="26"/>
      <c r="M2556" s="26"/>
      <c r="N2556" s="26"/>
      <c r="O2556" s="26"/>
      <c r="P2556" s="26"/>
      <c r="Q2556" s="26"/>
      <c r="R2556" s="26"/>
    </row>
    <row r="2557" spans="9:18" x14ac:dyDescent="0.25">
      <c r="I2557" s="46"/>
      <c r="J2557" s="26"/>
      <c r="K2557" s="26"/>
      <c r="L2557" s="26"/>
      <c r="M2557" s="26"/>
      <c r="N2557" s="26"/>
      <c r="O2557" s="26"/>
      <c r="P2557" s="26"/>
      <c r="Q2557" s="26"/>
      <c r="R2557" s="26"/>
    </row>
    <row r="2558" spans="9:18" x14ac:dyDescent="0.25">
      <c r="I2558" s="46"/>
      <c r="J2558" s="26"/>
      <c r="K2558" s="26"/>
      <c r="L2558" s="26"/>
      <c r="M2558" s="26"/>
      <c r="N2558" s="26"/>
      <c r="O2558" s="26"/>
      <c r="P2558" s="26"/>
      <c r="Q2558" s="26"/>
      <c r="R2558" s="26"/>
    </row>
    <row r="2559" spans="9:18" x14ac:dyDescent="0.25">
      <c r="I2559" s="46"/>
      <c r="J2559" s="26"/>
      <c r="K2559" s="26"/>
      <c r="L2559" s="26"/>
      <c r="M2559" s="26"/>
      <c r="N2559" s="26"/>
      <c r="O2559" s="26"/>
      <c r="P2559" s="26"/>
      <c r="Q2559" s="26"/>
      <c r="R2559" s="26"/>
    </row>
    <row r="2560" spans="9:18" x14ac:dyDescent="0.25">
      <c r="I2560" s="46"/>
      <c r="J2560" s="26"/>
      <c r="K2560" s="26"/>
      <c r="L2560" s="26"/>
      <c r="M2560" s="26"/>
      <c r="N2560" s="26"/>
      <c r="O2560" s="26"/>
      <c r="P2560" s="26"/>
      <c r="Q2560" s="26"/>
      <c r="R2560" s="26"/>
    </row>
    <row r="2561" spans="9:18" x14ac:dyDescent="0.25">
      <c r="I2561" s="46"/>
      <c r="J2561" s="26"/>
      <c r="K2561" s="26"/>
      <c r="L2561" s="26"/>
      <c r="M2561" s="26"/>
      <c r="N2561" s="26"/>
      <c r="O2561" s="26"/>
      <c r="P2561" s="26"/>
      <c r="Q2561" s="26"/>
      <c r="R2561" s="26"/>
    </row>
    <row r="2562" spans="9:18" x14ac:dyDescent="0.25">
      <c r="I2562" s="46"/>
      <c r="J2562" s="26"/>
      <c r="K2562" s="26"/>
      <c r="L2562" s="26"/>
      <c r="M2562" s="26"/>
      <c r="N2562" s="26"/>
      <c r="O2562" s="26"/>
      <c r="P2562" s="26"/>
      <c r="Q2562" s="26"/>
      <c r="R2562" s="26"/>
    </row>
    <row r="2563" spans="9:18" x14ac:dyDescent="0.25">
      <c r="I2563" s="46"/>
      <c r="J2563" s="26"/>
      <c r="K2563" s="26"/>
      <c r="L2563" s="26"/>
      <c r="M2563" s="26"/>
      <c r="N2563" s="26"/>
      <c r="O2563" s="26"/>
      <c r="P2563" s="26"/>
      <c r="Q2563" s="26"/>
      <c r="R2563" s="26"/>
    </row>
    <row r="2564" spans="9:18" x14ac:dyDescent="0.25">
      <c r="I2564" s="46"/>
      <c r="J2564" s="26"/>
      <c r="K2564" s="26"/>
      <c r="L2564" s="26"/>
      <c r="M2564" s="26"/>
      <c r="N2564" s="26"/>
      <c r="O2564" s="26"/>
      <c r="P2564" s="26"/>
      <c r="Q2564" s="26"/>
      <c r="R2564" s="26"/>
    </row>
    <row r="2565" spans="9:18" x14ac:dyDescent="0.25">
      <c r="I2565" s="46"/>
      <c r="J2565" s="26"/>
      <c r="K2565" s="26"/>
      <c r="L2565" s="26"/>
      <c r="M2565" s="26"/>
      <c r="N2565" s="26"/>
      <c r="O2565" s="26"/>
      <c r="P2565" s="26"/>
      <c r="Q2565" s="26"/>
      <c r="R2565" s="26"/>
    </row>
    <row r="2566" spans="9:18" x14ac:dyDescent="0.25">
      <c r="I2566" s="46"/>
      <c r="J2566" s="26"/>
      <c r="K2566" s="26"/>
      <c r="L2566" s="26"/>
      <c r="M2566" s="26"/>
      <c r="N2566" s="26"/>
      <c r="O2566" s="26"/>
      <c r="P2566" s="26"/>
      <c r="Q2566" s="26"/>
      <c r="R2566" s="26"/>
    </row>
    <row r="2567" spans="9:18" x14ac:dyDescent="0.25">
      <c r="I2567" s="46"/>
      <c r="J2567" s="26"/>
      <c r="K2567" s="26"/>
      <c r="L2567" s="26"/>
      <c r="M2567" s="26"/>
      <c r="N2567" s="26"/>
      <c r="O2567" s="26"/>
      <c r="P2567" s="26"/>
      <c r="Q2567" s="26"/>
      <c r="R2567" s="26"/>
    </row>
    <row r="2568" spans="9:18" x14ac:dyDescent="0.25">
      <c r="I2568" s="46"/>
      <c r="J2568" s="26"/>
      <c r="K2568" s="26"/>
      <c r="L2568" s="26"/>
      <c r="M2568" s="26"/>
      <c r="N2568" s="26"/>
      <c r="O2568" s="26"/>
      <c r="P2568" s="26"/>
      <c r="Q2568" s="26"/>
      <c r="R2568" s="26"/>
    </row>
    <row r="2569" spans="9:18" x14ac:dyDescent="0.25">
      <c r="I2569" s="46"/>
      <c r="J2569" s="26"/>
      <c r="K2569" s="26"/>
      <c r="L2569" s="26"/>
      <c r="M2569" s="26"/>
      <c r="N2569" s="26"/>
      <c r="O2569" s="26"/>
      <c r="P2569" s="26"/>
      <c r="Q2569" s="26"/>
      <c r="R2569" s="26"/>
    </row>
    <row r="2570" spans="9:18" x14ac:dyDescent="0.25">
      <c r="I2570" s="46"/>
      <c r="J2570" s="26"/>
      <c r="K2570" s="26"/>
      <c r="L2570" s="26"/>
      <c r="M2570" s="26"/>
      <c r="N2570" s="26"/>
      <c r="O2570" s="26"/>
      <c r="P2570" s="26"/>
      <c r="Q2570" s="26"/>
      <c r="R2570" s="26"/>
    </row>
    <row r="2571" spans="9:18" x14ac:dyDescent="0.25">
      <c r="I2571" s="46"/>
      <c r="J2571" s="26"/>
      <c r="K2571" s="26"/>
      <c r="L2571" s="26"/>
      <c r="M2571" s="26"/>
      <c r="N2571" s="26"/>
      <c r="O2571" s="26"/>
      <c r="P2571" s="26"/>
      <c r="Q2571" s="26"/>
      <c r="R2571" s="26"/>
    </row>
    <row r="2572" spans="9:18" x14ac:dyDescent="0.25">
      <c r="I2572" s="46"/>
      <c r="J2572" s="26"/>
      <c r="K2572" s="26"/>
      <c r="L2572" s="26"/>
      <c r="M2572" s="26"/>
      <c r="N2572" s="26"/>
      <c r="O2572" s="26"/>
      <c r="P2572" s="26"/>
      <c r="Q2572" s="26"/>
      <c r="R2572" s="26"/>
    </row>
    <row r="2573" spans="9:18" x14ac:dyDescent="0.25">
      <c r="I2573" s="46"/>
      <c r="J2573" s="26"/>
      <c r="K2573" s="26"/>
      <c r="L2573" s="26"/>
      <c r="M2573" s="26"/>
      <c r="N2573" s="26"/>
      <c r="O2573" s="26"/>
      <c r="P2573" s="26"/>
      <c r="Q2573" s="26"/>
      <c r="R2573" s="26"/>
    </row>
    <row r="2574" spans="9:18" x14ac:dyDescent="0.25">
      <c r="I2574" s="46"/>
      <c r="J2574" s="26"/>
      <c r="K2574" s="26"/>
      <c r="L2574" s="26"/>
      <c r="M2574" s="26"/>
      <c r="N2574" s="26"/>
      <c r="O2574" s="26"/>
      <c r="P2574" s="26"/>
      <c r="Q2574" s="26"/>
      <c r="R2574" s="26"/>
    </row>
    <row r="2575" spans="9:18" x14ac:dyDescent="0.25">
      <c r="I2575" s="46"/>
      <c r="J2575" s="26"/>
      <c r="K2575" s="26"/>
      <c r="L2575" s="26"/>
      <c r="M2575" s="26"/>
      <c r="N2575" s="26"/>
      <c r="O2575" s="26"/>
      <c r="P2575" s="26"/>
      <c r="Q2575" s="26"/>
      <c r="R2575" s="26"/>
    </row>
    <row r="2576" spans="9:18" x14ac:dyDescent="0.25">
      <c r="I2576" s="46"/>
      <c r="J2576" s="26"/>
      <c r="K2576" s="26"/>
      <c r="L2576" s="26"/>
      <c r="M2576" s="26"/>
      <c r="N2576" s="26"/>
      <c r="O2576" s="26"/>
      <c r="P2576" s="26"/>
      <c r="Q2576" s="26"/>
      <c r="R2576" s="26"/>
    </row>
    <row r="2577" spans="9:18" x14ac:dyDescent="0.25">
      <c r="I2577" s="46"/>
      <c r="J2577" s="26"/>
      <c r="K2577" s="26"/>
      <c r="L2577" s="26"/>
      <c r="M2577" s="26"/>
      <c r="N2577" s="26"/>
      <c r="O2577" s="26"/>
      <c r="P2577" s="26"/>
      <c r="Q2577" s="26"/>
      <c r="R2577" s="26"/>
    </row>
    <row r="2578" spans="9:18" x14ac:dyDescent="0.25">
      <c r="I2578" s="46"/>
      <c r="J2578" s="26"/>
      <c r="K2578" s="26"/>
      <c r="L2578" s="26"/>
      <c r="M2578" s="26"/>
      <c r="N2578" s="26"/>
      <c r="O2578" s="26"/>
      <c r="P2578" s="26"/>
      <c r="Q2578" s="26"/>
      <c r="R2578" s="26"/>
    </row>
    <row r="2579" spans="9:18" x14ac:dyDescent="0.25">
      <c r="I2579" s="46"/>
      <c r="J2579" s="26"/>
      <c r="K2579" s="26"/>
      <c r="L2579" s="26"/>
      <c r="M2579" s="26"/>
      <c r="N2579" s="26"/>
      <c r="O2579" s="26"/>
      <c r="P2579" s="26"/>
      <c r="Q2579" s="26"/>
      <c r="R2579" s="26"/>
    </row>
    <row r="2580" spans="9:18" x14ac:dyDescent="0.25">
      <c r="I2580" s="46"/>
      <c r="J2580" s="26"/>
      <c r="K2580" s="26"/>
      <c r="L2580" s="26"/>
      <c r="M2580" s="26"/>
      <c r="N2580" s="26"/>
      <c r="O2580" s="26"/>
      <c r="P2580" s="26"/>
      <c r="Q2580" s="26"/>
      <c r="R2580" s="26"/>
    </row>
    <row r="2581" spans="9:18" x14ac:dyDescent="0.25">
      <c r="I2581" s="46"/>
      <c r="J2581" s="26"/>
      <c r="K2581" s="26"/>
      <c r="L2581" s="26"/>
      <c r="M2581" s="26"/>
      <c r="N2581" s="26"/>
      <c r="O2581" s="26"/>
      <c r="P2581" s="26"/>
      <c r="Q2581" s="26"/>
      <c r="R2581" s="26"/>
    </row>
    <row r="2582" spans="9:18" x14ac:dyDescent="0.25">
      <c r="I2582" s="46"/>
      <c r="J2582" s="26"/>
      <c r="K2582" s="26"/>
      <c r="L2582" s="26"/>
      <c r="M2582" s="26"/>
      <c r="N2582" s="26"/>
      <c r="O2582" s="26"/>
      <c r="P2582" s="26"/>
      <c r="Q2582" s="26"/>
      <c r="R2582" s="26"/>
    </row>
    <row r="2583" spans="9:18" x14ac:dyDescent="0.25">
      <c r="I2583" s="46"/>
      <c r="J2583" s="26"/>
      <c r="K2583" s="26"/>
      <c r="L2583" s="26"/>
      <c r="M2583" s="26"/>
      <c r="N2583" s="26"/>
      <c r="O2583" s="26"/>
      <c r="P2583" s="26"/>
      <c r="Q2583" s="26"/>
      <c r="R2583" s="26"/>
    </row>
    <row r="2584" spans="9:18" x14ac:dyDescent="0.25">
      <c r="I2584" s="46"/>
      <c r="J2584" s="26"/>
      <c r="K2584" s="26"/>
      <c r="L2584" s="26"/>
      <c r="M2584" s="26"/>
      <c r="N2584" s="26"/>
      <c r="O2584" s="26"/>
      <c r="P2584" s="26"/>
      <c r="Q2584" s="26"/>
      <c r="R2584" s="26"/>
    </row>
    <row r="2585" spans="9:18" x14ac:dyDescent="0.25">
      <c r="I2585" s="46"/>
      <c r="J2585" s="26"/>
      <c r="K2585" s="26"/>
      <c r="L2585" s="26"/>
      <c r="M2585" s="26"/>
      <c r="N2585" s="26"/>
      <c r="O2585" s="26"/>
      <c r="P2585" s="26"/>
      <c r="Q2585" s="26"/>
      <c r="R2585" s="26"/>
    </row>
    <row r="2586" spans="9:18" x14ac:dyDescent="0.25">
      <c r="I2586" s="46"/>
      <c r="J2586" s="26"/>
      <c r="K2586" s="26"/>
      <c r="L2586" s="26"/>
      <c r="M2586" s="26"/>
      <c r="N2586" s="26"/>
      <c r="O2586" s="26"/>
      <c r="P2586" s="26"/>
      <c r="Q2586" s="26"/>
      <c r="R2586" s="26"/>
    </row>
    <row r="2587" spans="9:18" x14ac:dyDescent="0.25">
      <c r="I2587" s="46"/>
      <c r="J2587" s="26"/>
      <c r="K2587" s="26"/>
      <c r="L2587" s="26"/>
      <c r="M2587" s="26"/>
      <c r="N2587" s="26"/>
      <c r="O2587" s="26"/>
      <c r="P2587" s="26"/>
      <c r="Q2587" s="26"/>
      <c r="R2587" s="26"/>
    </row>
    <row r="2588" spans="9:18" x14ac:dyDescent="0.25">
      <c r="I2588" s="46"/>
      <c r="J2588" s="26"/>
      <c r="K2588" s="26"/>
      <c r="L2588" s="26"/>
      <c r="M2588" s="26"/>
      <c r="N2588" s="26"/>
      <c r="O2588" s="26"/>
      <c r="P2588" s="26"/>
      <c r="Q2588" s="26"/>
      <c r="R2588" s="26"/>
    </row>
    <row r="2589" spans="9:18" x14ac:dyDescent="0.25">
      <c r="I2589" s="46"/>
      <c r="J2589" s="26"/>
      <c r="K2589" s="26"/>
      <c r="L2589" s="26"/>
      <c r="M2589" s="26"/>
      <c r="N2589" s="26"/>
      <c r="O2589" s="26"/>
      <c r="P2589" s="26"/>
      <c r="Q2589" s="26"/>
      <c r="R2589" s="26"/>
    </row>
    <row r="2590" spans="9:18" x14ac:dyDescent="0.25">
      <c r="I2590" s="46"/>
      <c r="J2590" s="26"/>
      <c r="K2590" s="26"/>
      <c r="L2590" s="26"/>
      <c r="M2590" s="26"/>
      <c r="N2590" s="26"/>
      <c r="O2590" s="26"/>
      <c r="P2590" s="26"/>
      <c r="Q2590" s="26"/>
      <c r="R2590" s="26"/>
    </row>
    <row r="2591" spans="9:18" x14ac:dyDescent="0.25">
      <c r="I2591" s="46"/>
      <c r="J2591" s="26"/>
      <c r="K2591" s="26"/>
      <c r="L2591" s="26"/>
      <c r="M2591" s="26"/>
      <c r="N2591" s="26"/>
      <c r="O2591" s="26"/>
      <c r="P2591" s="26"/>
      <c r="Q2591" s="26"/>
      <c r="R2591" s="26"/>
    </row>
    <row r="2592" spans="9:18" x14ac:dyDescent="0.25">
      <c r="I2592" s="46"/>
      <c r="J2592" s="26"/>
      <c r="K2592" s="26"/>
      <c r="L2592" s="26"/>
      <c r="M2592" s="26"/>
      <c r="N2592" s="26"/>
      <c r="O2592" s="26"/>
      <c r="P2592" s="26"/>
      <c r="Q2592" s="26"/>
      <c r="R2592" s="26"/>
    </row>
    <row r="2593" spans="9:18" x14ac:dyDescent="0.25">
      <c r="I2593" s="46"/>
      <c r="J2593" s="26"/>
      <c r="K2593" s="26"/>
      <c r="L2593" s="26"/>
      <c r="M2593" s="26"/>
      <c r="N2593" s="26"/>
      <c r="O2593" s="26"/>
      <c r="P2593" s="26"/>
      <c r="Q2593" s="26"/>
      <c r="R2593" s="26"/>
    </row>
    <row r="2594" spans="9:18" x14ac:dyDescent="0.25">
      <c r="I2594" s="46"/>
      <c r="J2594" s="26"/>
      <c r="K2594" s="26"/>
      <c r="L2594" s="26"/>
      <c r="M2594" s="26"/>
      <c r="N2594" s="26"/>
      <c r="O2594" s="26"/>
      <c r="P2594" s="26"/>
      <c r="Q2594" s="26"/>
      <c r="R2594" s="26"/>
    </row>
    <row r="2595" spans="9:18" x14ac:dyDescent="0.25">
      <c r="I2595" s="46"/>
      <c r="J2595" s="26"/>
      <c r="K2595" s="26"/>
      <c r="L2595" s="26"/>
      <c r="M2595" s="26"/>
      <c r="N2595" s="26"/>
      <c r="O2595" s="26"/>
      <c r="P2595" s="26"/>
      <c r="Q2595" s="26"/>
      <c r="R2595" s="26"/>
    </row>
    <row r="2596" spans="9:18" x14ac:dyDescent="0.25">
      <c r="I2596" s="46"/>
      <c r="J2596" s="26"/>
      <c r="K2596" s="26"/>
      <c r="L2596" s="26"/>
      <c r="M2596" s="26"/>
      <c r="N2596" s="26"/>
      <c r="O2596" s="26"/>
      <c r="P2596" s="26"/>
      <c r="Q2596" s="26"/>
      <c r="R2596" s="26"/>
    </row>
    <row r="2597" spans="9:18" x14ac:dyDescent="0.25">
      <c r="I2597" s="46"/>
      <c r="J2597" s="26"/>
      <c r="K2597" s="26"/>
      <c r="L2597" s="26"/>
      <c r="M2597" s="26"/>
      <c r="N2597" s="26"/>
      <c r="O2597" s="26"/>
      <c r="P2597" s="26"/>
      <c r="Q2597" s="26"/>
      <c r="R2597" s="26"/>
    </row>
    <row r="2598" spans="9:18" x14ac:dyDescent="0.25">
      <c r="I2598" s="46"/>
      <c r="J2598" s="26"/>
      <c r="K2598" s="26"/>
      <c r="L2598" s="26"/>
      <c r="M2598" s="26"/>
      <c r="N2598" s="26"/>
      <c r="O2598" s="26"/>
      <c r="P2598" s="26"/>
      <c r="Q2598" s="26"/>
      <c r="R2598" s="26"/>
    </row>
    <row r="2599" spans="9:18" x14ac:dyDescent="0.25">
      <c r="I2599" s="46"/>
      <c r="J2599" s="26"/>
      <c r="K2599" s="26"/>
      <c r="L2599" s="26"/>
      <c r="M2599" s="26"/>
      <c r="N2599" s="26"/>
      <c r="O2599" s="26"/>
      <c r="P2599" s="26"/>
      <c r="Q2599" s="26"/>
      <c r="R2599" s="26"/>
    </row>
    <row r="2600" spans="9:18" x14ac:dyDescent="0.25">
      <c r="I2600" s="46"/>
      <c r="J2600" s="26"/>
      <c r="K2600" s="26"/>
      <c r="L2600" s="26"/>
      <c r="M2600" s="26"/>
      <c r="N2600" s="26"/>
      <c r="O2600" s="26"/>
      <c r="P2600" s="26"/>
      <c r="Q2600" s="26"/>
      <c r="R2600" s="26"/>
    </row>
    <row r="2601" spans="9:18" x14ac:dyDescent="0.25">
      <c r="I2601" s="46"/>
      <c r="J2601" s="26"/>
      <c r="K2601" s="26"/>
      <c r="L2601" s="26"/>
      <c r="M2601" s="26"/>
      <c r="N2601" s="26"/>
      <c r="O2601" s="26"/>
      <c r="P2601" s="26"/>
      <c r="Q2601" s="26"/>
      <c r="R2601" s="26"/>
    </row>
    <row r="2602" spans="9:18" x14ac:dyDescent="0.25">
      <c r="I2602" s="46"/>
      <c r="J2602" s="26"/>
      <c r="K2602" s="26"/>
      <c r="L2602" s="26"/>
      <c r="M2602" s="26"/>
      <c r="N2602" s="26"/>
      <c r="O2602" s="26"/>
      <c r="P2602" s="26"/>
      <c r="Q2602" s="26"/>
      <c r="R2602" s="26"/>
    </row>
    <row r="2603" spans="9:18" x14ac:dyDescent="0.25">
      <c r="I2603" s="46"/>
      <c r="J2603" s="26"/>
      <c r="K2603" s="26"/>
      <c r="L2603" s="26"/>
      <c r="M2603" s="26"/>
      <c r="N2603" s="26"/>
      <c r="O2603" s="26"/>
      <c r="P2603" s="26"/>
      <c r="Q2603" s="26"/>
      <c r="R2603" s="26"/>
    </row>
    <row r="2604" spans="9:18" x14ac:dyDescent="0.25">
      <c r="I2604" s="46"/>
      <c r="J2604" s="26"/>
      <c r="K2604" s="26"/>
      <c r="L2604" s="26"/>
      <c r="M2604" s="26"/>
      <c r="N2604" s="26"/>
      <c r="O2604" s="26"/>
      <c r="P2604" s="26"/>
      <c r="Q2604" s="26"/>
      <c r="R2604" s="26"/>
    </row>
    <row r="2605" spans="9:18" x14ac:dyDescent="0.25">
      <c r="I2605" s="46"/>
      <c r="J2605" s="26"/>
      <c r="K2605" s="26"/>
      <c r="L2605" s="26"/>
      <c r="M2605" s="26"/>
      <c r="N2605" s="26"/>
      <c r="O2605" s="26"/>
      <c r="P2605" s="26"/>
      <c r="Q2605" s="26"/>
      <c r="R2605" s="26"/>
    </row>
    <row r="2606" spans="9:18" x14ac:dyDescent="0.25">
      <c r="I2606" s="46"/>
      <c r="J2606" s="26"/>
      <c r="K2606" s="26"/>
      <c r="L2606" s="26"/>
      <c r="M2606" s="26"/>
      <c r="N2606" s="26"/>
      <c r="O2606" s="26"/>
      <c r="P2606" s="26"/>
      <c r="Q2606" s="26"/>
      <c r="R2606" s="26"/>
    </row>
    <row r="2607" spans="9:18" x14ac:dyDescent="0.25">
      <c r="I2607" s="46"/>
      <c r="J2607" s="26"/>
      <c r="K2607" s="26"/>
      <c r="L2607" s="26"/>
      <c r="M2607" s="26"/>
      <c r="N2607" s="26"/>
      <c r="O2607" s="26"/>
      <c r="P2607" s="26"/>
      <c r="Q2607" s="26"/>
      <c r="R2607" s="26"/>
    </row>
    <row r="2608" spans="9:18" x14ac:dyDescent="0.25">
      <c r="I2608" s="46"/>
      <c r="J2608" s="26"/>
      <c r="K2608" s="26"/>
      <c r="L2608" s="26"/>
      <c r="M2608" s="26"/>
      <c r="N2608" s="26"/>
      <c r="O2608" s="26"/>
      <c r="P2608" s="26"/>
      <c r="Q2608" s="26"/>
      <c r="R2608" s="26"/>
    </row>
    <row r="2609" spans="9:18" x14ac:dyDescent="0.25">
      <c r="I2609" s="46"/>
      <c r="J2609" s="26"/>
      <c r="K2609" s="26"/>
      <c r="L2609" s="26"/>
      <c r="M2609" s="26"/>
      <c r="N2609" s="26"/>
      <c r="O2609" s="26"/>
      <c r="P2609" s="26"/>
      <c r="Q2609" s="26"/>
      <c r="R2609" s="26"/>
    </row>
    <row r="2610" spans="9:18" x14ac:dyDescent="0.25">
      <c r="I2610" s="46"/>
      <c r="J2610" s="26"/>
      <c r="K2610" s="26"/>
      <c r="L2610" s="26"/>
      <c r="M2610" s="26"/>
      <c r="N2610" s="26"/>
      <c r="O2610" s="26"/>
      <c r="P2610" s="26"/>
      <c r="Q2610" s="26"/>
      <c r="R2610" s="26"/>
    </row>
    <row r="2611" spans="9:18" x14ac:dyDescent="0.25">
      <c r="I2611" s="46"/>
      <c r="J2611" s="26"/>
      <c r="K2611" s="26"/>
      <c r="L2611" s="26"/>
      <c r="M2611" s="26"/>
      <c r="N2611" s="26"/>
      <c r="O2611" s="26"/>
      <c r="P2611" s="26"/>
      <c r="Q2611" s="26"/>
      <c r="R2611" s="26"/>
    </row>
    <row r="2612" spans="9:18" x14ac:dyDescent="0.25">
      <c r="I2612" s="46"/>
      <c r="J2612" s="26"/>
      <c r="K2612" s="26"/>
      <c r="L2612" s="26"/>
      <c r="M2612" s="26"/>
      <c r="N2612" s="26"/>
      <c r="O2612" s="26"/>
      <c r="P2612" s="26"/>
      <c r="Q2612" s="26"/>
      <c r="R2612" s="26"/>
    </row>
    <row r="2613" spans="9:18" x14ac:dyDescent="0.25">
      <c r="I2613" s="46"/>
      <c r="J2613" s="26"/>
      <c r="K2613" s="26"/>
      <c r="L2613" s="26"/>
      <c r="M2613" s="26"/>
      <c r="N2613" s="26"/>
      <c r="O2613" s="26"/>
      <c r="P2613" s="26"/>
      <c r="Q2613" s="26"/>
      <c r="R2613" s="26"/>
    </row>
    <row r="2614" spans="9:18" x14ac:dyDescent="0.25">
      <c r="I2614" s="46"/>
      <c r="J2614" s="26"/>
      <c r="K2614" s="26"/>
      <c r="L2614" s="26"/>
      <c r="M2614" s="26"/>
      <c r="N2614" s="26"/>
      <c r="O2614" s="26"/>
      <c r="P2614" s="26"/>
      <c r="Q2614" s="26"/>
      <c r="R2614" s="26"/>
    </row>
    <row r="2615" spans="9:18" x14ac:dyDescent="0.25">
      <c r="I2615" s="46"/>
      <c r="J2615" s="26"/>
      <c r="K2615" s="26"/>
      <c r="L2615" s="26"/>
      <c r="M2615" s="26"/>
      <c r="N2615" s="26"/>
      <c r="O2615" s="26"/>
      <c r="P2615" s="26"/>
      <c r="Q2615" s="26"/>
      <c r="R2615" s="26"/>
    </row>
    <row r="2616" spans="9:18" x14ac:dyDescent="0.25">
      <c r="I2616" s="46"/>
      <c r="J2616" s="26"/>
      <c r="K2616" s="26"/>
      <c r="L2616" s="26"/>
      <c r="M2616" s="26"/>
      <c r="N2616" s="26"/>
      <c r="O2616" s="26"/>
      <c r="P2616" s="26"/>
      <c r="Q2616" s="26"/>
      <c r="R2616" s="26"/>
    </row>
    <row r="2617" spans="9:18" x14ac:dyDescent="0.25">
      <c r="I2617" s="46"/>
      <c r="J2617" s="26"/>
      <c r="K2617" s="26"/>
      <c r="L2617" s="26"/>
      <c r="M2617" s="26"/>
      <c r="N2617" s="26"/>
      <c r="O2617" s="26"/>
      <c r="P2617" s="26"/>
      <c r="Q2617" s="26"/>
      <c r="R2617" s="26"/>
    </row>
    <row r="2618" spans="9:18" x14ac:dyDescent="0.25">
      <c r="I2618" s="46"/>
      <c r="J2618" s="26"/>
      <c r="K2618" s="26"/>
      <c r="L2618" s="26"/>
      <c r="M2618" s="26"/>
      <c r="N2618" s="26"/>
      <c r="O2618" s="26"/>
      <c r="P2618" s="26"/>
      <c r="Q2618" s="26"/>
      <c r="R2618" s="26"/>
    </row>
    <row r="2619" spans="9:18" x14ac:dyDescent="0.25">
      <c r="I2619" s="46"/>
      <c r="J2619" s="26"/>
      <c r="K2619" s="26"/>
      <c r="L2619" s="26"/>
      <c r="M2619" s="26"/>
      <c r="N2619" s="26"/>
      <c r="O2619" s="26"/>
      <c r="P2619" s="26"/>
      <c r="Q2619" s="26"/>
      <c r="R2619" s="26"/>
    </row>
    <row r="2620" spans="9:18" x14ac:dyDescent="0.25">
      <c r="I2620" s="46"/>
      <c r="J2620" s="26"/>
      <c r="K2620" s="26"/>
      <c r="L2620" s="26"/>
      <c r="M2620" s="26"/>
      <c r="N2620" s="26"/>
      <c r="O2620" s="26"/>
      <c r="P2620" s="26"/>
      <c r="Q2620" s="26"/>
      <c r="R2620" s="26"/>
    </row>
    <row r="2621" spans="9:18" x14ac:dyDescent="0.25">
      <c r="I2621" s="46"/>
      <c r="J2621" s="26"/>
      <c r="K2621" s="26"/>
      <c r="L2621" s="26"/>
      <c r="M2621" s="26"/>
      <c r="N2621" s="26"/>
      <c r="O2621" s="26"/>
      <c r="P2621" s="26"/>
      <c r="Q2621" s="26"/>
      <c r="R2621" s="26"/>
    </row>
    <row r="2622" spans="9:18" x14ac:dyDescent="0.25">
      <c r="I2622" s="46"/>
      <c r="J2622" s="26"/>
      <c r="K2622" s="26"/>
      <c r="L2622" s="26"/>
      <c r="M2622" s="26"/>
      <c r="N2622" s="26"/>
      <c r="O2622" s="26"/>
      <c r="P2622" s="26"/>
      <c r="Q2622" s="26"/>
      <c r="R2622" s="26"/>
    </row>
    <row r="2623" spans="9:18" x14ac:dyDescent="0.25">
      <c r="I2623" s="46"/>
      <c r="J2623" s="26"/>
      <c r="K2623" s="26"/>
      <c r="L2623" s="26"/>
      <c r="M2623" s="26"/>
      <c r="N2623" s="26"/>
      <c r="O2623" s="26"/>
      <c r="P2623" s="26"/>
      <c r="Q2623" s="26"/>
      <c r="R2623" s="26"/>
    </row>
    <row r="2624" spans="9:18" x14ac:dyDescent="0.25">
      <c r="I2624" s="46"/>
      <c r="J2624" s="26"/>
      <c r="K2624" s="26"/>
      <c r="L2624" s="26"/>
      <c r="M2624" s="26"/>
      <c r="N2624" s="26"/>
      <c r="O2624" s="26"/>
      <c r="P2624" s="26"/>
      <c r="Q2624" s="26"/>
      <c r="R2624" s="26"/>
    </row>
    <row r="2625" spans="9:18" x14ac:dyDescent="0.25">
      <c r="I2625" s="46"/>
      <c r="J2625" s="26"/>
      <c r="K2625" s="26"/>
      <c r="L2625" s="26"/>
      <c r="M2625" s="26"/>
      <c r="N2625" s="26"/>
      <c r="O2625" s="26"/>
      <c r="P2625" s="26"/>
      <c r="Q2625" s="26"/>
      <c r="R2625" s="26"/>
    </row>
    <row r="2626" spans="9:18" x14ac:dyDescent="0.25">
      <c r="I2626" s="46"/>
      <c r="J2626" s="26"/>
      <c r="K2626" s="26"/>
      <c r="L2626" s="26"/>
      <c r="M2626" s="26"/>
      <c r="N2626" s="26"/>
      <c r="O2626" s="26"/>
      <c r="P2626" s="26"/>
      <c r="Q2626" s="26"/>
      <c r="R2626" s="26"/>
    </row>
    <row r="2627" spans="9:18" x14ac:dyDescent="0.25">
      <c r="I2627" s="46"/>
      <c r="J2627" s="26"/>
      <c r="K2627" s="26"/>
      <c r="L2627" s="26"/>
      <c r="M2627" s="26"/>
      <c r="N2627" s="26"/>
      <c r="O2627" s="26"/>
      <c r="P2627" s="26"/>
      <c r="Q2627" s="26"/>
      <c r="R2627" s="26"/>
    </row>
    <row r="2628" spans="9:18" x14ac:dyDescent="0.25">
      <c r="I2628" s="46"/>
      <c r="J2628" s="26"/>
      <c r="K2628" s="26"/>
      <c r="L2628" s="26"/>
      <c r="M2628" s="26"/>
      <c r="N2628" s="26"/>
      <c r="O2628" s="26"/>
      <c r="P2628" s="26"/>
      <c r="Q2628" s="26"/>
      <c r="R2628" s="26"/>
    </row>
    <row r="2629" spans="9:18" x14ac:dyDescent="0.25">
      <c r="I2629" s="46"/>
      <c r="J2629" s="26"/>
      <c r="K2629" s="26"/>
      <c r="L2629" s="26"/>
      <c r="M2629" s="26"/>
      <c r="N2629" s="26"/>
      <c r="O2629" s="26"/>
      <c r="P2629" s="26"/>
      <c r="Q2629" s="26"/>
      <c r="R2629" s="26"/>
    </row>
    <row r="2630" spans="9:18" x14ac:dyDescent="0.25">
      <c r="I2630" s="46"/>
      <c r="J2630" s="26"/>
      <c r="K2630" s="26"/>
      <c r="L2630" s="26"/>
      <c r="M2630" s="26"/>
      <c r="N2630" s="26"/>
      <c r="O2630" s="26"/>
      <c r="P2630" s="26"/>
      <c r="Q2630" s="26"/>
      <c r="R2630" s="26"/>
    </row>
    <row r="2631" spans="9:18" x14ac:dyDescent="0.25">
      <c r="I2631" s="46"/>
      <c r="J2631" s="26"/>
      <c r="K2631" s="26"/>
      <c r="L2631" s="26"/>
      <c r="M2631" s="26"/>
      <c r="N2631" s="26"/>
      <c r="O2631" s="26"/>
      <c r="P2631" s="26"/>
      <c r="Q2631" s="26"/>
      <c r="R2631" s="26"/>
    </row>
    <row r="2632" spans="9:18" x14ac:dyDescent="0.25">
      <c r="I2632" s="46"/>
      <c r="J2632" s="26"/>
      <c r="K2632" s="26"/>
      <c r="L2632" s="26"/>
      <c r="M2632" s="26"/>
      <c r="N2632" s="26"/>
      <c r="O2632" s="26"/>
      <c r="P2632" s="26"/>
      <c r="Q2632" s="26"/>
      <c r="R2632" s="26"/>
    </row>
    <row r="2633" spans="9:18" x14ac:dyDescent="0.25">
      <c r="I2633" s="46"/>
      <c r="J2633" s="26"/>
      <c r="K2633" s="26"/>
      <c r="L2633" s="26"/>
      <c r="M2633" s="26"/>
      <c r="N2633" s="26"/>
      <c r="O2633" s="26"/>
      <c r="P2633" s="26"/>
      <c r="Q2633" s="26"/>
      <c r="R2633" s="26"/>
    </row>
    <row r="2634" spans="9:18" x14ac:dyDescent="0.25">
      <c r="I2634" s="46"/>
      <c r="J2634" s="26"/>
      <c r="K2634" s="26"/>
      <c r="L2634" s="26"/>
      <c r="M2634" s="26"/>
      <c r="N2634" s="26"/>
      <c r="O2634" s="26"/>
      <c r="P2634" s="26"/>
      <c r="Q2634" s="26"/>
      <c r="R2634" s="26"/>
    </row>
    <row r="2635" spans="9:18" x14ac:dyDescent="0.25">
      <c r="I2635" s="46"/>
      <c r="J2635" s="26"/>
      <c r="K2635" s="26"/>
      <c r="L2635" s="26"/>
      <c r="M2635" s="26"/>
      <c r="N2635" s="26"/>
      <c r="O2635" s="26"/>
      <c r="P2635" s="26"/>
      <c r="Q2635" s="26"/>
      <c r="R2635" s="26"/>
    </row>
    <row r="2636" spans="9:18" x14ac:dyDescent="0.25">
      <c r="I2636" s="46"/>
      <c r="J2636" s="26"/>
      <c r="K2636" s="26"/>
      <c r="L2636" s="26"/>
      <c r="M2636" s="26"/>
      <c r="N2636" s="26"/>
      <c r="O2636" s="26"/>
      <c r="P2636" s="26"/>
      <c r="Q2636" s="26"/>
      <c r="R2636" s="26"/>
    </row>
    <row r="2637" spans="9:18" x14ac:dyDescent="0.25">
      <c r="I2637" s="46"/>
      <c r="J2637" s="26"/>
      <c r="K2637" s="26"/>
      <c r="L2637" s="26"/>
      <c r="M2637" s="26"/>
      <c r="N2637" s="26"/>
      <c r="O2637" s="26"/>
      <c r="P2637" s="26"/>
      <c r="Q2637" s="26"/>
      <c r="R2637" s="26"/>
    </row>
    <row r="2638" spans="9:18" x14ac:dyDescent="0.25">
      <c r="I2638" s="46"/>
      <c r="J2638" s="26"/>
      <c r="K2638" s="26"/>
      <c r="L2638" s="26"/>
      <c r="M2638" s="26"/>
      <c r="N2638" s="26"/>
      <c r="O2638" s="26"/>
      <c r="P2638" s="26"/>
      <c r="Q2638" s="26"/>
      <c r="R2638" s="26"/>
    </row>
    <row r="2639" spans="9:18" x14ac:dyDescent="0.25">
      <c r="I2639" s="46"/>
      <c r="J2639" s="26"/>
      <c r="K2639" s="26"/>
      <c r="L2639" s="26"/>
      <c r="M2639" s="26"/>
      <c r="N2639" s="26"/>
      <c r="O2639" s="26"/>
      <c r="P2639" s="26"/>
      <c r="Q2639" s="26"/>
      <c r="R2639" s="26"/>
    </row>
    <row r="2640" spans="9:18" x14ac:dyDescent="0.25">
      <c r="I2640" s="46"/>
      <c r="J2640" s="26"/>
      <c r="K2640" s="26"/>
      <c r="L2640" s="26"/>
      <c r="M2640" s="26"/>
      <c r="N2640" s="26"/>
      <c r="O2640" s="26"/>
      <c r="P2640" s="26"/>
      <c r="Q2640" s="26"/>
      <c r="R2640" s="26"/>
    </row>
    <row r="2641" spans="9:18" x14ac:dyDescent="0.25">
      <c r="I2641" s="46"/>
      <c r="J2641" s="26"/>
      <c r="K2641" s="26"/>
      <c r="L2641" s="26"/>
      <c r="M2641" s="26"/>
      <c r="N2641" s="26"/>
      <c r="O2641" s="26"/>
      <c r="P2641" s="26"/>
      <c r="Q2641" s="26"/>
      <c r="R2641" s="26"/>
    </row>
    <row r="2642" spans="9:18" x14ac:dyDescent="0.25">
      <c r="I2642" s="46"/>
      <c r="J2642" s="26"/>
      <c r="K2642" s="26"/>
      <c r="L2642" s="26"/>
      <c r="M2642" s="26"/>
      <c r="N2642" s="26"/>
      <c r="O2642" s="26"/>
      <c r="P2642" s="26"/>
      <c r="Q2642" s="26"/>
      <c r="R2642" s="26"/>
    </row>
    <row r="2643" spans="9:18" x14ac:dyDescent="0.25">
      <c r="I2643" s="46"/>
      <c r="J2643" s="26"/>
      <c r="K2643" s="26"/>
      <c r="L2643" s="26"/>
      <c r="M2643" s="26"/>
      <c r="N2643" s="26"/>
      <c r="O2643" s="26"/>
      <c r="P2643" s="26"/>
      <c r="Q2643" s="26"/>
      <c r="R2643" s="26"/>
    </row>
    <row r="2644" spans="9:18" x14ac:dyDescent="0.25">
      <c r="I2644" s="46"/>
      <c r="J2644" s="26"/>
      <c r="K2644" s="26"/>
      <c r="L2644" s="26"/>
      <c r="M2644" s="26"/>
      <c r="N2644" s="26"/>
      <c r="O2644" s="26"/>
      <c r="P2644" s="26"/>
      <c r="Q2644" s="26"/>
      <c r="R2644" s="26"/>
    </row>
    <row r="2645" spans="9:18" x14ac:dyDescent="0.25">
      <c r="I2645" s="46"/>
      <c r="J2645" s="26"/>
      <c r="K2645" s="26"/>
      <c r="L2645" s="26"/>
      <c r="M2645" s="26"/>
      <c r="N2645" s="26"/>
      <c r="O2645" s="26"/>
      <c r="P2645" s="26"/>
      <c r="Q2645" s="26"/>
      <c r="R2645" s="26"/>
    </row>
    <row r="2646" spans="9:18" x14ac:dyDescent="0.25">
      <c r="I2646" s="46"/>
      <c r="J2646" s="26"/>
      <c r="K2646" s="26"/>
      <c r="L2646" s="26"/>
      <c r="M2646" s="26"/>
      <c r="N2646" s="26"/>
      <c r="O2646" s="26"/>
      <c r="P2646" s="26"/>
      <c r="Q2646" s="26"/>
      <c r="R2646" s="26"/>
    </row>
    <row r="2647" spans="9:18" x14ac:dyDescent="0.25">
      <c r="I2647" s="46"/>
      <c r="J2647" s="26"/>
      <c r="K2647" s="26"/>
      <c r="L2647" s="26"/>
      <c r="M2647" s="26"/>
      <c r="N2647" s="26"/>
      <c r="O2647" s="26"/>
      <c r="P2647" s="26"/>
      <c r="Q2647" s="26"/>
      <c r="R2647" s="26"/>
    </row>
    <row r="2648" spans="9:18" x14ac:dyDescent="0.25">
      <c r="I2648" s="46"/>
      <c r="J2648" s="26"/>
      <c r="K2648" s="26"/>
      <c r="L2648" s="26"/>
      <c r="M2648" s="26"/>
      <c r="N2648" s="26"/>
      <c r="O2648" s="26"/>
      <c r="P2648" s="26"/>
      <c r="Q2648" s="26"/>
      <c r="R2648" s="26"/>
    </row>
    <row r="2649" spans="9:18" x14ac:dyDescent="0.25">
      <c r="I2649" s="46"/>
      <c r="J2649" s="26"/>
      <c r="K2649" s="26"/>
      <c r="L2649" s="26"/>
      <c r="M2649" s="26"/>
      <c r="N2649" s="26"/>
      <c r="O2649" s="26"/>
      <c r="P2649" s="26"/>
      <c r="Q2649" s="26"/>
      <c r="R2649" s="26"/>
    </row>
    <row r="2650" spans="9:18" x14ac:dyDescent="0.25">
      <c r="I2650" s="46"/>
      <c r="J2650" s="26"/>
      <c r="K2650" s="26"/>
      <c r="L2650" s="26"/>
      <c r="M2650" s="26"/>
      <c r="N2650" s="26"/>
      <c r="O2650" s="26"/>
      <c r="P2650" s="26"/>
      <c r="Q2650" s="26"/>
      <c r="R2650" s="26"/>
    </row>
    <row r="2651" spans="9:18" x14ac:dyDescent="0.25">
      <c r="I2651" s="46"/>
      <c r="J2651" s="26"/>
      <c r="K2651" s="26"/>
      <c r="L2651" s="26"/>
      <c r="M2651" s="26"/>
      <c r="N2651" s="26"/>
      <c r="O2651" s="26"/>
      <c r="P2651" s="26"/>
      <c r="Q2651" s="26"/>
      <c r="R2651" s="26"/>
    </row>
    <row r="2652" spans="9:18" x14ac:dyDescent="0.25">
      <c r="I2652" s="46"/>
      <c r="J2652" s="26"/>
      <c r="K2652" s="26"/>
      <c r="L2652" s="26"/>
      <c r="M2652" s="26"/>
      <c r="N2652" s="26"/>
      <c r="O2652" s="26"/>
      <c r="P2652" s="26"/>
      <c r="Q2652" s="26"/>
      <c r="R2652" s="26"/>
    </row>
    <row r="2653" spans="9:18" x14ac:dyDescent="0.25">
      <c r="I2653" s="46"/>
      <c r="J2653" s="26"/>
      <c r="K2653" s="26"/>
      <c r="L2653" s="26"/>
      <c r="M2653" s="26"/>
      <c r="N2653" s="26"/>
      <c r="O2653" s="26"/>
      <c r="P2653" s="26"/>
      <c r="Q2653" s="26"/>
      <c r="R2653" s="26"/>
    </row>
    <row r="2654" spans="9:18" x14ac:dyDescent="0.25">
      <c r="I2654" s="46"/>
      <c r="J2654" s="26"/>
      <c r="K2654" s="26"/>
      <c r="L2654" s="26"/>
      <c r="M2654" s="26"/>
      <c r="N2654" s="26"/>
      <c r="O2654" s="26"/>
      <c r="P2654" s="26"/>
      <c r="Q2654" s="26"/>
      <c r="R2654" s="26"/>
    </row>
    <row r="2655" spans="9:18" x14ac:dyDescent="0.25">
      <c r="I2655" s="46"/>
      <c r="J2655" s="26"/>
      <c r="K2655" s="26"/>
      <c r="L2655" s="26"/>
      <c r="M2655" s="26"/>
      <c r="N2655" s="26"/>
      <c r="O2655" s="26"/>
      <c r="P2655" s="26"/>
      <c r="Q2655" s="26"/>
      <c r="R2655" s="26"/>
    </row>
    <row r="2656" spans="9:18" x14ac:dyDescent="0.25">
      <c r="I2656" s="46"/>
      <c r="J2656" s="26"/>
      <c r="K2656" s="26"/>
      <c r="L2656" s="26"/>
      <c r="M2656" s="26"/>
      <c r="N2656" s="26"/>
      <c r="O2656" s="26"/>
      <c r="P2656" s="26"/>
      <c r="Q2656" s="26"/>
      <c r="R2656" s="26"/>
    </row>
    <row r="2657" spans="9:18" x14ac:dyDescent="0.25">
      <c r="I2657" s="46"/>
      <c r="J2657" s="26"/>
      <c r="K2657" s="26"/>
      <c r="L2657" s="26"/>
      <c r="M2657" s="26"/>
      <c r="N2657" s="26"/>
      <c r="O2657" s="26"/>
      <c r="P2657" s="26"/>
      <c r="Q2657" s="26"/>
      <c r="R2657" s="26"/>
    </row>
    <row r="2658" spans="9:18" x14ac:dyDescent="0.25">
      <c r="I2658" s="46"/>
      <c r="J2658" s="26"/>
      <c r="K2658" s="26"/>
      <c r="L2658" s="26"/>
      <c r="M2658" s="26"/>
      <c r="N2658" s="26"/>
      <c r="O2658" s="26"/>
      <c r="P2658" s="26"/>
      <c r="Q2658" s="26"/>
      <c r="R2658" s="26"/>
    </row>
    <row r="2659" spans="9:18" x14ac:dyDescent="0.25">
      <c r="I2659" s="46"/>
      <c r="J2659" s="26"/>
      <c r="K2659" s="26"/>
      <c r="L2659" s="26"/>
      <c r="M2659" s="26"/>
      <c r="N2659" s="26"/>
      <c r="O2659" s="26"/>
      <c r="P2659" s="26"/>
      <c r="Q2659" s="26"/>
      <c r="R2659" s="26"/>
    </row>
    <row r="2660" spans="9:18" x14ac:dyDescent="0.25">
      <c r="I2660" s="46"/>
      <c r="J2660" s="26"/>
      <c r="K2660" s="26"/>
      <c r="L2660" s="26"/>
      <c r="M2660" s="26"/>
      <c r="N2660" s="26"/>
      <c r="O2660" s="26"/>
      <c r="P2660" s="26"/>
      <c r="Q2660" s="26"/>
      <c r="R2660" s="26"/>
    </row>
    <row r="2661" spans="9:18" x14ac:dyDescent="0.25">
      <c r="I2661" s="46"/>
      <c r="J2661" s="26"/>
      <c r="K2661" s="26"/>
      <c r="L2661" s="26"/>
      <c r="M2661" s="26"/>
      <c r="N2661" s="26"/>
      <c r="O2661" s="26"/>
      <c r="P2661" s="26"/>
      <c r="Q2661" s="26"/>
      <c r="R2661" s="26"/>
    </row>
    <row r="2662" spans="9:18" x14ac:dyDescent="0.25">
      <c r="I2662" s="46"/>
      <c r="J2662" s="26"/>
      <c r="K2662" s="26"/>
      <c r="L2662" s="26"/>
      <c r="M2662" s="26"/>
      <c r="N2662" s="26"/>
      <c r="O2662" s="26"/>
      <c r="P2662" s="26"/>
      <c r="Q2662" s="26"/>
      <c r="R2662" s="26"/>
    </row>
    <row r="2663" spans="9:18" x14ac:dyDescent="0.25">
      <c r="I2663" s="46"/>
      <c r="J2663" s="26"/>
      <c r="K2663" s="26"/>
      <c r="L2663" s="26"/>
      <c r="M2663" s="26"/>
      <c r="N2663" s="26"/>
      <c r="O2663" s="26"/>
      <c r="P2663" s="26"/>
      <c r="Q2663" s="26"/>
      <c r="R2663" s="26"/>
    </row>
    <row r="2664" spans="9:18" x14ac:dyDescent="0.25">
      <c r="I2664" s="46"/>
      <c r="J2664" s="26"/>
      <c r="K2664" s="26"/>
      <c r="L2664" s="26"/>
      <c r="M2664" s="26"/>
      <c r="N2664" s="26"/>
      <c r="O2664" s="26"/>
      <c r="P2664" s="26"/>
      <c r="Q2664" s="26"/>
      <c r="R2664" s="26"/>
    </row>
    <row r="2665" spans="9:18" x14ac:dyDescent="0.25">
      <c r="I2665" s="46"/>
      <c r="J2665" s="26"/>
      <c r="K2665" s="26"/>
      <c r="L2665" s="26"/>
      <c r="M2665" s="26"/>
      <c r="N2665" s="26"/>
      <c r="O2665" s="26"/>
      <c r="P2665" s="26"/>
      <c r="Q2665" s="26"/>
      <c r="R2665" s="26"/>
    </row>
    <row r="2666" spans="9:18" x14ac:dyDescent="0.25">
      <c r="I2666" s="46"/>
      <c r="J2666" s="26"/>
      <c r="K2666" s="26"/>
      <c r="L2666" s="26"/>
      <c r="M2666" s="26"/>
      <c r="N2666" s="26"/>
      <c r="O2666" s="26"/>
      <c r="P2666" s="26"/>
      <c r="Q2666" s="26"/>
      <c r="R2666" s="26"/>
    </row>
    <row r="2667" spans="9:18" x14ac:dyDescent="0.25">
      <c r="I2667" s="46"/>
      <c r="J2667" s="26"/>
      <c r="K2667" s="26"/>
      <c r="L2667" s="26"/>
      <c r="M2667" s="26"/>
      <c r="N2667" s="26"/>
      <c r="O2667" s="26"/>
      <c r="P2667" s="26"/>
      <c r="Q2667" s="26"/>
      <c r="R2667" s="26"/>
    </row>
    <row r="2668" spans="9:18" x14ac:dyDescent="0.25">
      <c r="I2668" s="46"/>
      <c r="J2668" s="26"/>
      <c r="K2668" s="26"/>
      <c r="L2668" s="26"/>
      <c r="M2668" s="26"/>
      <c r="N2668" s="26"/>
      <c r="O2668" s="26"/>
      <c r="P2668" s="26"/>
      <c r="Q2668" s="26"/>
      <c r="R2668" s="26"/>
    </row>
    <row r="2669" spans="9:18" x14ac:dyDescent="0.25">
      <c r="I2669" s="46"/>
      <c r="J2669" s="26"/>
      <c r="K2669" s="26"/>
      <c r="L2669" s="26"/>
      <c r="M2669" s="26"/>
      <c r="N2669" s="26"/>
      <c r="O2669" s="26"/>
      <c r="P2669" s="26"/>
      <c r="Q2669" s="26"/>
      <c r="R2669" s="26"/>
    </row>
    <row r="2670" spans="9:18" x14ac:dyDescent="0.25">
      <c r="I2670" s="46"/>
      <c r="J2670" s="26"/>
      <c r="K2670" s="26"/>
      <c r="L2670" s="26"/>
      <c r="M2670" s="26"/>
      <c r="N2670" s="26"/>
      <c r="O2670" s="26"/>
      <c r="P2670" s="26"/>
      <c r="Q2670" s="26"/>
      <c r="R2670" s="26"/>
    </row>
    <row r="2671" spans="9:18" x14ac:dyDescent="0.25">
      <c r="I2671" s="46"/>
      <c r="J2671" s="26"/>
      <c r="K2671" s="26"/>
      <c r="L2671" s="26"/>
      <c r="M2671" s="26"/>
      <c r="N2671" s="26"/>
      <c r="O2671" s="26"/>
      <c r="P2671" s="26"/>
      <c r="Q2671" s="26"/>
      <c r="R2671" s="26"/>
    </row>
    <row r="2672" spans="9:18" x14ac:dyDescent="0.25">
      <c r="I2672" s="46"/>
      <c r="J2672" s="26"/>
      <c r="K2672" s="26"/>
      <c r="L2672" s="26"/>
      <c r="M2672" s="26"/>
      <c r="N2672" s="26"/>
      <c r="O2672" s="26"/>
      <c r="P2672" s="26"/>
      <c r="Q2672" s="26"/>
      <c r="R2672" s="26"/>
    </row>
    <row r="2673" spans="9:18" x14ac:dyDescent="0.25">
      <c r="I2673" s="46"/>
      <c r="J2673" s="26"/>
      <c r="K2673" s="26"/>
      <c r="L2673" s="26"/>
      <c r="M2673" s="26"/>
      <c r="N2673" s="26"/>
      <c r="O2673" s="26"/>
      <c r="P2673" s="26"/>
      <c r="Q2673" s="26"/>
      <c r="R2673" s="26"/>
    </row>
    <row r="2674" spans="9:18" x14ac:dyDescent="0.25">
      <c r="I2674" s="46"/>
      <c r="J2674" s="26"/>
      <c r="K2674" s="26"/>
      <c r="L2674" s="26"/>
      <c r="M2674" s="26"/>
      <c r="N2674" s="26"/>
      <c r="O2674" s="26"/>
      <c r="P2674" s="26"/>
      <c r="Q2674" s="26"/>
      <c r="R2674" s="26"/>
    </row>
    <row r="2675" spans="9:18" x14ac:dyDescent="0.25">
      <c r="I2675" s="46"/>
      <c r="J2675" s="26"/>
      <c r="K2675" s="26"/>
      <c r="L2675" s="26"/>
      <c r="M2675" s="26"/>
      <c r="N2675" s="26"/>
      <c r="O2675" s="26"/>
      <c r="P2675" s="26"/>
      <c r="Q2675" s="26"/>
      <c r="R2675" s="26"/>
    </row>
    <row r="2676" spans="9:18" x14ac:dyDescent="0.25">
      <c r="I2676" s="46"/>
      <c r="J2676" s="26"/>
      <c r="K2676" s="26"/>
      <c r="L2676" s="26"/>
      <c r="M2676" s="26"/>
      <c r="N2676" s="26"/>
      <c r="O2676" s="26"/>
      <c r="P2676" s="26"/>
      <c r="Q2676" s="26"/>
      <c r="R2676" s="26"/>
    </row>
    <row r="2677" spans="9:18" x14ac:dyDescent="0.25">
      <c r="I2677" s="46"/>
      <c r="J2677" s="26"/>
      <c r="K2677" s="26"/>
      <c r="L2677" s="26"/>
      <c r="M2677" s="26"/>
      <c r="N2677" s="26"/>
      <c r="O2677" s="26"/>
      <c r="P2677" s="26"/>
      <c r="Q2677" s="26"/>
      <c r="R2677" s="26"/>
    </row>
    <row r="2678" spans="9:18" x14ac:dyDescent="0.25">
      <c r="I2678" s="46"/>
      <c r="J2678" s="26"/>
      <c r="K2678" s="26"/>
      <c r="L2678" s="26"/>
      <c r="M2678" s="26"/>
      <c r="N2678" s="26"/>
      <c r="O2678" s="26"/>
      <c r="P2678" s="26"/>
      <c r="Q2678" s="26"/>
      <c r="R2678" s="26"/>
    </row>
    <row r="2679" spans="9:18" x14ac:dyDescent="0.25">
      <c r="I2679" s="46"/>
      <c r="J2679" s="26"/>
      <c r="K2679" s="26"/>
      <c r="L2679" s="26"/>
      <c r="M2679" s="26"/>
      <c r="N2679" s="26"/>
      <c r="O2679" s="26"/>
      <c r="P2679" s="26"/>
      <c r="Q2679" s="26"/>
      <c r="R2679" s="26"/>
    </row>
    <row r="2680" spans="9:18" x14ac:dyDescent="0.25">
      <c r="I2680" s="46"/>
      <c r="J2680" s="26"/>
      <c r="K2680" s="26"/>
      <c r="L2680" s="26"/>
      <c r="M2680" s="26"/>
      <c r="N2680" s="26"/>
      <c r="O2680" s="26"/>
      <c r="P2680" s="26"/>
      <c r="Q2680" s="26"/>
      <c r="R2680" s="26"/>
    </row>
    <row r="2681" spans="9:18" x14ac:dyDescent="0.25">
      <c r="I2681" s="46"/>
      <c r="J2681" s="26"/>
      <c r="K2681" s="26"/>
      <c r="L2681" s="26"/>
      <c r="M2681" s="26"/>
      <c r="N2681" s="26"/>
      <c r="O2681" s="26"/>
      <c r="P2681" s="26"/>
      <c r="Q2681" s="26"/>
      <c r="R2681" s="26"/>
    </row>
    <row r="2682" spans="9:18" x14ac:dyDescent="0.25">
      <c r="I2682" s="46"/>
      <c r="J2682" s="26"/>
      <c r="K2682" s="26"/>
      <c r="L2682" s="26"/>
      <c r="M2682" s="26"/>
      <c r="N2682" s="26"/>
      <c r="O2682" s="26"/>
      <c r="P2682" s="26"/>
      <c r="Q2682" s="26"/>
      <c r="R2682" s="26"/>
    </row>
    <row r="2683" spans="9:18" x14ac:dyDescent="0.25">
      <c r="I2683" s="46"/>
      <c r="J2683" s="26"/>
      <c r="K2683" s="26"/>
      <c r="L2683" s="26"/>
      <c r="M2683" s="26"/>
      <c r="N2683" s="26"/>
      <c r="O2683" s="26"/>
      <c r="P2683" s="26"/>
      <c r="Q2683" s="26"/>
      <c r="R2683" s="26"/>
    </row>
    <row r="2684" spans="9:18" x14ac:dyDescent="0.25">
      <c r="I2684" s="46"/>
      <c r="J2684" s="26"/>
      <c r="K2684" s="26"/>
      <c r="L2684" s="26"/>
      <c r="M2684" s="26"/>
      <c r="N2684" s="26"/>
      <c r="O2684" s="26"/>
      <c r="P2684" s="26"/>
      <c r="Q2684" s="26"/>
      <c r="R2684" s="26"/>
    </row>
    <row r="2685" spans="9:18" x14ac:dyDescent="0.25">
      <c r="I2685" s="46"/>
      <c r="J2685" s="26"/>
      <c r="K2685" s="26"/>
      <c r="L2685" s="26"/>
      <c r="M2685" s="26"/>
      <c r="N2685" s="26"/>
      <c r="O2685" s="26"/>
      <c r="P2685" s="26"/>
      <c r="Q2685" s="26"/>
      <c r="R2685" s="26"/>
    </row>
    <row r="2686" spans="9:18" x14ac:dyDescent="0.25">
      <c r="I2686" s="46"/>
      <c r="J2686" s="26"/>
      <c r="K2686" s="26"/>
      <c r="L2686" s="26"/>
      <c r="M2686" s="26"/>
      <c r="N2686" s="26"/>
      <c r="O2686" s="26"/>
      <c r="P2686" s="26"/>
      <c r="Q2686" s="26"/>
      <c r="R2686" s="26"/>
    </row>
    <row r="2687" spans="9:18" x14ac:dyDescent="0.25">
      <c r="I2687" s="46"/>
      <c r="J2687" s="26"/>
      <c r="K2687" s="26"/>
      <c r="L2687" s="26"/>
      <c r="M2687" s="26"/>
      <c r="N2687" s="26"/>
      <c r="O2687" s="26"/>
      <c r="P2687" s="26"/>
      <c r="Q2687" s="26"/>
      <c r="R2687" s="26"/>
    </row>
    <row r="2688" spans="9:18" x14ac:dyDescent="0.25">
      <c r="I2688" s="46"/>
      <c r="J2688" s="26"/>
      <c r="K2688" s="26"/>
      <c r="L2688" s="26"/>
      <c r="M2688" s="26"/>
      <c r="N2688" s="26"/>
      <c r="O2688" s="26"/>
      <c r="P2688" s="26"/>
      <c r="Q2688" s="26"/>
      <c r="R2688" s="26"/>
    </row>
    <row r="2689" spans="9:18" x14ac:dyDescent="0.25">
      <c r="I2689" s="46"/>
      <c r="J2689" s="26"/>
      <c r="K2689" s="26"/>
      <c r="L2689" s="26"/>
      <c r="M2689" s="26"/>
      <c r="N2689" s="26"/>
      <c r="O2689" s="26"/>
      <c r="P2689" s="26"/>
      <c r="Q2689" s="26"/>
      <c r="R2689" s="26"/>
    </row>
    <row r="2690" spans="9:18" x14ac:dyDescent="0.25">
      <c r="I2690" s="46"/>
      <c r="J2690" s="26"/>
      <c r="K2690" s="26"/>
      <c r="L2690" s="26"/>
      <c r="M2690" s="26"/>
      <c r="N2690" s="26"/>
      <c r="O2690" s="26"/>
      <c r="P2690" s="26"/>
      <c r="Q2690" s="26"/>
      <c r="R2690" s="26"/>
    </row>
    <row r="2691" spans="9:18" x14ac:dyDescent="0.25">
      <c r="I2691" s="46"/>
      <c r="J2691" s="26"/>
      <c r="K2691" s="26"/>
      <c r="L2691" s="26"/>
      <c r="M2691" s="26"/>
      <c r="N2691" s="26"/>
      <c r="O2691" s="26"/>
      <c r="P2691" s="26"/>
      <c r="Q2691" s="26"/>
      <c r="R2691" s="26"/>
    </row>
    <row r="2692" spans="9:18" x14ac:dyDescent="0.25">
      <c r="I2692" s="46"/>
      <c r="J2692" s="26"/>
      <c r="K2692" s="26"/>
      <c r="L2692" s="26"/>
      <c r="M2692" s="26"/>
      <c r="N2692" s="26"/>
      <c r="O2692" s="26"/>
      <c r="P2692" s="26"/>
      <c r="Q2692" s="26"/>
      <c r="R2692" s="26"/>
    </row>
    <row r="2693" spans="9:18" x14ac:dyDescent="0.25">
      <c r="I2693" s="46"/>
      <c r="J2693" s="26"/>
      <c r="K2693" s="26"/>
      <c r="L2693" s="26"/>
      <c r="M2693" s="26"/>
      <c r="N2693" s="26"/>
      <c r="O2693" s="26"/>
      <c r="P2693" s="26"/>
      <c r="Q2693" s="26"/>
      <c r="R2693" s="26"/>
    </row>
    <row r="2694" spans="9:18" x14ac:dyDescent="0.25">
      <c r="I2694" s="46"/>
      <c r="J2694" s="26"/>
      <c r="K2694" s="26"/>
      <c r="L2694" s="26"/>
      <c r="M2694" s="26"/>
      <c r="N2694" s="26"/>
      <c r="O2694" s="26"/>
      <c r="P2694" s="26"/>
      <c r="Q2694" s="26"/>
      <c r="R2694" s="26"/>
    </row>
    <row r="2695" spans="9:18" x14ac:dyDescent="0.25">
      <c r="I2695" s="46"/>
      <c r="J2695" s="26"/>
      <c r="K2695" s="26"/>
      <c r="L2695" s="26"/>
      <c r="M2695" s="26"/>
      <c r="N2695" s="26"/>
      <c r="O2695" s="26"/>
      <c r="P2695" s="26"/>
      <c r="Q2695" s="26"/>
      <c r="R2695" s="26"/>
    </row>
    <row r="2696" spans="9:18" x14ac:dyDescent="0.25">
      <c r="I2696" s="46"/>
      <c r="J2696" s="26"/>
      <c r="K2696" s="26"/>
      <c r="L2696" s="26"/>
      <c r="M2696" s="26"/>
      <c r="N2696" s="26"/>
      <c r="O2696" s="26"/>
      <c r="P2696" s="26"/>
      <c r="Q2696" s="26"/>
      <c r="R2696" s="26"/>
    </row>
    <row r="2697" spans="9:18" x14ac:dyDescent="0.25">
      <c r="I2697" s="46"/>
      <c r="J2697" s="26"/>
      <c r="K2697" s="26"/>
      <c r="L2697" s="26"/>
      <c r="M2697" s="26"/>
      <c r="N2697" s="26"/>
      <c r="O2697" s="26"/>
      <c r="P2697" s="26"/>
      <c r="Q2697" s="26"/>
      <c r="R2697" s="26"/>
    </row>
    <row r="2698" spans="9:18" x14ac:dyDescent="0.25">
      <c r="I2698" s="46"/>
      <c r="J2698" s="26"/>
      <c r="K2698" s="26"/>
      <c r="L2698" s="26"/>
      <c r="M2698" s="26"/>
      <c r="N2698" s="26"/>
      <c r="O2698" s="26"/>
      <c r="P2698" s="26"/>
      <c r="Q2698" s="26"/>
      <c r="R2698" s="26"/>
    </row>
    <row r="2699" spans="9:18" x14ac:dyDescent="0.25">
      <c r="I2699" s="46"/>
      <c r="J2699" s="26"/>
      <c r="K2699" s="26"/>
      <c r="L2699" s="26"/>
      <c r="M2699" s="26"/>
      <c r="N2699" s="26"/>
      <c r="O2699" s="26"/>
      <c r="P2699" s="26"/>
      <c r="Q2699" s="26"/>
      <c r="R2699" s="26"/>
    </row>
    <row r="2700" spans="9:18" x14ac:dyDescent="0.25">
      <c r="I2700" s="46"/>
      <c r="J2700" s="26"/>
      <c r="K2700" s="26"/>
      <c r="L2700" s="26"/>
      <c r="M2700" s="26"/>
      <c r="N2700" s="26"/>
      <c r="O2700" s="26"/>
      <c r="P2700" s="26"/>
      <c r="Q2700" s="26"/>
      <c r="R2700" s="26"/>
    </row>
    <row r="2701" spans="9:18" x14ac:dyDescent="0.25">
      <c r="I2701" s="46"/>
      <c r="J2701" s="26"/>
      <c r="K2701" s="26"/>
      <c r="L2701" s="26"/>
      <c r="M2701" s="26"/>
      <c r="N2701" s="26"/>
      <c r="O2701" s="26"/>
      <c r="P2701" s="26"/>
      <c r="Q2701" s="26"/>
      <c r="R2701" s="26"/>
    </row>
    <row r="2702" spans="9:18" x14ac:dyDescent="0.25">
      <c r="I2702" s="46"/>
      <c r="J2702" s="26"/>
      <c r="K2702" s="26"/>
      <c r="L2702" s="26"/>
      <c r="M2702" s="26"/>
      <c r="N2702" s="26"/>
      <c r="O2702" s="26"/>
      <c r="P2702" s="26"/>
      <c r="Q2702" s="26"/>
      <c r="R2702" s="26"/>
    </row>
    <row r="2703" spans="9:18" x14ac:dyDescent="0.25">
      <c r="I2703" s="46"/>
      <c r="J2703" s="26"/>
      <c r="K2703" s="26"/>
      <c r="L2703" s="26"/>
      <c r="M2703" s="26"/>
      <c r="N2703" s="26"/>
      <c r="O2703" s="26"/>
      <c r="P2703" s="26"/>
      <c r="Q2703" s="26"/>
      <c r="R2703" s="26"/>
    </row>
    <row r="2704" spans="9:18" x14ac:dyDescent="0.25">
      <c r="I2704" s="46"/>
      <c r="J2704" s="26"/>
      <c r="K2704" s="26"/>
      <c r="L2704" s="26"/>
      <c r="M2704" s="26"/>
      <c r="N2704" s="26"/>
      <c r="O2704" s="26"/>
      <c r="P2704" s="26"/>
      <c r="Q2704" s="26"/>
      <c r="R2704" s="26"/>
    </row>
    <row r="2705" spans="9:18" x14ac:dyDescent="0.25">
      <c r="I2705" s="46"/>
      <c r="J2705" s="26"/>
      <c r="K2705" s="26"/>
      <c r="L2705" s="26"/>
      <c r="M2705" s="26"/>
      <c r="N2705" s="26"/>
      <c r="O2705" s="26"/>
      <c r="P2705" s="26"/>
      <c r="Q2705" s="26"/>
      <c r="R2705" s="26"/>
    </row>
    <row r="2706" spans="9:18" x14ac:dyDescent="0.25">
      <c r="I2706" s="46"/>
      <c r="J2706" s="26"/>
      <c r="K2706" s="26"/>
      <c r="L2706" s="26"/>
      <c r="M2706" s="26"/>
      <c r="N2706" s="26"/>
      <c r="O2706" s="26"/>
      <c r="P2706" s="26"/>
      <c r="Q2706" s="26"/>
      <c r="R2706" s="26"/>
    </row>
    <row r="2707" spans="9:18" x14ac:dyDescent="0.25">
      <c r="I2707" s="46"/>
      <c r="J2707" s="26"/>
      <c r="K2707" s="26"/>
      <c r="L2707" s="26"/>
      <c r="M2707" s="26"/>
      <c r="N2707" s="26"/>
      <c r="O2707" s="26"/>
      <c r="P2707" s="26"/>
      <c r="Q2707" s="26"/>
      <c r="R2707" s="26"/>
    </row>
    <row r="2708" spans="9:18" x14ac:dyDescent="0.25">
      <c r="I2708" s="46"/>
      <c r="J2708" s="26"/>
      <c r="K2708" s="26"/>
      <c r="L2708" s="26"/>
      <c r="M2708" s="26"/>
      <c r="N2708" s="26"/>
      <c r="O2708" s="26"/>
      <c r="P2708" s="26"/>
      <c r="Q2708" s="26"/>
      <c r="R2708" s="26"/>
    </row>
    <row r="2709" spans="9:18" x14ac:dyDescent="0.25">
      <c r="I2709" s="46"/>
      <c r="J2709" s="26"/>
      <c r="K2709" s="26"/>
      <c r="L2709" s="26"/>
      <c r="M2709" s="26"/>
      <c r="N2709" s="26"/>
      <c r="O2709" s="26"/>
      <c r="P2709" s="26"/>
      <c r="Q2709" s="26"/>
      <c r="R2709" s="26"/>
    </row>
    <row r="2710" spans="9:18" x14ac:dyDescent="0.25">
      <c r="I2710" s="46"/>
      <c r="J2710" s="26"/>
      <c r="K2710" s="26"/>
      <c r="L2710" s="26"/>
      <c r="M2710" s="26"/>
      <c r="N2710" s="26"/>
      <c r="O2710" s="26"/>
      <c r="P2710" s="26"/>
      <c r="Q2710" s="26"/>
      <c r="R2710" s="26"/>
    </row>
    <row r="2711" spans="9:18" x14ac:dyDescent="0.25">
      <c r="I2711" s="46"/>
      <c r="J2711" s="26"/>
      <c r="K2711" s="26"/>
      <c r="L2711" s="26"/>
      <c r="M2711" s="26"/>
      <c r="N2711" s="26"/>
      <c r="O2711" s="26"/>
      <c r="P2711" s="26"/>
      <c r="Q2711" s="26"/>
      <c r="R2711" s="26"/>
    </row>
    <row r="2712" spans="9:18" x14ac:dyDescent="0.25">
      <c r="I2712" s="46"/>
      <c r="J2712" s="26"/>
      <c r="K2712" s="26"/>
      <c r="L2712" s="26"/>
      <c r="M2712" s="26"/>
      <c r="N2712" s="26"/>
      <c r="O2712" s="26"/>
      <c r="P2712" s="26"/>
      <c r="Q2712" s="26"/>
      <c r="R2712" s="26"/>
    </row>
    <row r="2713" spans="9:18" x14ac:dyDescent="0.25">
      <c r="I2713" s="46"/>
      <c r="J2713" s="26"/>
      <c r="K2713" s="26"/>
      <c r="L2713" s="26"/>
      <c r="M2713" s="26"/>
      <c r="N2713" s="26"/>
      <c r="O2713" s="26"/>
      <c r="P2713" s="26"/>
      <c r="Q2713" s="26"/>
      <c r="R2713" s="26"/>
    </row>
    <row r="2714" spans="9:18" x14ac:dyDescent="0.25">
      <c r="I2714" s="46"/>
      <c r="J2714" s="26"/>
      <c r="K2714" s="26"/>
      <c r="L2714" s="26"/>
      <c r="M2714" s="26"/>
      <c r="N2714" s="26"/>
      <c r="O2714" s="26"/>
      <c r="P2714" s="26"/>
      <c r="Q2714" s="26"/>
      <c r="R2714" s="26"/>
    </row>
    <row r="2715" spans="9:18" x14ac:dyDescent="0.25">
      <c r="I2715" s="46"/>
      <c r="J2715" s="26"/>
      <c r="K2715" s="26"/>
      <c r="L2715" s="26"/>
      <c r="M2715" s="26"/>
      <c r="N2715" s="26"/>
      <c r="O2715" s="26"/>
      <c r="P2715" s="26"/>
      <c r="Q2715" s="26"/>
      <c r="R2715" s="26"/>
    </row>
    <row r="2716" spans="9:18" x14ac:dyDescent="0.25">
      <c r="I2716" s="46"/>
      <c r="J2716" s="26"/>
      <c r="K2716" s="26"/>
      <c r="L2716" s="26"/>
      <c r="M2716" s="26"/>
      <c r="N2716" s="26"/>
      <c r="O2716" s="26"/>
      <c r="P2716" s="26"/>
      <c r="Q2716" s="26"/>
      <c r="R2716" s="26"/>
    </row>
    <row r="2717" spans="9:18" x14ac:dyDescent="0.25">
      <c r="I2717" s="46"/>
      <c r="J2717" s="26"/>
      <c r="K2717" s="26"/>
      <c r="L2717" s="26"/>
      <c r="M2717" s="26"/>
      <c r="N2717" s="26"/>
      <c r="O2717" s="26"/>
      <c r="P2717" s="26"/>
      <c r="Q2717" s="26"/>
      <c r="R2717" s="26"/>
    </row>
    <row r="2718" spans="9:18" x14ac:dyDescent="0.25">
      <c r="I2718" s="46"/>
      <c r="J2718" s="26"/>
      <c r="K2718" s="26"/>
      <c r="L2718" s="26"/>
      <c r="M2718" s="26"/>
      <c r="N2718" s="26"/>
      <c r="O2718" s="26"/>
      <c r="P2718" s="26"/>
      <c r="Q2718" s="26"/>
      <c r="R2718" s="26"/>
    </row>
    <row r="2719" spans="9:18" x14ac:dyDescent="0.25">
      <c r="I2719" s="46"/>
      <c r="J2719" s="26"/>
      <c r="K2719" s="26"/>
      <c r="L2719" s="26"/>
      <c r="M2719" s="26"/>
      <c r="N2719" s="26"/>
      <c r="O2719" s="26"/>
      <c r="P2719" s="26"/>
      <c r="Q2719" s="26"/>
      <c r="R2719" s="26"/>
    </row>
    <row r="2720" spans="9:18" x14ac:dyDescent="0.25">
      <c r="I2720" s="46"/>
      <c r="J2720" s="26"/>
      <c r="K2720" s="26"/>
      <c r="L2720" s="26"/>
      <c r="M2720" s="26"/>
      <c r="N2720" s="26"/>
      <c r="O2720" s="26"/>
      <c r="P2720" s="26"/>
      <c r="Q2720" s="26"/>
      <c r="R2720" s="26"/>
    </row>
    <row r="2721" spans="9:18" x14ac:dyDescent="0.25">
      <c r="I2721" s="46"/>
      <c r="J2721" s="26"/>
      <c r="K2721" s="26"/>
      <c r="L2721" s="26"/>
      <c r="M2721" s="26"/>
      <c r="N2721" s="26"/>
      <c r="O2721" s="26"/>
      <c r="P2721" s="26"/>
      <c r="Q2721" s="26"/>
      <c r="R2721" s="26"/>
    </row>
    <row r="2722" spans="9:18" x14ac:dyDescent="0.25">
      <c r="I2722" s="46"/>
      <c r="J2722" s="26"/>
      <c r="K2722" s="26"/>
      <c r="L2722" s="26"/>
      <c r="M2722" s="26"/>
      <c r="N2722" s="26"/>
      <c r="O2722" s="26"/>
      <c r="P2722" s="26"/>
      <c r="Q2722" s="26"/>
      <c r="R2722" s="26"/>
    </row>
    <row r="2723" spans="9:18" x14ac:dyDescent="0.25">
      <c r="I2723" s="46"/>
      <c r="J2723" s="26"/>
      <c r="K2723" s="26"/>
      <c r="L2723" s="26"/>
      <c r="M2723" s="26"/>
      <c r="N2723" s="26"/>
      <c r="O2723" s="26"/>
      <c r="P2723" s="26"/>
      <c r="Q2723" s="26"/>
      <c r="R2723" s="26"/>
    </row>
    <row r="2724" spans="9:18" x14ac:dyDescent="0.25">
      <c r="I2724" s="46"/>
      <c r="J2724" s="26"/>
      <c r="K2724" s="26"/>
      <c r="L2724" s="26"/>
      <c r="M2724" s="26"/>
      <c r="N2724" s="26"/>
      <c r="O2724" s="26"/>
      <c r="P2724" s="26"/>
      <c r="Q2724" s="26"/>
      <c r="R2724" s="26"/>
    </row>
    <row r="2725" spans="9:18" x14ac:dyDescent="0.25">
      <c r="I2725" s="46"/>
      <c r="J2725" s="26"/>
      <c r="K2725" s="26"/>
      <c r="L2725" s="26"/>
      <c r="M2725" s="26"/>
      <c r="N2725" s="26"/>
      <c r="O2725" s="26"/>
      <c r="P2725" s="26"/>
      <c r="Q2725" s="26"/>
      <c r="R2725" s="26"/>
    </row>
    <row r="2726" spans="9:18" x14ac:dyDescent="0.25">
      <c r="I2726" s="46"/>
      <c r="J2726" s="26"/>
      <c r="K2726" s="26"/>
      <c r="L2726" s="26"/>
      <c r="M2726" s="26"/>
      <c r="N2726" s="26"/>
      <c r="O2726" s="26"/>
      <c r="P2726" s="26"/>
      <c r="Q2726" s="26"/>
      <c r="R2726" s="26"/>
    </row>
    <row r="2727" spans="9:18" x14ac:dyDescent="0.25">
      <c r="I2727" s="46"/>
      <c r="J2727" s="26"/>
      <c r="K2727" s="26"/>
      <c r="L2727" s="26"/>
      <c r="M2727" s="26"/>
      <c r="N2727" s="26"/>
      <c r="O2727" s="26"/>
      <c r="P2727" s="26"/>
      <c r="Q2727" s="26"/>
      <c r="R2727" s="26"/>
    </row>
    <row r="2728" spans="9:18" x14ac:dyDescent="0.25">
      <c r="I2728" s="46"/>
      <c r="J2728" s="26"/>
      <c r="K2728" s="26"/>
      <c r="L2728" s="26"/>
      <c r="M2728" s="26"/>
      <c r="N2728" s="26"/>
      <c r="O2728" s="26"/>
      <c r="P2728" s="26"/>
      <c r="Q2728" s="26"/>
      <c r="R2728" s="26"/>
    </row>
    <row r="2729" spans="9:18" x14ac:dyDescent="0.25">
      <c r="I2729" s="46"/>
      <c r="J2729" s="26"/>
      <c r="K2729" s="26"/>
      <c r="L2729" s="26"/>
      <c r="M2729" s="26"/>
      <c r="N2729" s="26"/>
      <c r="O2729" s="26"/>
      <c r="P2729" s="26"/>
      <c r="Q2729" s="26"/>
      <c r="R2729" s="26"/>
    </row>
    <row r="2730" spans="9:18" x14ac:dyDescent="0.25">
      <c r="I2730" s="46"/>
      <c r="J2730" s="26"/>
      <c r="K2730" s="26"/>
      <c r="L2730" s="26"/>
      <c r="M2730" s="26"/>
      <c r="N2730" s="26"/>
      <c r="O2730" s="26"/>
      <c r="P2730" s="26"/>
      <c r="Q2730" s="26"/>
      <c r="R2730" s="26"/>
    </row>
    <row r="2731" spans="9:18" x14ac:dyDescent="0.25">
      <c r="I2731" s="46"/>
      <c r="J2731" s="26"/>
      <c r="K2731" s="26"/>
      <c r="L2731" s="26"/>
      <c r="M2731" s="26"/>
      <c r="N2731" s="26"/>
      <c r="O2731" s="26"/>
      <c r="P2731" s="26"/>
      <c r="Q2731" s="26"/>
      <c r="R2731" s="26"/>
    </row>
    <row r="2732" spans="9:18" x14ac:dyDescent="0.25">
      <c r="I2732" s="46"/>
      <c r="J2732" s="26"/>
      <c r="K2732" s="26"/>
      <c r="L2732" s="26"/>
      <c r="M2732" s="26"/>
      <c r="N2732" s="26"/>
      <c r="O2732" s="26"/>
      <c r="P2732" s="26"/>
      <c r="Q2732" s="26"/>
      <c r="R2732" s="26"/>
    </row>
    <row r="2733" spans="9:18" x14ac:dyDescent="0.25">
      <c r="I2733" s="46"/>
      <c r="J2733" s="26"/>
      <c r="K2733" s="26"/>
      <c r="L2733" s="26"/>
      <c r="M2733" s="26"/>
      <c r="N2733" s="26"/>
      <c r="O2733" s="26"/>
      <c r="P2733" s="26"/>
      <c r="Q2733" s="26"/>
      <c r="R2733" s="26"/>
    </row>
    <row r="2734" spans="9:18" x14ac:dyDescent="0.25">
      <c r="I2734" s="46"/>
      <c r="J2734" s="26"/>
      <c r="K2734" s="26"/>
      <c r="L2734" s="26"/>
      <c r="M2734" s="26"/>
      <c r="N2734" s="26"/>
      <c r="O2734" s="26"/>
      <c r="P2734" s="26"/>
      <c r="Q2734" s="26"/>
      <c r="R2734" s="26"/>
    </row>
    <row r="2735" spans="9:18" x14ac:dyDescent="0.25">
      <c r="I2735" s="46"/>
      <c r="J2735" s="26"/>
      <c r="K2735" s="26"/>
      <c r="L2735" s="26"/>
      <c r="M2735" s="26"/>
      <c r="N2735" s="26"/>
      <c r="O2735" s="26"/>
      <c r="P2735" s="26"/>
      <c r="Q2735" s="26"/>
      <c r="R2735" s="26"/>
    </row>
    <row r="2736" spans="9:18" x14ac:dyDescent="0.25">
      <c r="I2736" s="46"/>
      <c r="J2736" s="26"/>
      <c r="K2736" s="26"/>
      <c r="L2736" s="26"/>
      <c r="M2736" s="26"/>
      <c r="N2736" s="26"/>
      <c r="O2736" s="26"/>
      <c r="P2736" s="26"/>
      <c r="Q2736" s="26"/>
      <c r="R2736" s="26"/>
    </row>
    <row r="2737" spans="9:18" x14ac:dyDescent="0.25">
      <c r="I2737" s="46"/>
      <c r="J2737" s="26"/>
      <c r="K2737" s="26"/>
      <c r="L2737" s="26"/>
      <c r="M2737" s="26"/>
      <c r="N2737" s="26"/>
      <c r="O2737" s="26"/>
      <c r="P2737" s="26"/>
      <c r="Q2737" s="26"/>
      <c r="R2737" s="26"/>
    </row>
    <row r="2738" spans="9:18" x14ac:dyDescent="0.25">
      <c r="I2738" s="46"/>
      <c r="J2738" s="26"/>
      <c r="K2738" s="26"/>
      <c r="L2738" s="26"/>
      <c r="M2738" s="26"/>
      <c r="N2738" s="26"/>
      <c r="O2738" s="26"/>
      <c r="P2738" s="26"/>
      <c r="Q2738" s="26"/>
      <c r="R2738" s="26"/>
    </row>
    <row r="2739" spans="9:18" x14ac:dyDescent="0.25">
      <c r="I2739" s="46"/>
      <c r="J2739" s="26"/>
      <c r="K2739" s="26"/>
      <c r="L2739" s="26"/>
      <c r="M2739" s="26"/>
      <c r="N2739" s="26"/>
      <c r="O2739" s="26"/>
      <c r="P2739" s="26"/>
      <c r="Q2739" s="26"/>
      <c r="R2739" s="26"/>
    </row>
    <row r="2740" spans="9:18" x14ac:dyDescent="0.25">
      <c r="I2740" s="46"/>
      <c r="J2740" s="26"/>
      <c r="K2740" s="26"/>
      <c r="L2740" s="26"/>
      <c r="M2740" s="26"/>
      <c r="N2740" s="26"/>
      <c r="O2740" s="26"/>
      <c r="P2740" s="26"/>
      <c r="Q2740" s="26"/>
      <c r="R2740" s="26"/>
    </row>
    <row r="2741" spans="9:18" x14ac:dyDescent="0.25">
      <c r="I2741" s="46"/>
      <c r="J2741" s="26"/>
      <c r="K2741" s="26"/>
      <c r="L2741" s="26"/>
      <c r="M2741" s="26"/>
      <c r="N2741" s="26"/>
      <c r="O2741" s="26"/>
      <c r="P2741" s="26"/>
      <c r="Q2741" s="26"/>
      <c r="R2741" s="26"/>
    </row>
    <row r="2742" spans="9:18" x14ac:dyDescent="0.25">
      <c r="I2742" s="46"/>
      <c r="J2742" s="26"/>
      <c r="K2742" s="26"/>
      <c r="L2742" s="26"/>
      <c r="M2742" s="26"/>
      <c r="N2742" s="26"/>
      <c r="O2742" s="26"/>
      <c r="P2742" s="26"/>
      <c r="Q2742" s="26"/>
      <c r="R2742" s="26"/>
    </row>
    <row r="2743" spans="9:18" x14ac:dyDescent="0.25">
      <c r="I2743" s="46"/>
      <c r="J2743" s="26"/>
      <c r="K2743" s="26"/>
      <c r="L2743" s="26"/>
      <c r="M2743" s="26"/>
      <c r="N2743" s="26"/>
      <c r="O2743" s="26"/>
      <c r="P2743" s="26"/>
      <c r="Q2743" s="26"/>
      <c r="R2743" s="26"/>
    </row>
    <row r="2744" spans="9:18" x14ac:dyDescent="0.25">
      <c r="I2744" s="46"/>
      <c r="J2744" s="26"/>
      <c r="K2744" s="26"/>
      <c r="L2744" s="26"/>
      <c r="M2744" s="26"/>
      <c r="N2744" s="26"/>
      <c r="O2744" s="26"/>
      <c r="P2744" s="26"/>
      <c r="Q2744" s="26"/>
      <c r="R2744" s="26"/>
    </row>
    <row r="2745" spans="9:18" x14ac:dyDescent="0.25">
      <c r="I2745" s="46"/>
      <c r="J2745" s="26"/>
      <c r="K2745" s="26"/>
      <c r="L2745" s="26"/>
      <c r="M2745" s="26"/>
      <c r="N2745" s="26"/>
      <c r="O2745" s="26"/>
      <c r="P2745" s="26"/>
      <c r="Q2745" s="26"/>
      <c r="R2745" s="26"/>
    </row>
    <row r="2746" spans="9:18" x14ac:dyDescent="0.25">
      <c r="I2746" s="46"/>
      <c r="J2746" s="26"/>
      <c r="K2746" s="26"/>
      <c r="L2746" s="26"/>
      <c r="M2746" s="26"/>
      <c r="N2746" s="26"/>
      <c r="O2746" s="26"/>
      <c r="P2746" s="26"/>
      <c r="Q2746" s="26"/>
      <c r="R2746" s="26"/>
    </row>
    <row r="2747" spans="9:18" x14ac:dyDescent="0.25">
      <c r="I2747" s="46"/>
      <c r="J2747" s="26"/>
      <c r="K2747" s="26"/>
      <c r="L2747" s="26"/>
      <c r="M2747" s="26"/>
      <c r="N2747" s="26"/>
      <c r="O2747" s="26"/>
      <c r="P2747" s="26"/>
      <c r="Q2747" s="26"/>
      <c r="R2747" s="26"/>
    </row>
    <row r="2748" spans="9:18" x14ac:dyDescent="0.25">
      <c r="I2748" s="46"/>
      <c r="J2748" s="26"/>
      <c r="K2748" s="26"/>
      <c r="L2748" s="26"/>
      <c r="M2748" s="26"/>
      <c r="N2748" s="26"/>
      <c r="O2748" s="26"/>
      <c r="P2748" s="26"/>
      <c r="Q2748" s="26"/>
      <c r="R2748" s="26"/>
    </row>
    <row r="2749" spans="9:18" x14ac:dyDescent="0.25">
      <c r="I2749" s="46"/>
      <c r="J2749" s="26"/>
      <c r="K2749" s="26"/>
      <c r="L2749" s="26"/>
      <c r="M2749" s="26"/>
      <c r="N2749" s="26"/>
      <c r="O2749" s="26"/>
      <c r="P2749" s="26"/>
      <c r="Q2749" s="26"/>
      <c r="R2749" s="26"/>
    </row>
    <row r="2750" spans="9:18" x14ac:dyDescent="0.25">
      <c r="I2750" s="46"/>
      <c r="J2750" s="26"/>
      <c r="K2750" s="26"/>
      <c r="L2750" s="26"/>
      <c r="M2750" s="26"/>
      <c r="N2750" s="26"/>
      <c r="O2750" s="26"/>
      <c r="P2750" s="26"/>
      <c r="Q2750" s="26"/>
      <c r="R2750" s="26"/>
    </row>
    <row r="2751" spans="9:18" x14ac:dyDescent="0.25">
      <c r="I2751" s="46"/>
      <c r="J2751" s="26"/>
      <c r="K2751" s="26"/>
      <c r="L2751" s="26"/>
      <c r="M2751" s="26"/>
      <c r="N2751" s="26"/>
      <c r="O2751" s="26"/>
      <c r="P2751" s="26"/>
      <c r="Q2751" s="26"/>
      <c r="R2751" s="26"/>
    </row>
    <row r="2752" spans="9:18" x14ac:dyDescent="0.25">
      <c r="I2752" s="46"/>
      <c r="J2752" s="26"/>
      <c r="K2752" s="26"/>
      <c r="L2752" s="26"/>
      <c r="M2752" s="26"/>
      <c r="N2752" s="26"/>
      <c r="O2752" s="26"/>
      <c r="P2752" s="26"/>
      <c r="Q2752" s="26"/>
      <c r="R2752" s="26"/>
    </row>
    <row r="2753" spans="9:18" x14ac:dyDescent="0.25">
      <c r="I2753" s="46"/>
      <c r="J2753" s="26"/>
      <c r="K2753" s="26"/>
      <c r="L2753" s="26"/>
      <c r="M2753" s="26"/>
      <c r="N2753" s="26"/>
      <c r="O2753" s="26"/>
      <c r="P2753" s="26"/>
      <c r="Q2753" s="26"/>
      <c r="R2753" s="26"/>
    </row>
    <row r="2754" spans="9:18" x14ac:dyDescent="0.25">
      <c r="I2754" s="46"/>
      <c r="J2754" s="26"/>
      <c r="K2754" s="26"/>
      <c r="L2754" s="26"/>
      <c r="M2754" s="26"/>
      <c r="N2754" s="26"/>
      <c r="O2754" s="26"/>
      <c r="P2754" s="26"/>
      <c r="Q2754" s="26"/>
      <c r="R2754" s="26"/>
    </row>
    <row r="2755" spans="9:18" x14ac:dyDescent="0.25">
      <c r="I2755" s="46"/>
      <c r="J2755" s="26"/>
      <c r="K2755" s="26"/>
      <c r="L2755" s="26"/>
      <c r="M2755" s="26"/>
      <c r="N2755" s="26"/>
      <c r="O2755" s="26"/>
      <c r="P2755" s="26"/>
      <c r="Q2755" s="26"/>
      <c r="R2755" s="26"/>
    </row>
    <row r="2756" spans="9:18" x14ac:dyDescent="0.25">
      <c r="I2756" s="46"/>
      <c r="J2756" s="26"/>
      <c r="K2756" s="26"/>
      <c r="L2756" s="26"/>
      <c r="M2756" s="26"/>
      <c r="N2756" s="26"/>
      <c r="O2756" s="26"/>
      <c r="P2756" s="26"/>
      <c r="Q2756" s="26"/>
      <c r="R2756" s="26"/>
    </row>
    <row r="2757" spans="9:18" x14ac:dyDescent="0.25">
      <c r="I2757" s="46"/>
      <c r="J2757" s="26"/>
      <c r="K2757" s="26"/>
      <c r="L2757" s="26"/>
      <c r="M2757" s="26"/>
      <c r="N2757" s="26"/>
      <c r="O2757" s="26"/>
      <c r="P2757" s="26"/>
      <c r="Q2757" s="26"/>
      <c r="R2757" s="26"/>
    </row>
    <row r="2758" spans="9:18" x14ac:dyDescent="0.25">
      <c r="I2758" s="46"/>
      <c r="J2758" s="26"/>
      <c r="K2758" s="26"/>
      <c r="L2758" s="26"/>
      <c r="M2758" s="26"/>
      <c r="N2758" s="26"/>
      <c r="O2758" s="26"/>
      <c r="P2758" s="26"/>
      <c r="Q2758" s="26"/>
      <c r="R2758" s="26"/>
    </row>
    <row r="2759" spans="9:18" x14ac:dyDescent="0.25">
      <c r="I2759" s="46"/>
      <c r="J2759" s="26"/>
      <c r="K2759" s="26"/>
      <c r="L2759" s="26"/>
      <c r="M2759" s="26"/>
      <c r="N2759" s="26"/>
      <c r="O2759" s="26"/>
      <c r="P2759" s="26"/>
      <c r="Q2759" s="26"/>
      <c r="R2759" s="26"/>
    </row>
    <row r="2760" spans="9:18" x14ac:dyDescent="0.25">
      <c r="I2760" s="46"/>
      <c r="J2760" s="26"/>
      <c r="K2760" s="26"/>
      <c r="L2760" s="26"/>
      <c r="M2760" s="26"/>
      <c r="N2760" s="26"/>
      <c r="O2760" s="26"/>
      <c r="P2760" s="26"/>
      <c r="Q2760" s="26"/>
      <c r="R2760" s="26"/>
    </row>
    <row r="2761" spans="9:18" x14ac:dyDescent="0.25">
      <c r="I2761" s="46"/>
      <c r="J2761" s="26"/>
      <c r="K2761" s="26"/>
      <c r="L2761" s="26"/>
      <c r="M2761" s="26"/>
      <c r="N2761" s="26"/>
      <c r="O2761" s="26"/>
      <c r="P2761" s="26"/>
      <c r="Q2761" s="26"/>
      <c r="R2761" s="26"/>
    </row>
    <row r="2762" spans="9:18" x14ac:dyDescent="0.25">
      <c r="I2762" s="46"/>
      <c r="J2762" s="26"/>
      <c r="K2762" s="26"/>
      <c r="L2762" s="26"/>
      <c r="M2762" s="26"/>
      <c r="N2762" s="26"/>
      <c r="O2762" s="26"/>
      <c r="P2762" s="26"/>
      <c r="Q2762" s="26"/>
      <c r="R2762" s="26"/>
    </row>
    <row r="2763" spans="9:18" x14ac:dyDescent="0.25">
      <c r="I2763" s="46"/>
      <c r="J2763" s="26"/>
      <c r="K2763" s="26"/>
      <c r="L2763" s="26"/>
      <c r="M2763" s="26"/>
      <c r="N2763" s="26"/>
      <c r="O2763" s="26"/>
      <c r="P2763" s="26"/>
      <c r="Q2763" s="26"/>
      <c r="R2763" s="26"/>
    </row>
    <row r="2764" spans="9:18" x14ac:dyDescent="0.25">
      <c r="I2764" s="46"/>
      <c r="J2764" s="26"/>
      <c r="K2764" s="26"/>
      <c r="L2764" s="26"/>
      <c r="M2764" s="26"/>
      <c r="N2764" s="26"/>
      <c r="O2764" s="26"/>
      <c r="P2764" s="26"/>
      <c r="Q2764" s="26"/>
      <c r="R2764" s="26"/>
    </row>
    <row r="2765" spans="9:18" x14ac:dyDescent="0.25">
      <c r="I2765" s="46"/>
      <c r="J2765" s="26"/>
      <c r="K2765" s="26"/>
      <c r="L2765" s="26"/>
      <c r="M2765" s="26"/>
      <c r="N2765" s="26"/>
      <c r="O2765" s="26"/>
      <c r="P2765" s="26"/>
      <c r="Q2765" s="26"/>
      <c r="R2765" s="26"/>
    </row>
    <row r="2766" spans="9:18" x14ac:dyDescent="0.25">
      <c r="I2766" s="46"/>
      <c r="J2766" s="26"/>
      <c r="K2766" s="26"/>
      <c r="L2766" s="26"/>
      <c r="M2766" s="26"/>
      <c r="N2766" s="26"/>
      <c r="O2766" s="26"/>
      <c r="P2766" s="26"/>
      <c r="Q2766" s="26"/>
      <c r="R2766" s="26"/>
    </row>
    <row r="2767" spans="9:18" x14ac:dyDescent="0.25">
      <c r="I2767" s="46"/>
      <c r="J2767" s="26"/>
      <c r="K2767" s="26"/>
      <c r="L2767" s="26"/>
      <c r="M2767" s="26"/>
      <c r="N2767" s="26"/>
      <c r="O2767" s="26"/>
      <c r="P2767" s="26"/>
      <c r="Q2767" s="26"/>
      <c r="R2767" s="26"/>
    </row>
    <row r="2768" spans="9:18" x14ac:dyDescent="0.25">
      <c r="I2768" s="46"/>
      <c r="J2768" s="26"/>
      <c r="K2768" s="26"/>
      <c r="L2768" s="26"/>
      <c r="M2768" s="26"/>
      <c r="N2768" s="26"/>
      <c r="O2768" s="26"/>
      <c r="P2768" s="26"/>
      <c r="Q2768" s="26"/>
      <c r="R2768" s="26"/>
    </row>
    <row r="2769" spans="9:18" x14ac:dyDescent="0.25">
      <c r="I2769" s="46"/>
      <c r="J2769" s="26"/>
      <c r="K2769" s="26"/>
      <c r="L2769" s="26"/>
      <c r="M2769" s="26"/>
      <c r="N2769" s="26"/>
      <c r="O2769" s="26"/>
      <c r="P2769" s="26"/>
      <c r="Q2769" s="26"/>
      <c r="R2769" s="26"/>
    </row>
    <row r="2770" spans="9:18" x14ac:dyDescent="0.25">
      <c r="I2770" s="46"/>
      <c r="J2770" s="26"/>
      <c r="K2770" s="26"/>
      <c r="L2770" s="26"/>
      <c r="M2770" s="26"/>
      <c r="N2770" s="26"/>
      <c r="O2770" s="26"/>
      <c r="P2770" s="26"/>
      <c r="Q2770" s="26"/>
      <c r="R2770" s="26"/>
    </row>
    <row r="2771" spans="9:18" x14ac:dyDescent="0.25">
      <c r="I2771" s="46"/>
      <c r="J2771" s="26"/>
      <c r="K2771" s="26"/>
      <c r="L2771" s="26"/>
      <c r="M2771" s="26"/>
      <c r="N2771" s="26"/>
      <c r="O2771" s="26"/>
      <c r="P2771" s="26"/>
      <c r="Q2771" s="26"/>
      <c r="R2771" s="26"/>
    </row>
    <row r="2772" spans="9:18" x14ac:dyDescent="0.25">
      <c r="I2772" s="46"/>
      <c r="J2772" s="26"/>
      <c r="K2772" s="26"/>
      <c r="L2772" s="26"/>
      <c r="M2772" s="26"/>
      <c r="N2772" s="26"/>
      <c r="O2772" s="26"/>
      <c r="P2772" s="26"/>
      <c r="Q2772" s="26"/>
      <c r="R2772" s="26"/>
    </row>
    <row r="2773" spans="9:18" x14ac:dyDescent="0.25">
      <c r="I2773" s="46"/>
      <c r="J2773" s="26"/>
      <c r="K2773" s="26"/>
      <c r="L2773" s="26"/>
      <c r="M2773" s="26"/>
      <c r="N2773" s="26"/>
      <c r="O2773" s="26"/>
      <c r="P2773" s="26"/>
      <c r="Q2773" s="26"/>
      <c r="R2773" s="26"/>
    </row>
    <row r="2774" spans="9:18" x14ac:dyDescent="0.25">
      <c r="I2774" s="46"/>
      <c r="J2774" s="26"/>
      <c r="K2774" s="26"/>
      <c r="L2774" s="26"/>
      <c r="M2774" s="26"/>
      <c r="N2774" s="26"/>
      <c r="O2774" s="26"/>
      <c r="P2774" s="26"/>
      <c r="Q2774" s="26"/>
      <c r="R2774" s="26"/>
    </row>
    <row r="2775" spans="9:18" x14ac:dyDescent="0.25">
      <c r="I2775" s="46"/>
      <c r="J2775" s="26"/>
      <c r="K2775" s="26"/>
      <c r="L2775" s="26"/>
      <c r="M2775" s="26"/>
      <c r="N2775" s="26"/>
      <c r="O2775" s="26"/>
      <c r="P2775" s="26"/>
      <c r="Q2775" s="26"/>
      <c r="R2775" s="26"/>
    </row>
    <row r="2776" spans="9:18" x14ac:dyDescent="0.25">
      <c r="I2776" s="46"/>
      <c r="J2776" s="26"/>
      <c r="K2776" s="26"/>
      <c r="L2776" s="26"/>
      <c r="M2776" s="26"/>
      <c r="N2776" s="26"/>
      <c r="O2776" s="26"/>
      <c r="P2776" s="26"/>
      <c r="Q2776" s="26"/>
      <c r="R2776" s="26"/>
    </row>
    <row r="2777" spans="9:18" x14ac:dyDescent="0.25">
      <c r="I2777" s="46"/>
      <c r="J2777" s="26"/>
      <c r="K2777" s="26"/>
      <c r="L2777" s="26"/>
      <c r="M2777" s="26"/>
      <c r="N2777" s="26"/>
      <c r="O2777" s="26"/>
      <c r="P2777" s="26"/>
      <c r="Q2777" s="26"/>
      <c r="R2777" s="26"/>
    </row>
    <row r="2778" spans="9:18" x14ac:dyDescent="0.25">
      <c r="I2778" s="46"/>
      <c r="J2778" s="26"/>
      <c r="K2778" s="26"/>
      <c r="L2778" s="26"/>
      <c r="M2778" s="26"/>
      <c r="N2778" s="26"/>
      <c r="O2778" s="26"/>
      <c r="P2778" s="26"/>
      <c r="Q2778" s="26"/>
      <c r="R2778" s="26"/>
    </row>
    <row r="2779" spans="9:18" x14ac:dyDescent="0.25">
      <c r="I2779" s="46"/>
      <c r="J2779" s="26"/>
      <c r="K2779" s="26"/>
      <c r="L2779" s="26"/>
      <c r="M2779" s="26"/>
      <c r="N2779" s="26"/>
      <c r="O2779" s="26"/>
      <c r="P2779" s="26"/>
      <c r="Q2779" s="26"/>
      <c r="R2779" s="26"/>
    </row>
    <row r="2780" spans="9:18" x14ac:dyDescent="0.25">
      <c r="I2780" s="46"/>
      <c r="J2780" s="26"/>
      <c r="K2780" s="26"/>
      <c r="L2780" s="26"/>
      <c r="M2780" s="26"/>
      <c r="N2780" s="26"/>
      <c r="O2780" s="26"/>
      <c r="P2780" s="26"/>
      <c r="Q2780" s="26"/>
      <c r="R2780" s="26"/>
    </row>
    <row r="2781" spans="9:18" x14ac:dyDescent="0.25">
      <c r="I2781" s="46"/>
      <c r="J2781" s="26"/>
      <c r="K2781" s="26"/>
      <c r="L2781" s="26"/>
      <c r="M2781" s="26"/>
      <c r="N2781" s="26"/>
      <c r="O2781" s="26"/>
      <c r="P2781" s="26"/>
      <c r="Q2781" s="26"/>
      <c r="R2781" s="26"/>
    </row>
    <row r="2782" spans="9:18" x14ac:dyDescent="0.25">
      <c r="I2782" s="46"/>
      <c r="J2782" s="26"/>
      <c r="K2782" s="26"/>
      <c r="L2782" s="26"/>
      <c r="M2782" s="26"/>
      <c r="N2782" s="26"/>
      <c r="O2782" s="26"/>
      <c r="P2782" s="26"/>
      <c r="Q2782" s="26"/>
      <c r="R2782" s="26"/>
    </row>
    <row r="2783" spans="9:18" x14ac:dyDescent="0.25">
      <c r="I2783" s="46"/>
      <c r="J2783" s="26"/>
      <c r="K2783" s="26"/>
      <c r="L2783" s="26"/>
      <c r="M2783" s="26"/>
      <c r="N2783" s="26"/>
      <c r="O2783" s="26"/>
      <c r="P2783" s="26"/>
      <c r="Q2783" s="26"/>
      <c r="R2783" s="26"/>
    </row>
    <row r="2784" spans="9:18" x14ac:dyDescent="0.25">
      <c r="I2784" s="46"/>
      <c r="J2784" s="26"/>
      <c r="K2784" s="26"/>
      <c r="L2784" s="26"/>
      <c r="M2784" s="26"/>
      <c r="N2784" s="26"/>
      <c r="O2784" s="26"/>
      <c r="P2784" s="26"/>
      <c r="Q2784" s="26"/>
      <c r="R2784" s="26"/>
    </row>
    <row r="2785" spans="9:18" x14ac:dyDescent="0.25">
      <c r="I2785" s="46"/>
      <c r="J2785" s="26"/>
      <c r="K2785" s="26"/>
      <c r="L2785" s="26"/>
      <c r="M2785" s="26"/>
      <c r="N2785" s="26"/>
      <c r="O2785" s="26"/>
      <c r="P2785" s="26"/>
      <c r="Q2785" s="26"/>
      <c r="R2785" s="26"/>
    </row>
    <row r="2786" spans="9:18" x14ac:dyDescent="0.25">
      <c r="I2786" s="46"/>
      <c r="J2786" s="26"/>
      <c r="K2786" s="26"/>
      <c r="L2786" s="26"/>
      <c r="M2786" s="26"/>
      <c r="N2786" s="26"/>
      <c r="O2786" s="26"/>
      <c r="P2786" s="26"/>
      <c r="Q2786" s="26"/>
      <c r="R2786" s="26"/>
    </row>
    <row r="2787" spans="9:18" x14ac:dyDescent="0.25">
      <c r="I2787" s="46"/>
      <c r="J2787" s="26"/>
      <c r="K2787" s="26"/>
      <c r="L2787" s="26"/>
      <c r="M2787" s="26"/>
      <c r="N2787" s="26"/>
      <c r="O2787" s="26"/>
      <c r="P2787" s="26"/>
      <c r="Q2787" s="26"/>
      <c r="R2787" s="26"/>
    </row>
    <row r="2788" spans="9:18" x14ac:dyDescent="0.25">
      <c r="I2788" s="46"/>
      <c r="J2788" s="26"/>
      <c r="K2788" s="26"/>
      <c r="L2788" s="26"/>
      <c r="M2788" s="26"/>
      <c r="N2788" s="26"/>
      <c r="O2788" s="26"/>
      <c r="P2788" s="26"/>
      <c r="Q2788" s="26"/>
      <c r="R2788" s="26"/>
    </row>
    <row r="2789" spans="9:18" x14ac:dyDescent="0.25">
      <c r="I2789" s="46"/>
      <c r="J2789" s="26"/>
      <c r="K2789" s="26"/>
      <c r="L2789" s="26"/>
      <c r="M2789" s="26"/>
      <c r="N2789" s="26"/>
      <c r="O2789" s="26"/>
      <c r="P2789" s="26"/>
      <c r="Q2789" s="26"/>
      <c r="R2789" s="26"/>
    </row>
    <row r="2790" spans="9:18" x14ac:dyDescent="0.25">
      <c r="I2790" s="46"/>
      <c r="J2790" s="26"/>
      <c r="K2790" s="26"/>
      <c r="L2790" s="26"/>
      <c r="M2790" s="26"/>
      <c r="N2790" s="26"/>
      <c r="O2790" s="26"/>
      <c r="P2790" s="26"/>
      <c r="Q2790" s="26"/>
      <c r="R2790" s="26"/>
    </row>
    <row r="2791" spans="9:18" x14ac:dyDescent="0.25">
      <c r="I2791" s="46"/>
      <c r="J2791" s="26"/>
      <c r="K2791" s="26"/>
      <c r="L2791" s="26"/>
      <c r="M2791" s="26"/>
      <c r="N2791" s="26"/>
      <c r="O2791" s="26"/>
      <c r="P2791" s="26"/>
      <c r="Q2791" s="26"/>
      <c r="R2791" s="26"/>
    </row>
    <row r="2792" spans="9:18" x14ac:dyDescent="0.25">
      <c r="I2792" s="46"/>
      <c r="J2792" s="26"/>
      <c r="K2792" s="26"/>
      <c r="L2792" s="26"/>
      <c r="M2792" s="26"/>
      <c r="N2792" s="26"/>
      <c r="O2792" s="26"/>
      <c r="P2792" s="26"/>
      <c r="Q2792" s="26"/>
      <c r="R2792" s="26"/>
    </row>
    <row r="2793" spans="9:18" x14ac:dyDescent="0.25">
      <c r="I2793" s="46"/>
      <c r="J2793" s="26"/>
      <c r="K2793" s="26"/>
      <c r="L2793" s="26"/>
      <c r="M2793" s="26"/>
      <c r="N2793" s="26"/>
      <c r="O2793" s="26"/>
      <c r="P2793" s="26"/>
      <c r="Q2793" s="26"/>
      <c r="R2793" s="26"/>
    </row>
    <row r="2794" spans="9:18" x14ac:dyDescent="0.25">
      <c r="I2794" s="46"/>
      <c r="J2794" s="26"/>
      <c r="K2794" s="26"/>
      <c r="L2794" s="26"/>
      <c r="M2794" s="26"/>
      <c r="N2794" s="26"/>
      <c r="O2794" s="26"/>
      <c r="P2794" s="26"/>
      <c r="Q2794" s="26"/>
      <c r="R2794" s="26"/>
    </row>
    <row r="2795" spans="9:18" x14ac:dyDescent="0.25">
      <c r="I2795" s="46"/>
      <c r="J2795" s="26"/>
      <c r="K2795" s="26"/>
      <c r="L2795" s="26"/>
      <c r="M2795" s="26"/>
      <c r="N2795" s="26"/>
      <c r="O2795" s="26"/>
      <c r="P2795" s="26"/>
      <c r="Q2795" s="26"/>
      <c r="R2795" s="26"/>
    </row>
    <row r="2796" spans="9:18" x14ac:dyDescent="0.25">
      <c r="I2796" s="46"/>
      <c r="J2796" s="26"/>
      <c r="K2796" s="26"/>
      <c r="L2796" s="26"/>
      <c r="M2796" s="26"/>
      <c r="N2796" s="26"/>
      <c r="O2796" s="26"/>
      <c r="P2796" s="26"/>
      <c r="Q2796" s="26"/>
      <c r="R2796" s="26"/>
    </row>
    <row r="2797" spans="9:18" x14ac:dyDescent="0.25">
      <c r="I2797" s="46"/>
      <c r="J2797" s="26"/>
      <c r="K2797" s="26"/>
      <c r="L2797" s="26"/>
      <c r="M2797" s="26"/>
      <c r="N2797" s="26"/>
      <c r="O2797" s="26"/>
      <c r="P2797" s="26"/>
      <c r="Q2797" s="26"/>
      <c r="R2797" s="26"/>
    </row>
    <row r="2798" spans="9:18" x14ac:dyDescent="0.25">
      <c r="I2798" s="46"/>
      <c r="J2798" s="26"/>
      <c r="K2798" s="26"/>
      <c r="L2798" s="26"/>
      <c r="M2798" s="26"/>
      <c r="N2798" s="26"/>
      <c r="O2798" s="26"/>
      <c r="P2798" s="26"/>
      <c r="Q2798" s="26"/>
      <c r="R2798" s="26"/>
    </row>
    <row r="2799" spans="9:18" x14ac:dyDescent="0.25">
      <c r="I2799" s="46"/>
      <c r="J2799" s="26"/>
      <c r="K2799" s="26"/>
      <c r="L2799" s="26"/>
      <c r="M2799" s="26"/>
      <c r="N2799" s="26"/>
      <c r="O2799" s="26"/>
      <c r="P2799" s="26"/>
      <c r="Q2799" s="26"/>
      <c r="R2799" s="26"/>
    </row>
    <row r="2800" spans="9:18" x14ac:dyDescent="0.25">
      <c r="I2800" s="46"/>
      <c r="J2800" s="26"/>
      <c r="K2800" s="26"/>
      <c r="L2800" s="26"/>
      <c r="M2800" s="26"/>
      <c r="N2800" s="26"/>
      <c r="O2800" s="26"/>
      <c r="P2800" s="26"/>
      <c r="Q2800" s="26"/>
      <c r="R2800" s="26"/>
    </row>
    <row r="2801" spans="9:18" x14ac:dyDescent="0.25">
      <c r="I2801" s="46"/>
      <c r="J2801" s="26"/>
      <c r="K2801" s="26"/>
      <c r="L2801" s="26"/>
      <c r="M2801" s="26"/>
      <c r="N2801" s="26"/>
      <c r="O2801" s="26"/>
      <c r="P2801" s="26"/>
      <c r="Q2801" s="26"/>
      <c r="R2801" s="26"/>
    </row>
    <row r="2802" spans="9:18" x14ac:dyDescent="0.25">
      <c r="I2802" s="46"/>
      <c r="J2802" s="26"/>
      <c r="K2802" s="26"/>
      <c r="L2802" s="26"/>
      <c r="M2802" s="26"/>
      <c r="N2802" s="26"/>
      <c r="O2802" s="26"/>
      <c r="P2802" s="26"/>
      <c r="Q2802" s="26"/>
      <c r="R2802" s="26"/>
    </row>
    <row r="2803" spans="9:18" x14ac:dyDescent="0.25">
      <c r="I2803" s="46"/>
      <c r="J2803" s="26"/>
      <c r="K2803" s="26"/>
      <c r="L2803" s="26"/>
      <c r="M2803" s="26"/>
      <c r="N2803" s="26"/>
      <c r="O2803" s="26"/>
      <c r="P2803" s="26"/>
      <c r="Q2803" s="26"/>
      <c r="R2803" s="26"/>
    </row>
    <row r="2804" spans="9:18" x14ac:dyDescent="0.25">
      <c r="I2804" s="46"/>
      <c r="J2804" s="26"/>
      <c r="K2804" s="26"/>
      <c r="L2804" s="26"/>
      <c r="M2804" s="26"/>
      <c r="N2804" s="26"/>
      <c r="O2804" s="26"/>
      <c r="P2804" s="26"/>
      <c r="Q2804" s="26"/>
      <c r="R2804" s="26"/>
    </row>
    <row r="2805" spans="9:18" x14ac:dyDescent="0.25">
      <c r="I2805" s="46"/>
      <c r="J2805" s="26"/>
      <c r="K2805" s="26"/>
      <c r="L2805" s="26"/>
      <c r="M2805" s="26"/>
      <c r="N2805" s="26"/>
      <c r="O2805" s="26"/>
      <c r="P2805" s="26"/>
      <c r="Q2805" s="26"/>
      <c r="R2805" s="26"/>
    </row>
    <row r="2806" spans="9:18" x14ac:dyDescent="0.25">
      <c r="I2806" s="46"/>
      <c r="J2806" s="26"/>
      <c r="K2806" s="26"/>
      <c r="L2806" s="26"/>
      <c r="M2806" s="26"/>
      <c r="N2806" s="26"/>
      <c r="O2806" s="26"/>
      <c r="P2806" s="26"/>
      <c r="Q2806" s="26"/>
      <c r="R2806" s="26"/>
    </row>
    <row r="2807" spans="9:18" x14ac:dyDescent="0.25">
      <c r="I2807" s="46"/>
      <c r="J2807" s="26"/>
      <c r="K2807" s="26"/>
      <c r="L2807" s="26"/>
      <c r="M2807" s="26"/>
      <c r="N2807" s="26"/>
      <c r="O2807" s="26"/>
      <c r="P2807" s="26"/>
      <c r="Q2807" s="26"/>
      <c r="R2807" s="26"/>
    </row>
    <row r="2808" spans="9:18" x14ac:dyDescent="0.25">
      <c r="I2808" s="46"/>
      <c r="J2808" s="26"/>
      <c r="K2808" s="26"/>
      <c r="L2808" s="26"/>
      <c r="M2808" s="26"/>
      <c r="N2808" s="26"/>
      <c r="O2808" s="26"/>
      <c r="P2808" s="26"/>
      <c r="Q2808" s="26"/>
      <c r="R2808" s="26"/>
    </row>
    <row r="2809" spans="9:18" x14ac:dyDescent="0.25">
      <c r="I2809" s="46"/>
      <c r="J2809" s="26"/>
      <c r="K2809" s="26"/>
      <c r="L2809" s="26"/>
      <c r="M2809" s="26"/>
      <c r="N2809" s="26"/>
      <c r="O2809" s="26"/>
      <c r="P2809" s="26"/>
      <c r="Q2809" s="26"/>
      <c r="R2809" s="26"/>
    </row>
    <row r="2810" spans="9:18" x14ac:dyDescent="0.25">
      <c r="I2810" s="46"/>
      <c r="J2810" s="26"/>
      <c r="K2810" s="26"/>
      <c r="L2810" s="26"/>
      <c r="M2810" s="26"/>
      <c r="N2810" s="26"/>
      <c r="O2810" s="26"/>
      <c r="P2810" s="26"/>
      <c r="Q2810" s="26"/>
      <c r="R2810" s="26"/>
    </row>
    <row r="2811" spans="9:18" x14ac:dyDescent="0.25">
      <c r="I2811" s="46"/>
      <c r="J2811" s="26"/>
      <c r="K2811" s="26"/>
      <c r="L2811" s="26"/>
      <c r="M2811" s="26"/>
      <c r="N2811" s="26"/>
      <c r="O2811" s="26"/>
      <c r="P2811" s="26"/>
      <c r="Q2811" s="26"/>
      <c r="R2811" s="26"/>
    </row>
    <row r="2812" spans="9:18" x14ac:dyDescent="0.25">
      <c r="I2812" s="46"/>
      <c r="J2812" s="26"/>
      <c r="K2812" s="26"/>
      <c r="L2812" s="26"/>
      <c r="M2812" s="26"/>
      <c r="N2812" s="26"/>
      <c r="O2812" s="26"/>
      <c r="P2812" s="26"/>
      <c r="Q2812" s="26"/>
      <c r="R2812" s="26"/>
    </row>
    <row r="2813" spans="9:18" x14ac:dyDescent="0.25">
      <c r="I2813" s="46"/>
      <c r="J2813" s="26"/>
      <c r="K2813" s="26"/>
      <c r="L2813" s="26"/>
      <c r="M2813" s="26"/>
      <c r="N2813" s="26"/>
      <c r="O2813" s="26"/>
      <c r="P2813" s="26"/>
      <c r="Q2813" s="26"/>
      <c r="R2813" s="26"/>
    </row>
    <row r="2814" spans="9:18" x14ac:dyDescent="0.25">
      <c r="I2814" s="46"/>
      <c r="J2814" s="26"/>
      <c r="K2814" s="26"/>
      <c r="L2814" s="26"/>
      <c r="M2814" s="26"/>
      <c r="N2814" s="26"/>
      <c r="O2814" s="26"/>
      <c r="P2814" s="26"/>
      <c r="Q2814" s="26"/>
      <c r="R2814" s="26"/>
    </row>
    <row r="2815" spans="9:18" x14ac:dyDescent="0.25">
      <c r="I2815" s="46"/>
      <c r="J2815" s="26"/>
      <c r="K2815" s="26"/>
      <c r="L2815" s="26"/>
      <c r="M2815" s="26"/>
      <c r="N2815" s="26"/>
      <c r="O2815" s="26"/>
      <c r="P2815" s="26"/>
      <c r="Q2815" s="26"/>
      <c r="R2815" s="26"/>
    </row>
    <row r="2816" spans="9:18" x14ac:dyDescent="0.25">
      <c r="I2816" s="46"/>
      <c r="J2816" s="26"/>
      <c r="K2816" s="26"/>
      <c r="L2816" s="26"/>
      <c r="M2816" s="26"/>
      <c r="N2816" s="26"/>
      <c r="O2816" s="26"/>
      <c r="P2816" s="26"/>
      <c r="Q2816" s="26"/>
      <c r="R2816" s="26"/>
    </row>
    <row r="2817" spans="9:18" x14ac:dyDescent="0.25">
      <c r="I2817" s="46"/>
      <c r="J2817" s="26"/>
      <c r="K2817" s="26"/>
      <c r="L2817" s="26"/>
      <c r="M2817" s="26"/>
      <c r="N2817" s="26"/>
      <c r="O2817" s="26"/>
      <c r="P2817" s="26"/>
      <c r="Q2817" s="26"/>
      <c r="R2817" s="26"/>
    </row>
    <row r="2818" spans="9:18" x14ac:dyDescent="0.25">
      <c r="I2818" s="46"/>
      <c r="J2818" s="26"/>
      <c r="K2818" s="26"/>
      <c r="L2818" s="26"/>
      <c r="M2818" s="26"/>
      <c r="N2818" s="26"/>
      <c r="O2818" s="26"/>
      <c r="P2818" s="26"/>
      <c r="Q2818" s="26"/>
      <c r="R2818" s="26"/>
    </row>
    <row r="2819" spans="9:18" x14ac:dyDescent="0.25">
      <c r="I2819" s="46"/>
      <c r="J2819" s="26"/>
      <c r="K2819" s="26"/>
      <c r="L2819" s="26"/>
      <c r="M2819" s="26"/>
      <c r="N2819" s="26"/>
      <c r="O2819" s="26"/>
      <c r="P2819" s="26"/>
      <c r="Q2819" s="26"/>
      <c r="R2819" s="26"/>
    </row>
    <row r="2820" spans="9:18" x14ac:dyDescent="0.25">
      <c r="I2820" s="46"/>
      <c r="J2820" s="26"/>
      <c r="K2820" s="26"/>
      <c r="L2820" s="26"/>
      <c r="M2820" s="26"/>
      <c r="N2820" s="26"/>
      <c r="O2820" s="26"/>
      <c r="P2820" s="26"/>
      <c r="Q2820" s="26"/>
      <c r="R2820" s="26"/>
    </row>
    <row r="2821" spans="9:18" x14ac:dyDescent="0.25">
      <c r="I2821" s="46"/>
      <c r="J2821" s="26"/>
      <c r="K2821" s="26"/>
      <c r="L2821" s="26"/>
      <c r="M2821" s="26"/>
      <c r="N2821" s="26"/>
      <c r="O2821" s="26"/>
      <c r="P2821" s="26"/>
      <c r="Q2821" s="26"/>
      <c r="R2821" s="26"/>
    </row>
    <row r="2822" spans="9:18" x14ac:dyDescent="0.25">
      <c r="I2822" s="46"/>
      <c r="J2822" s="26"/>
      <c r="K2822" s="26"/>
      <c r="L2822" s="26"/>
      <c r="M2822" s="26"/>
      <c r="N2822" s="26"/>
      <c r="O2822" s="26"/>
      <c r="P2822" s="26"/>
      <c r="Q2822" s="26"/>
      <c r="R2822" s="26"/>
    </row>
    <row r="2823" spans="9:18" x14ac:dyDescent="0.25">
      <c r="I2823" s="46"/>
      <c r="J2823" s="26"/>
      <c r="K2823" s="26"/>
      <c r="L2823" s="26"/>
      <c r="M2823" s="26"/>
      <c r="N2823" s="26"/>
      <c r="O2823" s="26"/>
      <c r="P2823" s="26"/>
      <c r="Q2823" s="26"/>
      <c r="R2823" s="26"/>
    </row>
    <row r="2824" spans="9:18" x14ac:dyDescent="0.25">
      <c r="I2824" s="46"/>
      <c r="J2824" s="26"/>
      <c r="K2824" s="26"/>
      <c r="L2824" s="26"/>
      <c r="M2824" s="26"/>
      <c r="N2824" s="26"/>
      <c r="O2824" s="26"/>
      <c r="P2824" s="26"/>
      <c r="Q2824" s="26"/>
      <c r="R2824" s="26"/>
    </row>
    <row r="2825" spans="9:18" x14ac:dyDescent="0.25">
      <c r="I2825" s="46"/>
      <c r="J2825" s="26"/>
      <c r="K2825" s="26"/>
      <c r="L2825" s="26"/>
      <c r="M2825" s="26"/>
      <c r="N2825" s="26"/>
      <c r="O2825" s="26"/>
      <c r="P2825" s="26"/>
      <c r="Q2825" s="26"/>
      <c r="R2825" s="26"/>
    </row>
    <row r="2826" spans="9:18" x14ac:dyDescent="0.25">
      <c r="I2826" s="46"/>
      <c r="J2826" s="26"/>
      <c r="K2826" s="26"/>
      <c r="L2826" s="26"/>
      <c r="M2826" s="26"/>
      <c r="N2826" s="26"/>
      <c r="O2826" s="26"/>
      <c r="P2826" s="26"/>
      <c r="Q2826" s="26"/>
      <c r="R2826" s="26"/>
    </row>
    <row r="2827" spans="9:18" x14ac:dyDescent="0.25">
      <c r="I2827" s="46"/>
      <c r="J2827" s="26"/>
      <c r="K2827" s="26"/>
      <c r="L2827" s="26"/>
      <c r="M2827" s="26"/>
      <c r="N2827" s="26"/>
      <c r="O2827" s="26"/>
      <c r="P2827" s="26"/>
      <c r="Q2827" s="26"/>
      <c r="R2827" s="26"/>
    </row>
    <row r="2828" spans="9:18" x14ac:dyDescent="0.25">
      <c r="I2828" s="46"/>
      <c r="J2828" s="26"/>
      <c r="K2828" s="26"/>
      <c r="L2828" s="26"/>
      <c r="M2828" s="26"/>
      <c r="N2828" s="26"/>
      <c r="O2828" s="26"/>
      <c r="P2828" s="26"/>
      <c r="Q2828" s="26"/>
      <c r="R2828" s="26"/>
    </row>
    <row r="2829" spans="9:18" x14ac:dyDescent="0.25">
      <c r="I2829" s="46"/>
      <c r="J2829" s="26"/>
      <c r="K2829" s="26"/>
      <c r="L2829" s="26"/>
      <c r="M2829" s="26"/>
      <c r="N2829" s="26"/>
      <c r="O2829" s="26"/>
      <c r="P2829" s="26"/>
      <c r="Q2829" s="26"/>
      <c r="R2829" s="26"/>
    </row>
    <row r="2830" spans="9:18" x14ac:dyDescent="0.25">
      <c r="I2830" s="46"/>
      <c r="J2830" s="26"/>
      <c r="K2830" s="26"/>
      <c r="L2830" s="26"/>
      <c r="M2830" s="26"/>
      <c r="N2830" s="26"/>
      <c r="O2830" s="26"/>
      <c r="P2830" s="26"/>
      <c r="Q2830" s="26"/>
      <c r="R2830" s="26"/>
    </row>
    <row r="2831" spans="9:18" x14ac:dyDescent="0.25">
      <c r="I2831" s="46"/>
      <c r="J2831" s="26"/>
      <c r="K2831" s="26"/>
      <c r="L2831" s="26"/>
      <c r="M2831" s="26"/>
      <c r="N2831" s="26"/>
      <c r="O2831" s="26"/>
      <c r="P2831" s="26"/>
      <c r="Q2831" s="26"/>
      <c r="R2831" s="26"/>
    </row>
    <row r="2832" spans="9:18" x14ac:dyDescent="0.25">
      <c r="I2832" s="46"/>
      <c r="J2832" s="26"/>
      <c r="K2832" s="26"/>
      <c r="L2832" s="26"/>
      <c r="M2832" s="26"/>
      <c r="N2832" s="26"/>
      <c r="O2832" s="26"/>
      <c r="P2832" s="26"/>
      <c r="Q2832" s="26"/>
      <c r="R2832" s="26"/>
    </row>
    <row r="2833" spans="9:18" x14ac:dyDescent="0.25">
      <c r="I2833" s="46"/>
      <c r="J2833" s="26"/>
      <c r="K2833" s="26"/>
      <c r="L2833" s="26"/>
      <c r="M2833" s="26"/>
      <c r="N2833" s="26"/>
      <c r="O2833" s="26"/>
      <c r="P2833" s="26"/>
      <c r="Q2833" s="26"/>
      <c r="R2833" s="26"/>
    </row>
    <row r="2834" spans="9:18" x14ac:dyDescent="0.25">
      <c r="I2834" s="46"/>
      <c r="J2834" s="26"/>
      <c r="K2834" s="26"/>
      <c r="L2834" s="26"/>
      <c r="M2834" s="26"/>
      <c r="N2834" s="26"/>
      <c r="O2834" s="26"/>
      <c r="P2834" s="26"/>
      <c r="Q2834" s="26"/>
      <c r="R2834" s="26"/>
    </row>
    <row r="2835" spans="9:18" x14ac:dyDescent="0.25">
      <c r="I2835" s="46"/>
      <c r="J2835" s="26"/>
      <c r="K2835" s="26"/>
      <c r="L2835" s="26"/>
      <c r="M2835" s="26"/>
      <c r="N2835" s="26"/>
      <c r="O2835" s="26"/>
      <c r="P2835" s="26"/>
      <c r="Q2835" s="26"/>
      <c r="R2835" s="26"/>
    </row>
    <row r="2836" spans="9:18" x14ac:dyDescent="0.25">
      <c r="I2836" s="46"/>
      <c r="J2836" s="26"/>
      <c r="K2836" s="26"/>
      <c r="L2836" s="26"/>
      <c r="M2836" s="26"/>
      <c r="N2836" s="26"/>
      <c r="O2836" s="26"/>
      <c r="P2836" s="26"/>
      <c r="Q2836" s="26"/>
      <c r="R2836" s="26"/>
    </row>
    <row r="2837" spans="9:18" x14ac:dyDescent="0.25">
      <c r="I2837" s="46"/>
      <c r="J2837" s="26"/>
      <c r="K2837" s="26"/>
      <c r="L2837" s="26"/>
      <c r="M2837" s="26"/>
      <c r="N2837" s="26"/>
      <c r="O2837" s="26"/>
      <c r="P2837" s="26"/>
      <c r="Q2837" s="26"/>
      <c r="R2837" s="26"/>
    </row>
    <row r="2838" spans="9:18" x14ac:dyDescent="0.25">
      <c r="I2838" s="46"/>
      <c r="J2838" s="26"/>
      <c r="K2838" s="26"/>
      <c r="L2838" s="26"/>
      <c r="M2838" s="26"/>
      <c r="N2838" s="26"/>
      <c r="O2838" s="26"/>
      <c r="P2838" s="26"/>
      <c r="Q2838" s="26"/>
      <c r="R2838" s="26"/>
    </row>
    <row r="2839" spans="9:18" x14ac:dyDescent="0.25">
      <c r="I2839" s="46"/>
      <c r="J2839" s="26"/>
      <c r="K2839" s="26"/>
      <c r="L2839" s="26"/>
      <c r="M2839" s="26"/>
      <c r="N2839" s="26"/>
      <c r="O2839" s="26"/>
      <c r="P2839" s="26"/>
      <c r="Q2839" s="26"/>
      <c r="R2839" s="26"/>
    </row>
    <row r="2840" spans="9:18" x14ac:dyDescent="0.25">
      <c r="I2840" s="46"/>
      <c r="J2840" s="26"/>
      <c r="K2840" s="26"/>
      <c r="L2840" s="26"/>
      <c r="M2840" s="26"/>
      <c r="N2840" s="26"/>
      <c r="O2840" s="26"/>
      <c r="P2840" s="26"/>
      <c r="Q2840" s="26"/>
      <c r="R2840" s="26"/>
    </row>
    <row r="2841" spans="9:18" x14ac:dyDescent="0.25">
      <c r="I2841" s="46"/>
      <c r="J2841" s="26"/>
      <c r="K2841" s="26"/>
      <c r="L2841" s="26"/>
      <c r="M2841" s="26"/>
      <c r="N2841" s="26"/>
      <c r="O2841" s="26"/>
      <c r="P2841" s="26"/>
      <c r="Q2841" s="26"/>
      <c r="R2841" s="26"/>
    </row>
    <row r="2842" spans="9:18" x14ac:dyDescent="0.25">
      <c r="I2842" s="46"/>
      <c r="J2842" s="26"/>
      <c r="K2842" s="26"/>
      <c r="L2842" s="26"/>
      <c r="M2842" s="26"/>
      <c r="N2842" s="26"/>
      <c r="O2842" s="26"/>
      <c r="P2842" s="26"/>
      <c r="Q2842" s="26"/>
      <c r="R2842" s="26"/>
    </row>
    <row r="2843" spans="9:18" x14ac:dyDescent="0.25">
      <c r="I2843" s="46"/>
      <c r="J2843" s="26"/>
      <c r="K2843" s="26"/>
      <c r="L2843" s="26"/>
      <c r="M2843" s="26"/>
      <c r="N2843" s="26"/>
      <c r="O2843" s="26"/>
      <c r="P2843" s="26"/>
      <c r="Q2843" s="26"/>
      <c r="R2843" s="26"/>
    </row>
    <row r="2844" spans="9:18" x14ac:dyDescent="0.25">
      <c r="I2844" s="46"/>
      <c r="J2844" s="26"/>
      <c r="K2844" s="26"/>
      <c r="L2844" s="26"/>
      <c r="M2844" s="26"/>
      <c r="N2844" s="26"/>
      <c r="O2844" s="26"/>
      <c r="P2844" s="26"/>
      <c r="Q2844" s="26"/>
      <c r="R2844" s="26"/>
    </row>
    <row r="2845" spans="9:18" x14ac:dyDescent="0.25">
      <c r="I2845" s="46"/>
      <c r="J2845" s="26"/>
      <c r="K2845" s="26"/>
      <c r="L2845" s="26"/>
      <c r="M2845" s="26"/>
      <c r="N2845" s="26"/>
      <c r="O2845" s="26"/>
      <c r="P2845" s="26"/>
      <c r="Q2845" s="26"/>
      <c r="R2845" s="26"/>
    </row>
    <row r="2846" spans="9:18" x14ac:dyDescent="0.25">
      <c r="I2846" s="46"/>
      <c r="J2846" s="26"/>
      <c r="K2846" s="26"/>
      <c r="L2846" s="26"/>
      <c r="M2846" s="26"/>
      <c r="N2846" s="26"/>
      <c r="O2846" s="26"/>
      <c r="P2846" s="26"/>
      <c r="Q2846" s="26"/>
      <c r="R2846" s="26"/>
    </row>
    <row r="2847" spans="9:18" x14ac:dyDescent="0.25">
      <c r="I2847" s="46"/>
      <c r="J2847" s="26"/>
      <c r="K2847" s="26"/>
      <c r="L2847" s="26"/>
      <c r="M2847" s="26"/>
      <c r="N2847" s="26"/>
      <c r="O2847" s="26"/>
      <c r="P2847" s="26"/>
      <c r="Q2847" s="26"/>
      <c r="R2847" s="26"/>
    </row>
    <row r="2848" spans="9:18" x14ac:dyDescent="0.25">
      <c r="I2848" s="46"/>
      <c r="J2848" s="26"/>
      <c r="K2848" s="26"/>
      <c r="L2848" s="26"/>
      <c r="M2848" s="26"/>
      <c r="N2848" s="26"/>
      <c r="O2848" s="26"/>
      <c r="P2848" s="26"/>
      <c r="Q2848" s="26"/>
      <c r="R2848" s="26"/>
    </row>
    <row r="2849" spans="9:18" x14ac:dyDescent="0.25">
      <c r="I2849" s="46"/>
      <c r="J2849" s="26"/>
      <c r="K2849" s="26"/>
      <c r="L2849" s="26"/>
      <c r="M2849" s="26"/>
      <c r="N2849" s="26"/>
      <c r="O2849" s="26"/>
      <c r="P2849" s="26"/>
      <c r="Q2849" s="26"/>
      <c r="R2849" s="26"/>
    </row>
    <row r="2850" spans="9:18" x14ac:dyDescent="0.25">
      <c r="I2850" s="46"/>
      <c r="J2850" s="26"/>
      <c r="K2850" s="26"/>
      <c r="L2850" s="26"/>
      <c r="M2850" s="26"/>
      <c r="N2850" s="26"/>
      <c r="O2850" s="26"/>
      <c r="P2850" s="26"/>
      <c r="Q2850" s="26"/>
      <c r="R2850" s="26"/>
    </row>
    <row r="2851" spans="9:18" x14ac:dyDescent="0.25">
      <c r="I2851" s="46"/>
      <c r="J2851" s="26"/>
      <c r="K2851" s="26"/>
      <c r="L2851" s="26"/>
      <c r="M2851" s="26"/>
      <c r="N2851" s="26"/>
      <c r="O2851" s="26"/>
      <c r="P2851" s="26"/>
      <c r="Q2851" s="26"/>
      <c r="R2851" s="26"/>
    </row>
    <row r="2852" spans="9:18" x14ac:dyDescent="0.25">
      <c r="I2852" s="46"/>
      <c r="J2852" s="26"/>
      <c r="K2852" s="26"/>
      <c r="L2852" s="26"/>
      <c r="M2852" s="26"/>
      <c r="N2852" s="26"/>
      <c r="O2852" s="26"/>
      <c r="P2852" s="26"/>
      <c r="Q2852" s="26"/>
      <c r="R2852" s="26"/>
    </row>
    <row r="2853" spans="9:18" x14ac:dyDescent="0.25">
      <c r="I2853" s="46"/>
      <c r="J2853" s="26"/>
      <c r="K2853" s="26"/>
      <c r="L2853" s="26"/>
      <c r="M2853" s="26"/>
      <c r="N2853" s="26"/>
      <c r="O2853" s="26"/>
      <c r="P2853" s="26"/>
      <c r="Q2853" s="26"/>
      <c r="R2853" s="26"/>
    </row>
    <row r="2854" spans="9:18" x14ac:dyDescent="0.25">
      <c r="I2854" s="46"/>
      <c r="J2854" s="26"/>
      <c r="K2854" s="26"/>
      <c r="L2854" s="26"/>
      <c r="M2854" s="26"/>
      <c r="N2854" s="26"/>
      <c r="O2854" s="26"/>
      <c r="P2854" s="26"/>
      <c r="Q2854" s="26"/>
      <c r="R2854" s="26"/>
    </row>
    <row r="2855" spans="9:18" x14ac:dyDescent="0.25">
      <c r="I2855" s="46"/>
      <c r="J2855" s="26"/>
      <c r="K2855" s="26"/>
      <c r="L2855" s="26"/>
      <c r="M2855" s="26"/>
      <c r="N2855" s="26"/>
      <c r="O2855" s="26"/>
      <c r="P2855" s="26"/>
      <c r="Q2855" s="26"/>
      <c r="R2855" s="26"/>
    </row>
    <row r="2856" spans="9:18" x14ac:dyDescent="0.25">
      <c r="I2856" s="46"/>
      <c r="J2856" s="26"/>
      <c r="K2856" s="26"/>
      <c r="L2856" s="26"/>
      <c r="M2856" s="26"/>
      <c r="N2856" s="26"/>
      <c r="O2856" s="26"/>
      <c r="P2856" s="26"/>
      <c r="Q2856" s="26"/>
      <c r="R2856" s="26"/>
    </row>
    <row r="2857" spans="9:18" x14ac:dyDescent="0.25">
      <c r="I2857" s="46"/>
      <c r="J2857" s="26"/>
      <c r="K2857" s="26"/>
      <c r="L2857" s="26"/>
      <c r="M2857" s="26"/>
      <c r="N2857" s="26"/>
      <c r="O2857" s="26"/>
      <c r="P2857" s="26"/>
      <c r="Q2857" s="26"/>
      <c r="R2857" s="26"/>
    </row>
    <row r="2858" spans="9:18" x14ac:dyDescent="0.25">
      <c r="I2858" s="46"/>
      <c r="J2858" s="26"/>
      <c r="K2858" s="26"/>
      <c r="L2858" s="26"/>
      <c r="M2858" s="26"/>
      <c r="N2858" s="26"/>
      <c r="O2858" s="26"/>
      <c r="P2858" s="26"/>
      <c r="Q2858" s="26"/>
      <c r="R2858" s="26"/>
    </row>
    <row r="2859" spans="9:18" x14ac:dyDescent="0.25">
      <c r="I2859" s="46"/>
      <c r="J2859" s="26"/>
      <c r="K2859" s="26"/>
      <c r="L2859" s="26"/>
      <c r="M2859" s="26"/>
      <c r="N2859" s="26"/>
      <c r="O2859" s="26"/>
      <c r="P2859" s="26"/>
      <c r="Q2859" s="26"/>
      <c r="R2859" s="26"/>
    </row>
    <row r="2860" spans="9:18" x14ac:dyDescent="0.25">
      <c r="I2860" s="46"/>
      <c r="J2860" s="26"/>
      <c r="K2860" s="26"/>
      <c r="L2860" s="26"/>
      <c r="M2860" s="26"/>
      <c r="N2860" s="26"/>
      <c r="O2860" s="26"/>
      <c r="P2860" s="26"/>
      <c r="Q2860" s="26"/>
      <c r="R2860" s="26"/>
    </row>
    <row r="2861" spans="9:18" x14ac:dyDescent="0.25">
      <c r="I2861" s="46"/>
      <c r="J2861" s="26"/>
      <c r="K2861" s="26"/>
      <c r="L2861" s="26"/>
      <c r="M2861" s="26"/>
      <c r="N2861" s="26"/>
      <c r="O2861" s="26"/>
      <c r="P2861" s="26"/>
      <c r="Q2861" s="26"/>
      <c r="R2861" s="26"/>
    </row>
    <row r="2862" spans="9:18" x14ac:dyDescent="0.25">
      <c r="I2862" s="46"/>
      <c r="J2862" s="26"/>
      <c r="K2862" s="26"/>
      <c r="L2862" s="26"/>
      <c r="M2862" s="26"/>
      <c r="N2862" s="26"/>
      <c r="O2862" s="26"/>
      <c r="P2862" s="26"/>
      <c r="Q2862" s="26"/>
      <c r="R2862" s="26"/>
    </row>
    <row r="2863" spans="9:18" x14ac:dyDescent="0.25">
      <c r="I2863" s="46"/>
      <c r="J2863" s="26"/>
      <c r="K2863" s="26"/>
      <c r="L2863" s="26"/>
      <c r="M2863" s="26"/>
      <c r="N2863" s="26"/>
      <c r="O2863" s="26"/>
      <c r="P2863" s="26"/>
      <c r="Q2863" s="26"/>
      <c r="R2863" s="26"/>
    </row>
    <row r="2864" spans="9:18" x14ac:dyDescent="0.25">
      <c r="I2864" s="46"/>
      <c r="J2864" s="26"/>
      <c r="K2864" s="26"/>
      <c r="L2864" s="26"/>
      <c r="M2864" s="26"/>
      <c r="N2864" s="26"/>
      <c r="O2864" s="26"/>
      <c r="P2864" s="26"/>
      <c r="Q2864" s="26"/>
      <c r="R2864" s="26"/>
    </row>
    <row r="2865" spans="9:18" x14ac:dyDescent="0.25">
      <c r="I2865" s="46"/>
      <c r="J2865" s="26"/>
      <c r="K2865" s="26"/>
      <c r="L2865" s="26"/>
      <c r="M2865" s="26"/>
      <c r="N2865" s="26"/>
      <c r="O2865" s="26"/>
      <c r="P2865" s="26"/>
      <c r="Q2865" s="26"/>
      <c r="R2865" s="26"/>
    </row>
    <row r="2866" spans="9:18" x14ac:dyDescent="0.25">
      <c r="I2866" s="46"/>
      <c r="J2866" s="26"/>
      <c r="K2866" s="26"/>
      <c r="L2866" s="26"/>
      <c r="M2866" s="26"/>
      <c r="N2866" s="26"/>
      <c r="O2866" s="26"/>
      <c r="P2866" s="26"/>
      <c r="Q2866" s="26"/>
      <c r="R2866" s="26"/>
    </row>
    <row r="2867" spans="9:18" x14ac:dyDescent="0.25">
      <c r="I2867" s="46"/>
      <c r="J2867" s="26"/>
      <c r="K2867" s="26"/>
      <c r="L2867" s="26"/>
      <c r="M2867" s="26"/>
      <c r="N2867" s="26"/>
      <c r="O2867" s="26"/>
      <c r="P2867" s="26"/>
      <c r="Q2867" s="26"/>
      <c r="R2867" s="26"/>
    </row>
    <row r="2868" spans="9:18" x14ac:dyDescent="0.25">
      <c r="I2868" s="46"/>
      <c r="J2868" s="26"/>
      <c r="K2868" s="26"/>
      <c r="L2868" s="26"/>
      <c r="M2868" s="26"/>
      <c r="N2868" s="26"/>
      <c r="O2868" s="26"/>
      <c r="P2868" s="26"/>
      <c r="Q2868" s="26"/>
      <c r="R2868" s="26"/>
    </row>
    <row r="2869" spans="9:18" x14ac:dyDescent="0.25">
      <c r="I2869" s="46"/>
      <c r="J2869" s="26"/>
      <c r="K2869" s="26"/>
      <c r="L2869" s="26"/>
      <c r="M2869" s="26"/>
      <c r="N2869" s="26"/>
      <c r="O2869" s="26"/>
      <c r="P2869" s="26"/>
      <c r="Q2869" s="26"/>
      <c r="R2869" s="26"/>
    </row>
    <row r="2870" spans="9:18" x14ac:dyDescent="0.25">
      <c r="I2870" s="46"/>
      <c r="J2870" s="26"/>
      <c r="K2870" s="26"/>
      <c r="L2870" s="26"/>
      <c r="M2870" s="26"/>
      <c r="N2870" s="26"/>
      <c r="O2870" s="26"/>
      <c r="P2870" s="26"/>
      <c r="Q2870" s="26"/>
      <c r="R2870" s="26"/>
    </row>
    <row r="2871" spans="9:18" x14ac:dyDescent="0.25">
      <c r="I2871" s="46"/>
      <c r="J2871" s="26"/>
      <c r="K2871" s="26"/>
      <c r="L2871" s="26"/>
      <c r="M2871" s="26"/>
      <c r="N2871" s="26"/>
      <c r="O2871" s="26"/>
      <c r="P2871" s="26"/>
      <c r="Q2871" s="26"/>
      <c r="R2871" s="26"/>
    </row>
    <row r="2872" spans="9:18" x14ac:dyDescent="0.25">
      <c r="I2872" s="46"/>
      <c r="J2872" s="26"/>
      <c r="K2872" s="26"/>
      <c r="L2872" s="26"/>
      <c r="M2872" s="26"/>
      <c r="N2872" s="26"/>
      <c r="O2872" s="26"/>
      <c r="P2872" s="26"/>
      <c r="Q2872" s="26"/>
      <c r="R2872" s="26"/>
    </row>
    <row r="2873" spans="9:18" x14ac:dyDescent="0.25">
      <c r="I2873" s="46"/>
      <c r="J2873" s="26"/>
      <c r="K2873" s="26"/>
      <c r="L2873" s="26"/>
      <c r="M2873" s="26"/>
      <c r="N2873" s="26"/>
      <c r="O2873" s="26"/>
      <c r="P2873" s="26"/>
      <c r="Q2873" s="26"/>
      <c r="R2873" s="26"/>
    </row>
    <row r="2874" spans="9:18" x14ac:dyDescent="0.25">
      <c r="I2874" s="46"/>
      <c r="J2874" s="26"/>
      <c r="K2874" s="26"/>
      <c r="L2874" s="26"/>
      <c r="M2874" s="26"/>
      <c r="N2874" s="26"/>
      <c r="O2874" s="26"/>
      <c r="P2874" s="26"/>
      <c r="Q2874" s="26"/>
      <c r="R2874" s="26"/>
    </row>
    <row r="2875" spans="9:18" x14ac:dyDescent="0.25">
      <c r="I2875" s="46"/>
      <c r="J2875" s="26"/>
      <c r="K2875" s="26"/>
      <c r="L2875" s="26"/>
      <c r="M2875" s="26"/>
      <c r="N2875" s="26"/>
      <c r="O2875" s="26"/>
      <c r="P2875" s="26"/>
      <c r="Q2875" s="26"/>
      <c r="R2875" s="26"/>
    </row>
    <row r="2876" spans="9:18" x14ac:dyDescent="0.25">
      <c r="I2876" s="46"/>
      <c r="J2876" s="26"/>
      <c r="K2876" s="26"/>
      <c r="L2876" s="26"/>
      <c r="M2876" s="26"/>
      <c r="N2876" s="26"/>
      <c r="O2876" s="26"/>
      <c r="P2876" s="26"/>
      <c r="Q2876" s="26"/>
      <c r="R2876" s="26"/>
    </row>
    <row r="2877" spans="9:18" x14ac:dyDescent="0.25">
      <c r="I2877" s="46"/>
      <c r="J2877" s="26"/>
      <c r="K2877" s="26"/>
      <c r="L2877" s="26"/>
      <c r="M2877" s="26"/>
      <c r="N2877" s="26"/>
      <c r="O2877" s="26"/>
      <c r="P2877" s="26"/>
      <c r="Q2877" s="26"/>
      <c r="R2877" s="26"/>
    </row>
    <row r="2878" spans="9:18" x14ac:dyDescent="0.25">
      <c r="I2878" s="46"/>
      <c r="J2878" s="26"/>
      <c r="K2878" s="26"/>
      <c r="L2878" s="26"/>
      <c r="M2878" s="26"/>
      <c r="N2878" s="26"/>
      <c r="O2878" s="26"/>
      <c r="P2878" s="26"/>
      <c r="Q2878" s="26"/>
      <c r="R2878" s="26"/>
    </row>
    <row r="2879" spans="9:18" x14ac:dyDescent="0.25">
      <c r="I2879" s="46"/>
      <c r="J2879" s="26"/>
      <c r="K2879" s="26"/>
      <c r="L2879" s="26"/>
      <c r="M2879" s="26"/>
      <c r="N2879" s="26"/>
      <c r="O2879" s="26"/>
      <c r="P2879" s="26"/>
      <c r="Q2879" s="26"/>
      <c r="R2879" s="26"/>
    </row>
    <row r="2880" spans="9:18" x14ac:dyDescent="0.25">
      <c r="I2880" s="46"/>
      <c r="J2880" s="26"/>
      <c r="K2880" s="26"/>
      <c r="L2880" s="26"/>
      <c r="M2880" s="26"/>
      <c r="N2880" s="26"/>
      <c r="O2880" s="26"/>
      <c r="P2880" s="26"/>
      <c r="Q2880" s="26"/>
      <c r="R2880" s="26"/>
    </row>
    <row r="2881" spans="9:18" x14ac:dyDescent="0.25">
      <c r="I2881" s="46"/>
      <c r="J2881" s="26"/>
      <c r="K2881" s="26"/>
      <c r="L2881" s="26"/>
      <c r="M2881" s="26"/>
      <c r="N2881" s="26"/>
      <c r="O2881" s="26"/>
      <c r="P2881" s="26"/>
      <c r="Q2881" s="26"/>
      <c r="R2881" s="26"/>
    </row>
    <row r="2882" spans="9:18" x14ac:dyDescent="0.25">
      <c r="I2882" s="46"/>
      <c r="J2882" s="26"/>
      <c r="K2882" s="26"/>
      <c r="L2882" s="26"/>
      <c r="M2882" s="26"/>
      <c r="N2882" s="26"/>
      <c r="O2882" s="26"/>
      <c r="P2882" s="26"/>
      <c r="Q2882" s="26"/>
      <c r="R2882" s="26"/>
    </row>
    <row r="2883" spans="9:18" x14ac:dyDescent="0.25">
      <c r="I2883" s="46"/>
      <c r="J2883" s="26"/>
      <c r="K2883" s="26"/>
      <c r="L2883" s="26"/>
      <c r="M2883" s="26"/>
      <c r="N2883" s="26"/>
      <c r="O2883" s="26"/>
      <c r="P2883" s="26"/>
      <c r="Q2883" s="26"/>
      <c r="R2883" s="26"/>
    </row>
    <row r="2884" spans="9:18" x14ac:dyDescent="0.25">
      <c r="I2884" s="46"/>
      <c r="J2884" s="26"/>
      <c r="K2884" s="26"/>
      <c r="L2884" s="26"/>
      <c r="M2884" s="26"/>
      <c r="N2884" s="26"/>
      <c r="O2884" s="26"/>
      <c r="P2884" s="26"/>
      <c r="Q2884" s="26"/>
      <c r="R2884" s="26"/>
    </row>
    <row r="2885" spans="9:18" x14ac:dyDescent="0.25">
      <c r="I2885" s="46"/>
      <c r="J2885" s="26"/>
      <c r="K2885" s="26"/>
      <c r="L2885" s="26"/>
      <c r="M2885" s="26"/>
      <c r="N2885" s="26"/>
      <c r="O2885" s="26"/>
      <c r="P2885" s="26"/>
      <c r="Q2885" s="26"/>
      <c r="R2885" s="26"/>
    </row>
    <row r="2886" spans="9:18" x14ac:dyDescent="0.25">
      <c r="I2886" s="46"/>
      <c r="J2886" s="26"/>
      <c r="K2886" s="26"/>
      <c r="L2886" s="26"/>
      <c r="M2886" s="26"/>
      <c r="N2886" s="26"/>
      <c r="O2886" s="26"/>
      <c r="P2886" s="26"/>
      <c r="Q2886" s="26"/>
      <c r="R2886" s="26"/>
    </row>
    <row r="2887" spans="9:18" x14ac:dyDescent="0.25">
      <c r="I2887" s="46"/>
      <c r="J2887" s="26"/>
      <c r="K2887" s="26"/>
      <c r="L2887" s="26"/>
      <c r="M2887" s="26"/>
      <c r="N2887" s="26"/>
      <c r="O2887" s="26"/>
      <c r="P2887" s="26"/>
      <c r="Q2887" s="26"/>
      <c r="R2887" s="26"/>
    </row>
    <row r="2888" spans="9:18" x14ac:dyDescent="0.25">
      <c r="I2888" s="46"/>
      <c r="J2888" s="26"/>
      <c r="K2888" s="26"/>
      <c r="L2888" s="26"/>
      <c r="M2888" s="26"/>
      <c r="N2888" s="26"/>
      <c r="O2888" s="26"/>
      <c r="P2888" s="26"/>
      <c r="Q2888" s="26"/>
      <c r="R2888" s="26"/>
    </row>
    <row r="2889" spans="9:18" x14ac:dyDescent="0.25">
      <c r="I2889" s="46"/>
      <c r="J2889" s="26"/>
      <c r="K2889" s="26"/>
      <c r="L2889" s="26"/>
      <c r="M2889" s="26"/>
      <c r="N2889" s="26"/>
      <c r="O2889" s="26"/>
      <c r="P2889" s="26"/>
      <c r="Q2889" s="26"/>
      <c r="R2889" s="26"/>
    </row>
    <row r="2890" spans="9:18" x14ac:dyDescent="0.25">
      <c r="I2890" s="46"/>
      <c r="J2890" s="26"/>
      <c r="K2890" s="26"/>
      <c r="L2890" s="26"/>
      <c r="M2890" s="26"/>
      <c r="N2890" s="26"/>
      <c r="O2890" s="26"/>
      <c r="P2890" s="26"/>
      <c r="Q2890" s="26"/>
      <c r="R2890" s="26"/>
    </row>
    <row r="2891" spans="9:18" x14ac:dyDescent="0.25">
      <c r="I2891" s="46"/>
      <c r="J2891" s="26"/>
      <c r="K2891" s="26"/>
      <c r="L2891" s="26"/>
      <c r="M2891" s="26"/>
      <c r="N2891" s="26"/>
      <c r="O2891" s="26"/>
      <c r="P2891" s="26"/>
      <c r="Q2891" s="26"/>
      <c r="R2891" s="26"/>
    </row>
    <row r="2892" spans="9:18" x14ac:dyDescent="0.25">
      <c r="I2892" s="46"/>
      <c r="J2892" s="26"/>
      <c r="K2892" s="26"/>
      <c r="L2892" s="26"/>
      <c r="M2892" s="26"/>
      <c r="N2892" s="26"/>
      <c r="O2892" s="26"/>
      <c r="P2892" s="26"/>
      <c r="Q2892" s="26"/>
      <c r="R2892" s="26"/>
    </row>
    <row r="2893" spans="9:18" x14ac:dyDescent="0.25">
      <c r="I2893" s="46"/>
      <c r="J2893" s="26"/>
      <c r="K2893" s="26"/>
      <c r="L2893" s="26"/>
      <c r="M2893" s="26"/>
      <c r="N2893" s="26"/>
      <c r="O2893" s="26"/>
      <c r="P2893" s="26"/>
      <c r="Q2893" s="26"/>
      <c r="R2893" s="26"/>
    </row>
    <row r="2894" spans="9:18" x14ac:dyDescent="0.25">
      <c r="I2894" s="46"/>
      <c r="J2894" s="26"/>
      <c r="K2894" s="26"/>
      <c r="L2894" s="26"/>
      <c r="M2894" s="26"/>
      <c r="N2894" s="26"/>
      <c r="O2894" s="26"/>
      <c r="P2894" s="26"/>
      <c r="Q2894" s="26"/>
      <c r="R2894" s="26"/>
    </row>
    <row r="2895" spans="9:18" x14ac:dyDescent="0.25">
      <c r="I2895" s="46"/>
      <c r="J2895" s="26"/>
      <c r="K2895" s="26"/>
      <c r="L2895" s="26"/>
      <c r="M2895" s="26"/>
      <c r="N2895" s="26"/>
      <c r="O2895" s="26"/>
      <c r="P2895" s="26"/>
      <c r="Q2895" s="26"/>
      <c r="R2895" s="26"/>
    </row>
    <row r="2896" spans="9:18" x14ac:dyDescent="0.25">
      <c r="I2896" s="46"/>
      <c r="J2896" s="26"/>
      <c r="K2896" s="26"/>
      <c r="L2896" s="26"/>
      <c r="M2896" s="26"/>
      <c r="N2896" s="26"/>
      <c r="O2896" s="26"/>
      <c r="P2896" s="26"/>
      <c r="Q2896" s="26"/>
      <c r="R2896" s="26"/>
    </row>
    <row r="2897" spans="9:18" x14ac:dyDescent="0.25">
      <c r="I2897" s="46"/>
      <c r="J2897" s="26"/>
      <c r="K2897" s="26"/>
      <c r="L2897" s="26"/>
      <c r="M2897" s="26"/>
      <c r="N2897" s="26"/>
      <c r="O2897" s="26"/>
      <c r="P2897" s="26"/>
      <c r="Q2897" s="26"/>
      <c r="R2897" s="26"/>
    </row>
    <row r="2898" spans="9:18" x14ac:dyDescent="0.25">
      <c r="I2898" s="46"/>
      <c r="J2898" s="26"/>
      <c r="K2898" s="26"/>
      <c r="L2898" s="26"/>
      <c r="M2898" s="26"/>
      <c r="N2898" s="26"/>
      <c r="O2898" s="26"/>
      <c r="P2898" s="26"/>
      <c r="Q2898" s="26"/>
      <c r="R2898" s="26"/>
    </row>
    <row r="2899" spans="9:18" x14ac:dyDescent="0.25">
      <c r="I2899" s="46"/>
      <c r="J2899" s="26"/>
      <c r="K2899" s="26"/>
      <c r="L2899" s="26"/>
      <c r="M2899" s="26"/>
      <c r="N2899" s="26"/>
      <c r="O2899" s="26"/>
      <c r="P2899" s="26"/>
      <c r="Q2899" s="26"/>
      <c r="R2899" s="26"/>
    </row>
    <row r="2900" spans="9:18" x14ac:dyDescent="0.25">
      <c r="I2900" s="46"/>
      <c r="J2900" s="26"/>
      <c r="K2900" s="26"/>
      <c r="L2900" s="26"/>
      <c r="M2900" s="26"/>
      <c r="N2900" s="26"/>
      <c r="O2900" s="26"/>
      <c r="P2900" s="26"/>
      <c r="Q2900" s="26"/>
      <c r="R2900" s="26"/>
    </row>
    <row r="2901" spans="9:18" x14ac:dyDescent="0.25">
      <c r="I2901" s="46"/>
      <c r="J2901" s="26"/>
      <c r="K2901" s="26"/>
      <c r="L2901" s="26"/>
      <c r="M2901" s="26"/>
      <c r="N2901" s="26"/>
      <c r="O2901" s="26"/>
      <c r="P2901" s="26"/>
      <c r="Q2901" s="26"/>
      <c r="R2901" s="26"/>
    </row>
    <row r="2902" spans="9:18" x14ac:dyDescent="0.25">
      <c r="I2902" s="46"/>
      <c r="J2902" s="26"/>
      <c r="K2902" s="26"/>
      <c r="L2902" s="26"/>
      <c r="M2902" s="26"/>
      <c r="N2902" s="26"/>
      <c r="O2902" s="26"/>
      <c r="P2902" s="26"/>
      <c r="Q2902" s="26"/>
      <c r="R2902" s="26"/>
    </row>
    <row r="2903" spans="9:18" x14ac:dyDescent="0.25">
      <c r="I2903" s="46"/>
      <c r="J2903" s="26"/>
      <c r="K2903" s="26"/>
      <c r="L2903" s="26"/>
      <c r="M2903" s="26"/>
      <c r="N2903" s="26"/>
      <c r="O2903" s="26"/>
      <c r="P2903" s="26"/>
      <c r="Q2903" s="26"/>
      <c r="R2903" s="26"/>
    </row>
    <row r="2904" spans="9:18" x14ac:dyDescent="0.25">
      <c r="I2904" s="46"/>
      <c r="J2904" s="26"/>
      <c r="K2904" s="26"/>
      <c r="L2904" s="26"/>
      <c r="M2904" s="26"/>
      <c r="N2904" s="26"/>
      <c r="O2904" s="26"/>
      <c r="P2904" s="26"/>
      <c r="Q2904" s="26"/>
      <c r="R2904" s="26"/>
    </row>
    <row r="2905" spans="9:18" x14ac:dyDescent="0.25">
      <c r="I2905" s="46"/>
      <c r="J2905" s="26"/>
      <c r="K2905" s="26"/>
      <c r="L2905" s="26"/>
      <c r="M2905" s="26"/>
      <c r="N2905" s="26"/>
      <c r="O2905" s="26"/>
      <c r="P2905" s="26"/>
      <c r="Q2905" s="26"/>
      <c r="R2905" s="26"/>
    </row>
    <row r="2906" spans="9:18" x14ac:dyDescent="0.25">
      <c r="I2906" s="46"/>
      <c r="J2906" s="26"/>
      <c r="K2906" s="26"/>
      <c r="L2906" s="26"/>
      <c r="M2906" s="26"/>
      <c r="N2906" s="26"/>
      <c r="O2906" s="26"/>
      <c r="P2906" s="26"/>
      <c r="Q2906" s="26"/>
      <c r="R2906" s="26"/>
    </row>
    <row r="2907" spans="9:18" x14ac:dyDescent="0.25">
      <c r="I2907" s="46"/>
      <c r="J2907" s="26"/>
      <c r="K2907" s="26"/>
      <c r="L2907" s="26"/>
      <c r="M2907" s="26"/>
      <c r="N2907" s="26"/>
      <c r="O2907" s="26"/>
      <c r="P2907" s="26"/>
      <c r="Q2907" s="26"/>
      <c r="R2907" s="26"/>
    </row>
    <row r="2908" spans="9:18" x14ac:dyDescent="0.25">
      <c r="I2908" s="46"/>
      <c r="J2908" s="26"/>
      <c r="K2908" s="26"/>
      <c r="L2908" s="26"/>
      <c r="M2908" s="26"/>
      <c r="N2908" s="26"/>
      <c r="O2908" s="26"/>
      <c r="P2908" s="26"/>
      <c r="Q2908" s="26"/>
      <c r="R2908" s="26"/>
    </row>
    <row r="2909" spans="9:18" x14ac:dyDescent="0.25">
      <c r="I2909" s="46"/>
      <c r="J2909" s="26"/>
      <c r="K2909" s="26"/>
      <c r="L2909" s="26"/>
      <c r="M2909" s="26"/>
      <c r="N2909" s="26"/>
      <c r="O2909" s="26"/>
      <c r="P2909" s="26"/>
      <c r="Q2909" s="26"/>
      <c r="R2909" s="26"/>
    </row>
    <row r="2910" spans="9:18" x14ac:dyDescent="0.25">
      <c r="I2910" s="46"/>
      <c r="J2910" s="26"/>
      <c r="K2910" s="26"/>
      <c r="L2910" s="26"/>
      <c r="M2910" s="26"/>
      <c r="N2910" s="26"/>
      <c r="O2910" s="26"/>
      <c r="P2910" s="26"/>
      <c r="Q2910" s="26"/>
      <c r="R2910" s="26"/>
    </row>
    <row r="2911" spans="9:18" x14ac:dyDescent="0.25">
      <c r="I2911" s="46"/>
      <c r="J2911" s="26"/>
      <c r="K2911" s="26"/>
      <c r="L2911" s="26"/>
      <c r="M2911" s="26"/>
      <c r="N2911" s="26"/>
      <c r="O2911" s="26"/>
      <c r="P2911" s="26"/>
      <c r="Q2911" s="26"/>
      <c r="R2911" s="26"/>
    </row>
    <row r="2912" spans="9:18" x14ac:dyDescent="0.25">
      <c r="I2912" s="46"/>
      <c r="J2912" s="26"/>
      <c r="K2912" s="26"/>
      <c r="L2912" s="26"/>
      <c r="M2912" s="26"/>
      <c r="N2912" s="26"/>
      <c r="O2912" s="26"/>
      <c r="P2912" s="26"/>
      <c r="Q2912" s="26"/>
      <c r="R2912" s="26"/>
    </row>
    <row r="2913" spans="9:18" x14ac:dyDescent="0.25">
      <c r="I2913" s="46"/>
      <c r="J2913" s="26"/>
      <c r="K2913" s="26"/>
      <c r="L2913" s="26"/>
      <c r="M2913" s="26"/>
      <c r="N2913" s="26"/>
      <c r="O2913" s="26"/>
      <c r="P2913" s="26"/>
      <c r="Q2913" s="26"/>
      <c r="R2913" s="26"/>
    </row>
    <row r="2914" spans="9:18" x14ac:dyDescent="0.25">
      <c r="I2914" s="46"/>
      <c r="J2914" s="26"/>
      <c r="K2914" s="26"/>
      <c r="L2914" s="26"/>
      <c r="M2914" s="26"/>
      <c r="N2914" s="26"/>
      <c r="O2914" s="26"/>
      <c r="P2914" s="26"/>
      <c r="Q2914" s="26"/>
      <c r="R2914" s="26"/>
    </row>
    <row r="2915" spans="9:18" x14ac:dyDescent="0.25">
      <c r="I2915" s="46"/>
      <c r="J2915" s="26"/>
      <c r="K2915" s="26"/>
      <c r="L2915" s="26"/>
      <c r="M2915" s="26"/>
      <c r="N2915" s="26"/>
      <c r="O2915" s="26"/>
      <c r="P2915" s="26"/>
      <c r="Q2915" s="26"/>
      <c r="R2915" s="26"/>
    </row>
    <row r="2916" spans="9:18" x14ac:dyDescent="0.25">
      <c r="I2916" s="46"/>
      <c r="J2916" s="26"/>
      <c r="K2916" s="26"/>
      <c r="L2916" s="26"/>
      <c r="M2916" s="26"/>
      <c r="N2916" s="26"/>
      <c r="O2916" s="26"/>
      <c r="P2916" s="26"/>
      <c r="Q2916" s="26"/>
      <c r="R2916" s="26"/>
    </row>
    <row r="2917" spans="9:18" x14ac:dyDescent="0.25">
      <c r="I2917" s="46"/>
      <c r="J2917" s="26"/>
      <c r="K2917" s="26"/>
      <c r="L2917" s="26"/>
      <c r="M2917" s="26"/>
      <c r="N2917" s="26"/>
      <c r="O2917" s="26"/>
      <c r="P2917" s="26"/>
      <c r="Q2917" s="26"/>
      <c r="R2917" s="26"/>
    </row>
    <row r="2918" spans="9:18" x14ac:dyDescent="0.25">
      <c r="I2918" s="46"/>
      <c r="J2918" s="26"/>
      <c r="K2918" s="26"/>
      <c r="L2918" s="26"/>
      <c r="M2918" s="26"/>
      <c r="N2918" s="26"/>
      <c r="O2918" s="26"/>
      <c r="P2918" s="26"/>
      <c r="Q2918" s="26"/>
      <c r="R2918" s="26"/>
    </row>
    <row r="2919" spans="9:18" x14ac:dyDescent="0.25">
      <c r="I2919" s="46"/>
      <c r="J2919" s="26"/>
      <c r="K2919" s="26"/>
      <c r="L2919" s="26"/>
      <c r="M2919" s="26"/>
      <c r="N2919" s="26"/>
      <c r="O2919" s="26"/>
      <c r="P2919" s="26"/>
      <c r="Q2919" s="26"/>
      <c r="R2919" s="26"/>
    </row>
    <row r="2920" spans="9:18" x14ac:dyDescent="0.25">
      <c r="I2920" s="46"/>
      <c r="J2920" s="26"/>
      <c r="K2920" s="26"/>
      <c r="L2920" s="26"/>
      <c r="M2920" s="26"/>
      <c r="N2920" s="26"/>
      <c r="O2920" s="26"/>
      <c r="P2920" s="26"/>
      <c r="Q2920" s="26"/>
      <c r="R2920" s="26"/>
    </row>
    <row r="2921" spans="9:18" x14ac:dyDescent="0.25">
      <c r="I2921" s="46"/>
      <c r="J2921" s="26"/>
      <c r="K2921" s="26"/>
      <c r="L2921" s="26"/>
      <c r="M2921" s="26"/>
      <c r="N2921" s="26"/>
      <c r="O2921" s="26"/>
      <c r="P2921" s="26"/>
      <c r="Q2921" s="26"/>
      <c r="R2921" s="26"/>
    </row>
    <row r="2922" spans="9:18" x14ac:dyDescent="0.25">
      <c r="I2922" s="46"/>
      <c r="J2922" s="26"/>
      <c r="K2922" s="26"/>
      <c r="L2922" s="26"/>
      <c r="M2922" s="26"/>
      <c r="N2922" s="26"/>
      <c r="O2922" s="26"/>
      <c r="P2922" s="26"/>
      <c r="Q2922" s="26"/>
      <c r="R2922" s="26"/>
    </row>
    <row r="2923" spans="9:18" x14ac:dyDescent="0.25">
      <c r="I2923" s="46"/>
      <c r="J2923" s="26"/>
      <c r="K2923" s="26"/>
      <c r="L2923" s="26"/>
      <c r="M2923" s="26"/>
      <c r="N2923" s="26"/>
      <c r="O2923" s="26"/>
      <c r="P2923" s="26"/>
      <c r="Q2923" s="26"/>
      <c r="R2923" s="26"/>
    </row>
    <row r="2924" spans="9:18" x14ac:dyDescent="0.25">
      <c r="I2924" s="46"/>
      <c r="J2924" s="26"/>
      <c r="K2924" s="26"/>
      <c r="L2924" s="26"/>
      <c r="M2924" s="26"/>
      <c r="N2924" s="26"/>
      <c r="O2924" s="26"/>
      <c r="P2924" s="26"/>
      <c r="Q2924" s="26"/>
      <c r="R2924" s="26"/>
    </row>
    <row r="2925" spans="9:18" x14ac:dyDescent="0.25">
      <c r="I2925" s="46"/>
      <c r="J2925" s="26"/>
      <c r="K2925" s="26"/>
      <c r="L2925" s="26"/>
      <c r="M2925" s="26"/>
      <c r="N2925" s="26"/>
      <c r="O2925" s="26"/>
      <c r="P2925" s="26"/>
      <c r="Q2925" s="26"/>
      <c r="R2925" s="26"/>
    </row>
    <row r="2926" spans="9:18" x14ac:dyDescent="0.25">
      <c r="I2926" s="46"/>
      <c r="J2926" s="26"/>
      <c r="K2926" s="26"/>
      <c r="L2926" s="26"/>
      <c r="M2926" s="26"/>
      <c r="N2926" s="26"/>
      <c r="O2926" s="26"/>
      <c r="P2926" s="26"/>
      <c r="Q2926" s="26"/>
      <c r="R2926" s="26"/>
    </row>
    <row r="2927" spans="9:18" x14ac:dyDescent="0.25">
      <c r="I2927" s="46"/>
      <c r="J2927" s="26"/>
      <c r="K2927" s="26"/>
      <c r="L2927" s="26"/>
      <c r="M2927" s="26"/>
      <c r="N2927" s="26"/>
      <c r="O2927" s="26"/>
      <c r="P2927" s="26"/>
      <c r="Q2927" s="26"/>
      <c r="R2927" s="26"/>
    </row>
    <row r="2928" spans="9:18" x14ac:dyDescent="0.25">
      <c r="I2928" s="46"/>
      <c r="J2928" s="26"/>
      <c r="K2928" s="26"/>
      <c r="L2928" s="26"/>
      <c r="M2928" s="26"/>
      <c r="N2928" s="26"/>
      <c r="O2928" s="26"/>
      <c r="P2928" s="26"/>
      <c r="Q2928" s="26"/>
      <c r="R2928" s="26"/>
    </row>
    <row r="2929" spans="9:18" x14ac:dyDescent="0.25">
      <c r="I2929" s="46"/>
      <c r="J2929" s="26"/>
      <c r="K2929" s="26"/>
      <c r="L2929" s="26"/>
      <c r="M2929" s="26"/>
      <c r="N2929" s="26"/>
      <c r="O2929" s="26"/>
      <c r="P2929" s="26"/>
      <c r="Q2929" s="26"/>
      <c r="R2929" s="26"/>
    </row>
    <row r="2930" spans="9:18" x14ac:dyDescent="0.25">
      <c r="I2930" s="46"/>
      <c r="J2930" s="26"/>
      <c r="K2930" s="26"/>
      <c r="L2930" s="26"/>
      <c r="M2930" s="26"/>
      <c r="N2930" s="26"/>
      <c r="O2930" s="26"/>
      <c r="P2930" s="26"/>
      <c r="Q2930" s="26"/>
      <c r="R2930" s="26"/>
    </row>
    <row r="2931" spans="9:18" x14ac:dyDescent="0.25">
      <c r="I2931" s="46"/>
      <c r="J2931" s="26"/>
      <c r="K2931" s="26"/>
      <c r="L2931" s="26"/>
      <c r="M2931" s="26"/>
      <c r="N2931" s="26"/>
      <c r="O2931" s="26"/>
      <c r="P2931" s="26"/>
      <c r="Q2931" s="26"/>
      <c r="R2931" s="26"/>
    </row>
    <row r="2932" spans="9:18" x14ac:dyDescent="0.25">
      <c r="I2932" s="46"/>
      <c r="J2932" s="26"/>
      <c r="K2932" s="26"/>
      <c r="L2932" s="26"/>
      <c r="M2932" s="26"/>
      <c r="N2932" s="26"/>
      <c r="O2932" s="26"/>
      <c r="P2932" s="26"/>
      <c r="Q2932" s="26"/>
      <c r="R2932" s="26"/>
    </row>
    <row r="2933" spans="9:18" x14ac:dyDescent="0.25">
      <c r="I2933" s="46"/>
      <c r="J2933" s="26"/>
      <c r="K2933" s="26"/>
      <c r="L2933" s="26"/>
      <c r="M2933" s="26"/>
      <c r="N2933" s="26"/>
      <c r="O2933" s="26"/>
      <c r="P2933" s="26"/>
      <c r="Q2933" s="26"/>
      <c r="R2933" s="26"/>
    </row>
    <row r="2934" spans="9:18" x14ac:dyDescent="0.25">
      <c r="I2934" s="46"/>
      <c r="J2934" s="26"/>
      <c r="K2934" s="26"/>
      <c r="L2934" s="26"/>
      <c r="M2934" s="26"/>
      <c r="N2934" s="26"/>
      <c r="O2934" s="26"/>
      <c r="P2934" s="26"/>
      <c r="Q2934" s="26"/>
      <c r="R2934" s="26"/>
    </row>
    <row r="2935" spans="9:18" x14ac:dyDescent="0.25">
      <c r="I2935" s="46"/>
      <c r="J2935" s="26"/>
      <c r="K2935" s="26"/>
      <c r="L2935" s="26"/>
      <c r="M2935" s="26"/>
      <c r="N2935" s="26"/>
      <c r="O2935" s="26"/>
      <c r="P2935" s="26"/>
      <c r="Q2935" s="26"/>
      <c r="R2935" s="26"/>
    </row>
    <row r="2936" spans="9:18" x14ac:dyDescent="0.25">
      <c r="I2936" s="46"/>
      <c r="J2936" s="26"/>
      <c r="K2936" s="26"/>
      <c r="L2936" s="26"/>
      <c r="M2936" s="26"/>
      <c r="N2936" s="26"/>
      <c r="O2936" s="26"/>
      <c r="P2936" s="26"/>
      <c r="Q2936" s="26"/>
      <c r="R2936" s="26"/>
    </row>
    <row r="2937" spans="9:18" x14ac:dyDescent="0.25">
      <c r="I2937" s="46"/>
      <c r="J2937" s="26"/>
      <c r="K2937" s="26"/>
      <c r="L2937" s="26"/>
      <c r="M2937" s="26"/>
      <c r="N2937" s="26"/>
      <c r="O2937" s="26"/>
      <c r="P2937" s="26"/>
      <c r="Q2937" s="26"/>
      <c r="R2937" s="26"/>
    </row>
    <row r="2938" spans="9:18" x14ac:dyDescent="0.25">
      <c r="I2938" s="46"/>
      <c r="J2938" s="26"/>
      <c r="K2938" s="26"/>
      <c r="L2938" s="26"/>
      <c r="M2938" s="26"/>
      <c r="N2938" s="26"/>
      <c r="O2938" s="26"/>
      <c r="P2938" s="26"/>
      <c r="Q2938" s="26"/>
      <c r="R2938" s="26"/>
    </row>
    <row r="2939" spans="9:18" x14ac:dyDescent="0.25">
      <c r="I2939" s="46"/>
      <c r="J2939" s="26"/>
      <c r="K2939" s="26"/>
      <c r="L2939" s="26"/>
      <c r="M2939" s="26"/>
      <c r="N2939" s="26"/>
      <c r="O2939" s="26"/>
      <c r="P2939" s="26"/>
      <c r="Q2939" s="26"/>
      <c r="R2939" s="26"/>
    </row>
    <row r="2940" spans="9:18" x14ac:dyDescent="0.25">
      <c r="I2940" s="46"/>
      <c r="J2940" s="26"/>
      <c r="K2940" s="26"/>
      <c r="L2940" s="26"/>
      <c r="M2940" s="26"/>
      <c r="N2940" s="26"/>
      <c r="O2940" s="26"/>
      <c r="P2940" s="26"/>
      <c r="Q2940" s="26"/>
      <c r="R2940" s="26"/>
    </row>
    <row r="2941" spans="9:18" x14ac:dyDescent="0.25">
      <c r="I2941" s="46"/>
      <c r="J2941" s="26"/>
      <c r="K2941" s="26"/>
      <c r="L2941" s="26"/>
      <c r="M2941" s="26"/>
      <c r="N2941" s="26"/>
      <c r="O2941" s="26"/>
      <c r="P2941" s="26"/>
      <c r="Q2941" s="26"/>
      <c r="R2941" s="26"/>
    </row>
    <row r="2942" spans="9:18" x14ac:dyDescent="0.25">
      <c r="I2942" s="46"/>
      <c r="J2942" s="26"/>
      <c r="K2942" s="26"/>
      <c r="L2942" s="26"/>
      <c r="M2942" s="26"/>
      <c r="N2942" s="26"/>
      <c r="O2942" s="26"/>
      <c r="P2942" s="26"/>
      <c r="Q2942" s="26"/>
      <c r="R2942" s="26"/>
    </row>
    <row r="2943" spans="9:18" x14ac:dyDescent="0.25">
      <c r="I2943" s="46"/>
      <c r="J2943" s="26"/>
      <c r="K2943" s="26"/>
      <c r="L2943" s="26"/>
      <c r="M2943" s="26"/>
      <c r="N2943" s="26"/>
      <c r="O2943" s="26"/>
      <c r="P2943" s="26"/>
      <c r="Q2943" s="26"/>
      <c r="R2943" s="26"/>
    </row>
    <row r="2944" spans="9:18" x14ac:dyDescent="0.25">
      <c r="I2944" s="46"/>
      <c r="J2944" s="26"/>
      <c r="K2944" s="26"/>
      <c r="L2944" s="26"/>
      <c r="M2944" s="26"/>
      <c r="N2944" s="26"/>
      <c r="O2944" s="26"/>
      <c r="P2944" s="26"/>
      <c r="Q2944" s="26"/>
      <c r="R2944" s="26"/>
    </row>
    <row r="2945" spans="9:18" x14ac:dyDescent="0.25">
      <c r="I2945" s="46"/>
      <c r="J2945" s="26"/>
      <c r="K2945" s="26"/>
      <c r="L2945" s="26"/>
      <c r="M2945" s="26"/>
      <c r="N2945" s="26"/>
      <c r="O2945" s="26"/>
      <c r="P2945" s="26"/>
      <c r="Q2945" s="26"/>
      <c r="R2945" s="26"/>
    </row>
    <row r="2946" spans="9:18" x14ac:dyDescent="0.25">
      <c r="I2946" s="46"/>
      <c r="J2946" s="26"/>
      <c r="K2946" s="26"/>
      <c r="L2946" s="26"/>
      <c r="M2946" s="26"/>
      <c r="N2946" s="26"/>
      <c r="O2946" s="26"/>
      <c r="P2946" s="26"/>
      <c r="Q2946" s="26"/>
      <c r="R2946" s="26"/>
    </row>
    <row r="2947" spans="9:18" x14ac:dyDescent="0.25">
      <c r="I2947" s="46"/>
      <c r="J2947" s="26"/>
      <c r="K2947" s="26"/>
      <c r="L2947" s="26"/>
      <c r="M2947" s="26"/>
      <c r="N2947" s="26"/>
      <c r="O2947" s="26"/>
      <c r="P2947" s="26"/>
      <c r="Q2947" s="26"/>
      <c r="R2947" s="26"/>
    </row>
    <row r="2948" spans="9:18" x14ac:dyDescent="0.25">
      <c r="I2948" s="46"/>
      <c r="J2948" s="26"/>
      <c r="K2948" s="26"/>
      <c r="L2948" s="26"/>
      <c r="M2948" s="26"/>
      <c r="N2948" s="26"/>
      <c r="O2948" s="26"/>
      <c r="P2948" s="26"/>
      <c r="Q2948" s="26"/>
      <c r="R2948" s="26"/>
    </row>
    <row r="2949" spans="9:18" x14ac:dyDescent="0.25">
      <c r="I2949" s="46"/>
      <c r="J2949" s="26"/>
      <c r="K2949" s="26"/>
      <c r="L2949" s="26"/>
      <c r="M2949" s="26"/>
      <c r="N2949" s="26"/>
      <c r="O2949" s="26"/>
      <c r="P2949" s="26"/>
      <c r="Q2949" s="26"/>
      <c r="R2949" s="26"/>
    </row>
    <row r="2950" spans="9:18" x14ac:dyDescent="0.25">
      <c r="I2950" s="46"/>
      <c r="J2950" s="26"/>
      <c r="K2950" s="26"/>
      <c r="L2950" s="26"/>
      <c r="M2950" s="26"/>
      <c r="N2950" s="26"/>
      <c r="O2950" s="26"/>
      <c r="P2950" s="26"/>
      <c r="Q2950" s="26"/>
      <c r="R2950" s="26"/>
    </row>
    <row r="2951" spans="9:18" x14ac:dyDescent="0.25">
      <c r="I2951" s="46"/>
      <c r="J2951" s="26"/>
      <c r="K2951" s="26"/>
      <c r="L2951" s="26"/>
      <c r="M2951" s="26"/>
      <c r="N2951" s="26"/>
      <c r="O2951" s="26"/>
      <c r="P2951" s="26"/>
      <c r="Q2951" s="26"/>
      <c r="R2951" s="26"/>
    </row>
    <row r="2952" spans="9:18" x14ac:dyDescent="0.25">
      <c r="I2952" s="46"/>
      <c r="J2952" s="26"/>
      <c r="K2952" s="26"/>
      <c r="L2952" s="26"/>
      <c r="M2952" s="26"/>
      <c r="N2952" s="26"/>
      <c r="O2952" s="26"/>
      <c r="P2952" s="26"/>
      <c r="Q2952" s="26"/>
      <c r="R2952" s="26"/>
    </row>
    <row r="2953" spans="9:18" x14ac:dyDescent="0.25">
      <c r="I2953" s="46"/>
      <c r="J2953" s="26"/>
      <c r="K2953" s="26"/>
      <c r="L2953" s="26"/>
      <c r="M2953" s="26"/>
      <c r="N2953" s="26"/>
      <c r="O2953" s="26"/>
      <c r="P2953" s="26"/>
      <c r="Q2953" s="26"/>
      <c r="R2953" s="26"/>
    </row>
    <row r="2954" spans="9:18" x14ac:dyDescent="0.25">
      <c r="I2954" s="46"/>
      <c r="J2954" s="26"/>
      <c r="K2954" s="26"/>
      <c r="L2954" s="26"/>
      <c r="M2954" s="26"/>
      <c r="N2954" s="26"/>
      <c r="O2954" s="26"/>
      <c r="P2954" s="26"/>
      <c r="Q2954" s="26"/>
      <c r="R2954" s="26"/>
    </row>
    <row r="2955" spans="9:18" x14ac:dyDescent="0.25">
      <c r="I2955" s="46"/>
      <c r="J2955" s="26"/>
      <c r="K2955" s="26"/>
      <c r="L2955" s="26"/>
      <c r="M2955" s="26"/>
      <c r="N2955" s="26"/>
      <c r="O2955" s="26"/>
      <c r="P2955" s="26"/>
      <c r="Q2955" s="26"/>
      <c r="R2955" s="26"/>
    </row>
    <row r="2956" spans="9:18" x14ac:dyDescent="0.25">
      <c r="I2956" s="46"/>
      <c r="J2956" s="26"/>
      <c r="K2956" s="26"/>
      <c r="L2956" s="26"/>
      <c r="M2956" s="26"/>
      <c r="N2956" s="26"/>
      <c r="O2956" s="26"/>
      <c r="P2956" s="26"/>
      <c r="Q2956" s="26"/>
      <c r="R2956" s="26"/>
    </row>
    <row r="2957" spans="9:18" x14ac:dyDescent="0.25">
      <c r="I2957" s="46"/>
      <c r="J2957" s="26"/>
      <c r="K2957" s="26"/>
      <c r="L2957" s="26"/>
      <c r="M2957" s="26"/>
      <c r="N2957" s="26"/>
      <c r="O2957" s="26"/>
      <c r="P2957" s="26"/>
      <c r="Q2957" s="26"/>
      <c r="R2957" s="26"/>
    </row>
    <row r="2958" spans="9:18" x14ac:dyDescent="0.25">
      <c r="I2958" s="46"/>
      <c r="J2958" s="26"/>
      <c r="K2958" s="26"/>
      <c r="L2958" s="26"/>
      <c r="M2958" s="26"/>
      <c r="N2958" s="26"/>
      <c r="O2958" s="26"/>
      <c r="P2958" s="26"/>
      <c r="Q2958" s="26"/>
      <c r="R2958" s="26"/>
    </row>
    <row r="2959" spans="9:18" x14ac:dyDescent="0.25">
      <c r="I2959" s="46"/>
      <c r="J2959" s="26"/>
      <c r="K2959" s="26"/>
      <c r="L2959" s="26"/>
      <c r="M2959" s="26"/>
      <c r="N2959" s="26"/>
      <c r="O2959" s="26"/>
      <c r="P2959" s="26"/>
      <c r="Q2959" s="26"/>
      <c r="R2959" s="26"/>
    </row>
    <row r="2960" spans="9:18" x14ac:dyDescent="0.25">
      <c r="I2960" s="46"/>
      <c r="J2960" s="26"/>
      <c r="K2960" s="26"/>
      <c r="L2960" s="26"/>
      <c r="M2960" s="26"/>
      <c r="N2960" s="26"/>
      <c r="O2960" s="26"/>
      <c r="P2960" s="26"/>
      <c r="Q2960" s="26"/>
      <c r="R2960" s="26"/>
    </row>
    <row r="2961" spans="9:18" x14ac:dyDescent="0.25">
      <c r="I2961" s="46"/>
      <c r="J2961" s="26"/>
      <c r="K2961" s="26"/>
      <c r="L2961" s="26"/>
      <c r="M2961" s="26"/>
      <c r="N2961" s="26"/>
      <c r="O2961" s="26"/>
      <c r="P2961" s="26"/>
      <c r="Q2961" s="26"/>
      <c r="R2961" s="26"/>
    </row>
    <row r="2962" spans="9:18" x14ac:dyDescent="0.25">
      <c r="I2962" s="46"/>
      <c r="J2962" s="26"/>
      <c r="K2962" s="26"/>
      <c r="L2962" s="26"/>
      <c r="M2962" s="26"/>
      <c r="N2962" s="26"/>
      <c r="O2962" s="26"/>
      <c r="P2962" s="26"/>
      <c r="Q2962" s="26"/>
      <c r="R2962" s="26"/>
    </row>
    <row r="2963" spans="9:18" x14ac:dyDescent="0.25">
      <c r="I2963" s="46"/>
      <c r="J2963" s="26"/>
      <c r="K2963" s="26"/>
      <c r="L2963" s="26"/>
      <c r="M2963" s="26"/>
      <c r="N2963" s="26"/>
      <c r="O2963" s="26"/>
      <c r="P2963" s="26"/>
      <c r="Q2963" s="26"/>
      <c r="R2963" s="26"/>
    </row>
    <row r="2964" spans="9:18" x14ac:dyDescent="0.25">
      <c r="I2964" s="46"/>
      <c r="J2964" s="26"/>
      <c r="K2964" s="26"/>
      <c r="L2964" s="26"/>
      <c r="M2964" s="26"/>
      <c r="N2964" s="26"/>
      <c r="O2964" s="26"/>
      <c r="P2964" s="26"/>
      <c r="Q2964" s="26"/>
      <c r="R2964" s="26"/>
    </row>
    <row r="2965" spans="9:18" x14ac:dyDescent="0.25">
      <c r="I2965" s="46"/>
      <c r="J2965" s="26"/>
      <c r="K2965" s="26"/>
      <c r="L2965" s="26"/>
      <c r="M2965" s="26"/>
      <c r="N2965" s="26"/>
      <c r="O2965" s="26"/>
      <c r="P2965" s="26"/>
      <c r="Q2965" s="26"/>
      <c r="R2965" s="26"/>
    </row>
    <row r="2966" spans="9:18" x14ac:dyDescent="0.25">
      <c r="I2966" s="46"/>
      <c r="J2966" s="26"/>
      <c r="K2966" s="26"/>
      <c r="L2966" s="26"/>
      <c r="M2966" s="26"/>
      <c r="N2966" s="26"/>
      <c r="O2966" s="26"/>
      <c r="P2966" s="26"/>
      <c r="Q2966" s="26"/>
      <c r="R2966" s="26"/>
    </row>
    <row r="2967" spans="9:18" x14ac:dyDescent="0.25">
      <c r="I2967" s="46"/>
      <c r="J2967" s="26"/>
      <c r="K2967" s="26"/>
      <c r="L2967" s="26"/>
      <c r="M2967" s="26"/>
      <c r="N2967" s="26"/>
      <c r="O2967" s="26"/>
      <c r="P2967" s="26"/>
      <c r="Q2967" s="26"/>
      <c r="R2967" s="26"/>
    </row>
    <row r="2968" spans="9:18" x14ac:dyDescent="0.25">
      <c r="I2968" s="46"/>
      <c r="J2968" s="26"/>
      <c r="K2968" s="26"/>
      <c r="L2968" s="26"/>
      <c r="M2968" s="26"/>
      <c r="N2968" s="26"/>
      <c r="O2968" s="26"/>
      <c r="P2968" s="26"/>
      <c r="Q2968" s="26"/>
      <c r="R2968" s="26"/>
    </row>
    <row r="2969" spans="9:18" x14ac:dyDescent="0.25">
      <c r="I2969" s="46"/>
      <c r="J2969" s="26"/>
      <c r="K2969" s="26"/>
      <c r="L2969" s="26"/>
      <c r="M2969" s="26"/>
      <c r="N2969" s="26"/>
      <c r="O2969" s="26"/>
      <c r="P2969" s="26"/>
      <c r="Q2969" s="26"/>
      <c r="R2969" s="26"/>
    </row>
    <row r="2970" spans="9:18" x14ac:dyDescent="0.25">
      <c r="I2970" s="46"/>
      <c r="J2970" s="26"/>
      <c r="K2970" s="26"/>
      <c r="L2970" s="26"/>
      <c r="M2970" s="26"/>
      <c r="N2970" s="26"/>
      <c r="O2970" s="26"/>
      <c r="P2970" s="26"/>
      <c r="Q2970" s="26"/>
      <c r="R2970" s="26"/>
    </row>
    <row r="2971" spans="9:18" x14ac:dyDescent="0.25">
      <c r="I2971" s="46"/>
      <c r="J2971" s="26"/>
      <c r="K2971" s="26"/>
      <c r="L2971" s="26"/>
      <c r="M2971" s="26"/>
      <c r="N2971" s="26"/>
      <c r="O2971" s="26"/>
      <c r="P2971" s="26"/>
      <c r="Q2971" s="26"/>
      <c r="R2971" s="26"/>
    </row>
    <row r="2972" spans="9:18" x14ac:dyDescent="0.25">
      <c r="I2972" s="46"/>
      <c r="J2972" s="26"/>
      <c r="K2972" s="26"/>
      <c r="L2972" s="26"/>
      <c r="M2972" s="26"/>
      <c r="N2972" s="26"/>
      <c r="O2972" s="26"/>
      <c r="P2972" s="26"/>
      <c r="Q2972" s="26"/>
      <c r="R2972" s="26"/>
    </row>
    <row r="2973" spans="9:18" x14ac:dyDescent="0.25">
      <c r="I2973" s="46"/>
      <c r="J2973" s="26"/>
      <c r="K2973" s="26"/>
      <c r="L2973" s="26"/>
      <c r="M2973" s="26"/>
      <c r="N2973" s="26"/>
      <c r="O2973" s="26"/>
      <c r="P2973" s="26"/>
      <c r="Q2973" s="26"/>
      <c r="R2973" s="26"/>
    </row>
    <row r="2974" spans="9:18" x14ac:dyDescent="0.25">
      <c r="I2974" s="46"/>
      <c r="J2974" s="26"/>
      <c r="K2974" s="26"/>
      <c r="L2974" s="26"/>
      <c r="M2974" s="26"/>
      <c r="N2974" s="26"/>
      <c r="O2974" s="26"/>
      <c r="P2974" s="26"/>
      <c r="Q2974" s="26"/>
      <c r="R2974" s="26"/>
    </row>
    <row r="2975" spans="9:18" x14ac:dyDescent="0.25">
      <c r="I2975" s="46"/>
      <c r="J2975" s="26"/>
      <c r="K2975" s="26"/>
      <c r="L2975" s="26"/>
      <c r="M2975" s="26"/>
      <c r="N2975" s="26"/>
      <c r="O2975" s="26"/>
      <c r="P2975" s="26"/>
      <c r="Q2975" s="26"/>
      <c r="R2975" s="26"/>
    </row>
    <row r="2976" spans="9:18" x14ac:dyDescent="0.25">
      <c r="I2976" s="46"/>
      <c r="J2976" s="26"/>
      <c r="K2976" s="26"/>
      <c r="L2976" s="26"/>
      <c r="M2976" s="26"/>
      <c r="N2976" s="26"/>
      <c r="O2976" s="26"/>
      <c r="P2976" s="26"/>
      <c r="Q2976" s="26"/>
      <c r="R2976" s="26"/>
    </row>
    <row r="2977" spans="9:18" x14ac:dyDescent="0.25">
      <c r="I2977" s="46"/>
      <c r="J2977" s="26"/>
      <c r="K2977" s="26"/>
      <c r="L2977" s="26"/>
      <c r="M2977" s="26"/>
      <c r="N2977" s="26"/>
      <c r="O2977" s="26"/>
      <c r="P2977" s="26"/>
      <c r="Q2977" s="26"/>
      <c r="R2977" s="26"/>
    </row>
    <row r="2978" spans="9:18" x14ac:dyDescent="0.25">
      <c r="I2978" s="46"/>
      <c r="J2978" s="26"/>
      <c r="K2978" s="26"/>
      <c r="L2978" s="26"/>
      <c r="M2978" s="26"/>
      <c r="N2978" s="26"/>
      <c r="O2978" s="26"/>
      <c r="P2978" s="26"/>
      <c r="Q2978" s="26"/>
      <c r="R2978" s="26"/>
    </row>
    <row r="2979" spans="9:18" x14ac:dyDescent="0.25">
      <c r="I2979" s="46"/>
      <c r="J2979" s="26"/>
      <c r="K2979" s="26"/>
      <c r="L2979" s="26"/>
      <c r="M2979" s="26"/>
      <c r="N2979" s="26"/>
      <c r="O2979" s="26"/>
      <c r="P2979" s="26"/>
      <c r="Q2979" s="26"/>
      <c r="R2979" s="26"/>
    </row>
    <row r="2980" spans="9:18" x14ac:dyDescent="0.25">
      <c r="I2980" s="46"/>
      <c r="J2980" s="26"/>
      <c r="K2980" s="26"/>
      <c r="L2980" s="26"/>
      <c r="M2980" s="26"/>
      <c r="N2980" s="26"/>
      <c r="O2980" s="26"/>
      <c r="P2980" s="26"/>
      <c r="Q2980" s="26"/>
      <c r="R2980" s="26"/>
    </row>
    <row r="2981" spans="9:18" x14ac:dyDescent="0.25">
      <c r="I2981" s="46"/>
      <c r="J2981" s="26"/>
      <c r="K2981" s="26"/>
      <c r="L2981" s="26"/>
      <c r="M2981" s="26"/>
      <c r="N2981" s="26"/>
      <c r="O2981" s="26"/>
      <c r="P2981" s="26"/>
      <c r="Q2981" s="26"/>
      <c r="R2981" s="26"/>
    </row>
    <row r="2982" spans="9:18" x14ac:dyDescent="0.25">
      <c r="I2982" s="46"/>
      <c r="J2982" s="26"/>
      <c r="K2982" s="26"/>
      <c r="L2982" s="26"/>
      <c r="M2982" s="26"/>
      <c r="N2982" s="26"/>
      <c r="O2982" s="26"/>
      <c r="P2982" s="26"/>
      <c r="Q2982" s="26"/>
      <c r="R2982" s="26"/>
    </row>
    <row r="2983" spans="9:18" x14ac:dyDescent="0.25">
      <c r="I2983" s="46"/>
      <c r="J2983" s="26"/>
      <c r="K2983" s="26"/>
      <c r="L2983" s="26"/>
      <c r="M2983" s="26"/>
      <c r="N2983" s="26"/>
      <c r="O2983" s="26"/>
      <c r="P2983" s="26"/>
      <c r="Q2983" s="26"/>
      <c r="R2983" s="26"/>
    </row>
    <row r="2984" spans="9:18" x14ac:dyDescent="0.25">
      <c r="I2984" s="46"/>
      <c r="J2984" s="26"/>
      <c r="K2984" s="26"/>
      <c r="L2984" s="26"/>
      <c r="M2984" s="26"/>
      <c r="N2984" s="26"/>
      <c r="O2984" s="26"/>
      <c r="P2984" s="26"/>
      <c r="Q2984" s="26"/>
      <c r="R2984" s="26"/>
    </row>
    <row r="2985" spans="9:18" x14ac:dyDescent="0.25">
      <c r="I2985" s="46"/>
      <c r="J2985" s="26"/>
      <c r="K2985" s="26"/>
      <c r="L2985" s="26"/>
      <c r="M2985" s="26"/>
      <c r="N2985" s="26"/>
      <c r="O2985" s="26"/>
      <c r="P2985" s="26"/>
      <c r="Q2985" s="26"/>
      <c r="R2985" s="26"/>
    </row>
    <row r="2986" spans="9:18" x14ac:dyDescent="0.25">
      <c r="I2986" s="46"/>
      <c r="J2986" s="26"/>
      <c r="K2986" s="26"/>
      <c r="L2986" s="26"/>
      <c r="M2986" s="26"/>
      <c r="N2986" s="26"/>
      <c r="O2986" s="26"/>
      <c r="P2986" s="26"/>
      <c r="Q2986" s="26"/>
      <c r="R2986" s="26"/>
    </row>
    <row r="2987" spans="9:18" x14ac:dyDescent="0.25">
      <c r="I2987" s="46"/>
      <c r="J2987" s="26"/>
      <c r="K2987" s="26"/>
      <c r="L2987" s="26"/>
      <c r="M2987" s="26"/>
      <c r="N2987" s="26"/>
      <c r="O2987" s="26"/>
      <c r="P2987" s="26"/>
      <c r="Q2987" s="26"/>
      <c r="R2987" s="26"/>
    </row>
    <row r="2988" spans="9:18" x14ac:dyDescent="0.25">
      <c r="I2988" s="46"/>
      <c r="J2988" s="26"/>
      <c r="K2988" s="26"/>
      <c r="L2988" s="26"/>
      <c r="M2988" s="26"/>
      <c r="N2988" s="26"/>
      <c r="O2988" s="26"/>
      <c r="P2988" s="26"/>
      <c r="Q2988" s="26"/>
      <c r="R2988" s="26"/>
    </row>
    <row r="2989" spans="9:18" x14ac:dyDescent="0.25">
      <c r="I2989" s="46"/>
      <c r="J2989" s="26"/>
      <c r="K2989" s="26"/>
      <c r="L2989" s="26"/>
      <c r="M2989" s="26"/>
      <c r="N2989" s="26"/>
      <c r="O2989" s="26"/>
      <c r="P2989" s="26"/>
      <c r="Q2989" s="26"/>
      <c r="R2989" s="26"/>
    </row>
    <row r="2990" spans="9:18" x14ac:dyDescent="0.25">
      <c r="I2990" s="46"/>
      <c r="J2990" s="26"/>
      <c r="K2990" s="26"/>
      <c r="L2990" s="26"/>
      <c r="M2990" s="26"/>
      <c r="N2990" s="26"/>
      <c r="O2990" s="26"/>
      <c r="P2990" s="26"/>
      <c r="Q2990" s="26"/>
      <c r="R2990" s="26"/>
    </row>
    <row r="2991" spans="9:18" x14ac:dyDescent="0.25">
      <c r="I2991" s="46"/>
      <c r="J2991" s="26"/>
      <c r="K2991" s="26"/>
      <c r="L2991" s="26"/>
      <c r="M2991" s="26"/>
      <c r="N2991" s="26"/>
      <c r="O2991" s="26"/>
      <c r="P2991" s="26"/>
      <c r="Q2991" s="26"/>
      <c r="R2991" s="26"/>
    </row>
    <row r="2992" spans="9:18" x14ac:dyDescent="0.25">
      <c r="I2992" s="46"/>
      <c r="J2992" s="26"/>
      <c r="K2992" s="26"/>
      <c r="L2992" s="26"/>
      <c r="M2992" s="26"/>
      <c r="N2992" s="26"/>
      <c r="O2992" s="26"/>
      <c r="P2992" s="26"/>
      <c r="Q2992" s="26"/>
      <c r="R2992" s="26"/>
    </row>
    <row r="2993" spans="9:18" x14ac:dyDescent="0.25">
      <c r="I2993" s="46"/>
      <c r="J2993" s="26"/>
      <c r="K2993" s="26"/>
      <c r="L2993" s="26"/>
      <c r="M2993" s="26"/>
      <c r="N2993" s="26"/>
      <c r="O2993" s="26"/>
      <c r="P2993" s="26"/>
      <c r="Q2993" s="26"/>
      <c r="R2993" s="26"/>
    </row>
    <row r="2994" spans="9:18" x14ac:dyDescent="0.25">
      <c r="I2994" s="46"/>
      <c r="J2994" s="26"/>
      <c r="K2994" s="26"/>
      <c r="L2994" s="26"/>
      <c r="M2994" s="26"/>
      <c r="N2994" s="26"/>
      <c r="O2994" s="26"/>
      <c r="P2994" s="26"/>
      <c r="Q2994" s="26"/>
      <c r="R2994" s="26"/>
    </row>
    <row r="2995" spans="9:18" x14ac:dyDescent="0.25">
      <c r="I2995" s="46"/>
      <c r="J2995" s="26"/>
      <c r="K2995" s="26"/>
      <c r="L2995" s="26"/>
      <c r="M2995" s="26"/>
      <c r="N2995" s="26"/>
      <c r="O2995" s="26"/>
      <c r="P2995" s="26"/>
      <c r="Q2995" s="26"/>
      <c r="R2995" s="26"/>
    </row>
    <row r="2996" spans="9:18" x14ac:dyDescent="0.25">
      <c r="I2996" s="46"/>
      <c r="J2996" s="26"/>
      <c r="K2996" s="26"/>
      <c r="L2996" s="26"/>
      <c r="M2996" s="26"/>
      <c r="N2996" s="26"/>
      <c r="O2996" s="26"/>
      <c r="P2996" s="26"/>
      <c r="Q2996" s="26"/>
      <c r="R2996" s="26"/>
    </row>
    <row r="2997" spans="9:18" x14ac:dyDescent="0.25">
      <c r="I2997" s="46"/>
      <c r="J2997" s="26"/>
      <c r="K2997" s="26"/>
      <c r="L2997" s="26"/>
      <c r="M2997" s="26"/>
      <c r="N2997" s="26"/>
      <c r="O2997" s="26"/>
      <c r="P2997" s="26"/>
      <c r="Q2997" s="26"/>
      <c r="R2997" s="26"/>
    </row>
    <row r="2998" spans="9:18" x14ac:dyDescent="0.25">
      <c r="I2998" s="46"/>
      <c r="J2998" s="26"/>
      <c r="K2998" s="26"/>
      <c r="L2998" s="26"/>
      <c r="M2998" s="26"/>
      <c r="N2998" s="26"/>
      <c r="O2998" s="26"/>
      <c r="P2998" s="26"/>
      <c r="Q2998" s="26"/>
      <c r="R2998" s="26"/>
    </row>
    <row r="2999" spans="9:18" x14ac:dyDescent="0.25">
      <c r="I2999" s="46"/>
      <c r="J2999" s="26"/>
      <c r="K2999" s="26"/>
      <c r="L2999" s="26"/>
      <c r="M2999" s="26"/>
      <c r="N2999" s="26"/>
      <c r="O2999" s="26"/>
      <c r="P2999" s="26"/>
      <c r="Q2999" s="26"/>
      <c r="R2999" s="26"/>
    </row>
    <row r="3000" spans="9:18" x14ac:dyDescent="0.25">
      <c r="I3000" s="46"/>
      <c r="J3000" s="26"/>
      <c r="K3000" s="26"/>
      <c r="L3000" s="26"/>
      <c r="M3000" s="26"/>
      <c r="N3000" s="26"/>
      <c r="O3000" s="26"/>
      <c r="P3000" s="26"/>
      <c r="Q3000" s="26"/>
      <c r="R3000" s="26"/>
    </row>
    <row r="3001" spans="9:18" x14ac:dyDescent="0.25">
      <c r="I3001" s="46"/>
      <c r="J3001" s="26"/>
      <c r="K3001" s="26"/>
      <c r="L3001" s="26"/>
      <c r="M3001" s="26"/>
      <c r="N3001" s="26"/>
      <c r="O3001" s="26"/>
      <c r="P3001" s="26"/>
      <c r="Q3001" s="26"/>
      <c r="R3001" s="26"/>
    </row>
    <row r="3002" spans="9:18" x14ac:dyDescent="0.25">
      <c r="I3002" s="46"/>
      <c r="J3002" s="26"/>
      <c r="K3002" s="26"/>
      <c r="L3002" s="26"/>
      <c r="M3002" s="26"/>
      <c r="N3002" s="26"/>
      <c r="O3002" s="26"/>
      <c r="P3002" s="26"/>
      <c r="Q3002" s="26"/>
      <c r="R3002" s="26"/>
    </row>
    <row r="3003" spans="9:18" x14ac:dyDescent="0.25">
      <c r="I3003" s="46"/>
      <c r="J3003" s="26"/>
      <c r="K3003" s="26"/>
      <c r="L3003" s="26"/>
      <c r="M3003" s="26"/>
      <c r="N3003" s="26"/>
      <c r="O3003" s="26"/>
      <c r="P3003" s="26"/>
      <c r="Q3003" s="26"/>
      <c r="R3003" s="26"/>
    </row>
    <row r="3004" spans="9:18" x14ac:dyDescent="0.25">
      <c r="I3004" s="46"/>
      <c r="J3004" s="26"/>
      <c r="K3004" s="26"/>
      <c r="L3004" s="26"/>
      <c r="M3004" s="26"/>
      <c r="N3004" s="26"/>
      <c r="O3004" s="26"/>
      <c r="P3004" s="26"/>
      <c r="Q3004" s="26"/>
      <c r="R3004" s="26"/>
    </row>
    <row r="3005" spans="9:18" x14ac:dyDescent="0.25">
      <c r="I3005" s="46"/>
      <c r="J3005" s="26"/>
      <c r="K3005" s="26"/>
      <c r="L3005" s="26"/>
      <c r="M3005" s="26"/>
      <c r="N3005" s="26"/>
      <c r="O3005" s="26"/>
      <c r="P3005" s="26"/>
      <c r="Q3005" s="26"/>
      <c r="R3005" s="26"/>
    </row>
    <row r="3006" spans="9:18" x14ac:dyDescent="0.25">
      <c r="I3006" s="46"/>
      <c r="J3006" s="26"/>
      <c r="K3006" s="26"/>
      <c r="L3006" s="26"/>
      <c r="M3006" s="26"/>
      <c r="N3006" s="26"/>
      <c r="O3006" s="26"/>
      <c r="P3006" s="26"/>
      <c r="Q3006" s="26"/>
      <c r="R3006" s="26"/>
    </row>
    <row r="3007" spans="9:18" x14ac:dyDescent="0.25">
      <c r="I3007" s="46"/>
      <c r="J3007" s="26"/>
      <c r="K3007" s="26"/>
      <c r="L3007" s="26"/>
      <c r="M3007" s="26"/>
      <c r="N3007" s="26"/>
      <c r="O3007" s="26"/>
      <c r="P3007" s="26"/>
      <c r="Q3007" s="26"/>
      <c r="R3007" s="26"/>
    </row>
    <row r="3008" spans="9:18" x14ac:dyDescent="0.25">
      <c r="I3008" s="46"/>
      <c r="J3008" s="26"/>
      <c r="K3008" s="26"/>
      <c r="L3008" s="26"/>
      <c r="M3008" s="26"/>
      <c r="N3008" s="26"/>
      <c r="O3008" s="26"/>
      <c r="P3008" s="26"/>
      <c r="Q3008" s="26"/>
      <c r="R3008" s="26"/>
    </row>
    <row r="3009" spans="9:18" x14ac:dyDescent="0.25">
      <c r="I3009" s="46"/>
      <c r="J3009" s="26"/>
      <c r="K3009" s="26"/>
      <c r="L3009" s="26"/>
      <c r="M3009" s="26"/>
      <c r="N3009" s="26"/>
      <c r="O3009" s="26"/>
      <c r="P3009" s="26"/>
      <c r="Q3009" s="26"/>
      <c r="R3009" s="26"/>
    </row>
    <row r="3010" spans="9:18" x14ac:dyDescent="0.25">
      <c r="I3010" s="46"/>
      <c r="J3010" s="26"/>
      <c r="K3010" s="26"/>
      <c r="L3010" s="26"/>
      <c r="M3010" s="26"/>
      <c r="N3010" s="26"/>
      <c r="O3010" s="26"/>
      <c r="P3010" s="26"/>
      <c r="Q3010" s="26"/>
      <c r="R3010" s="26"/>
    </row>
    <row r="3011" spans="9:18" x14ac:dyDescent="0.25">
      <c r="I3011" s="46"/>
      <c r="J3011" s="26"/>
      <c r="K3011" s="26"/>
      <c r="L3011" s="26"/>
      <c r="M3011" s="26"/>
      <c r="N3011" s="26"/>
      <c r="O3011" s="26"/>
      <c r="P3011" s="26"/>
      <c r="Q3011" s="26"/>
      <c r="R3011" s="26"/>
    </row>
    <row r="3012" spans="9:18" x14ac:dyDescent="0.25">
      <c r="I3012" s="46"/>
      <c r="J3012" s="26"/>
      <c r="K3012" s="26"/>
      <c r="L3012" s="26"/>
      <c r="M3012" s="26"/>
      <c r="N3012" s="26"/>
      <c r="O3012" s="26"/>
      <c r="P3012" s="26"/>
      <c r="Q3012" s="26"/>
      <c r="R3012" s="26"/>
    </row>
    <row r="3013" spans="9:18" x14ac:dyDescent="0.25">
      <c r="I3013" s="46"/>
      <c r="J3013" s="26"/>
      <c r="K3013" s="26"/>
      <c r="L3013" s="26"/>
      <c r="M3013" s="26"/>
      <c r="N3013" s="26"/>
      <c r="O3013" s="26"/>
      <c r="P3013" s="26"/>
      <c r="Q3013" s="26"/>
      <c r="R3013" s="26"/>
    </row>
    <row r="3014" spans="9:18" x14ac:dyDescent="0.25">
      <c r="I3014" s="46"/>
      <c r="J3014" s="26"/>
      <c r="K3014" s="26"/>
      <c r="L3014" s="26"/>
      <c r="M3014" s="26"/>
      <c r="N3014" s="26"/>
      <c r="O3014" s="26"/>
      <c r="P3014" s="26"/>
      <c r="Q3014" s="26"/>
      <c r="R3014" s="26"/>
    </row>
    <row r="3015" spans="9:18" x14ac:dyDescent="0.25">
      <c r="I3015" s="46"/>
      <c r="J3015" s="26"/>
      <c r="K3015" s="26"/>
      <c r="L3015" s="26"/>
      <c r="M3015" s="26"/>
      <c r="N3015" s="26"/>
      <c r="O3015" s="26"/>
      <c r="P3015" s="26"/>
      <c r="Q3015" s="26"/>
      <c r="R3015" s="26"/>
    </row>
    <row r="3016" spans="9:18" x14ac:dyDescent="0.25">
      <c r="I3016" s="46"/>
      <c r="J3016" s="26"/>
      <c r="K3016" s="26"/>
      <c r="L3016" s="26"/>
      <c r="M3016" s="26"/>
      <c r="N3016" s="26"/>
      <c r="O3016" s="26"/>
      <c r="P3016" s="26"/>
      <c r="Q3016" s="26"/>
      <c r="R3016" s="26"/>
    </row>
    <row r="3017" spans="9:18" x14ac:dyDescent="0.25">
      <c r="I3017" s="46"/>
      <c r="J3017" s="26"/>
      <c r="K3017" s="26"/>
      <c r="L3017" s="26"/>
      <c r="M3017" s="26"/>
      <c r="N3017" s="26"/>
      <c r="O3017" s="26"/>
      <c r="P3017" s="26"/>
      <c r="Q3017" s="26"/>
      <c r="R3017" s="26"/>
    </row>
    <row r="3018" spans="9:18" x14ac:dyDescent="0.25">
      <c r="I3018" s="46"/>
      <c r="J3018" s="26"/>
      <c r="K3018" s="26"/>
      <c r="L3018" s="26"/>
      <c r="M3018" s="26"/>
      <c r="N3018" s="26"/>
      <c r="O3018" s="26"/>
      <c r="P3018" s="26"/>
      <c r="Q3018" s="26"/>
      <c r="R3018" s="26"/>
    </row>
    <row r="3019" spans="9:18" x14ac:dyDescent="0.25">
      <c r="I3019" s="46"/>
      <c r="J3019" s="26"/>
      <c r="K3019" s="26"/>
      <c r="L3019" s="26"/>
      <c r="M3019" s="26"/>
      <c r="N3019" s="26"/>
      <c r="O3019" s="26"/>
      <c r="P3019" s="26"/>
      <c r="Q3019" s="26"/>
      <c r="R3019" s="26"/>
    </row>
    <row r="3020" spans="9:18" x14ac:dyDescent="0.25">
      <c r="I3020" s="46"/>
      <c r="J3020" s="26"/>
      <c r="K3020" s="26"/>
      <c r="L3020" s="26"/>
      <c r="M3020" s="26"/>
      <c r="N3020" s="26"/>
      <c r="O3020" s="26"/>
      <c r="P3020" s="26"/>
      <c r="Q3020" s="26"/>
      <c r="R3020" s="26"/>
    </row>
    <row r="3021" spans="9:18" x14ac:dyDescent="0.25">
      <c r="I3021" s="46"/>
      <c r="J3021" s="26"/>
      <c r="K3021" s="26"/>
      <c r="L3021" s="26"/>
      <c r="M3021" s="26"/>
      <c r="N3021" s="26"/>
      <c r="O3021" s="26"/>
      <c r="P3021" s="26"/>
      <c r="Q3021" s="26"/>
      <c r="R3021" s="26"/>
    </row>
    <row r="3022" spans="9:18" x14ac:dyDescent="0.25">
      <c r="I3022" s="46"/>
      <c r="J3022" s="26"/>
      <c r="K3022" s="26"/>
      <c r="L3022" s="26"/>
      <c r="M3022" s="26"/>
      <c r="N3022" s="26"/>
      <c r="O3022" s="26"/>
      <c r="P3022" s="26"/>
      <c r="Q3022" s="26"/>
      <c r="R3022" s="26"/>
    </row>
    <row r="3023" spans="9:18" x14ac:dyDescent="0.25">
      <c r="I3023" s="46"/>
      <c r="J3023" s="26"/>
      <c r="K3023" s="26"/>
      <c r="L3023" s="26"/>
      <c r="M3023" s="26"/>
      <c r="N3023" s="26"/>
      <c r="O3023" s="26"/>
      <c r="P3023" s="26"/>
      <c r="Q3023" s="26"/>
      <c r="R3023" s="26"/>
    </row>
    <row r="3024" spans="9:18" x14ac:dyDescent="0.25">
      <c r="I3024" s="46"/>
      <c r="J3024" s="26"/>
      <c r="K3024" s="26"/>
      <c r="L3024" s="26"/>
      <c r="M3024" s="26"/>
      <c r="N3024" s="26"/>
      <c r="O3024" s="26"/>
      <c r="P3024" s="26"/>
      <c r="Q3024" s="26"/>
      <c r="R3024" s="26"/>
    </row>
    <row r="3025" spans="9:18" x14ac:dyDescent="0.25">
      <c r="I3025" s="46"/>
      <c r="J3025" s="26"/>
      <c r="K3025" s="26"/>
      <c r="L3025" s="26"/>
      <c r="M3025" s="26"/>
      <c r="N3025" s="26"/>
      <c r="O3025" s="26"/>
      <c r="P3025" s="26"/>
      <c r="Q3025" s="26"/>
      <c r="R3025" s="26"/>
    </row>
    <row r="3026" spans="9:18" x14ac:dyDescent="0.25">
      <c r="I3026" s="46"/>
      <c r="J3026" s="26"/>
      <c r="K3026" s="26"/>
      <c r="L3026" s="26"/>
      <c r="M3026" s="26"/>
      <c r="N3026" s="26"/>
      <c r="O3026" s="26"/>
      <c r="P3026" s="26"/>
      <c r="Q3026" s="26"/>
      <c r="R3026" s="26"/>
    </row>
    <row r="3027" spans="9:18" x14ac:dyDescent="0.25">
      <c r="I3027" s="46"/>
      <c r="J3027" s="26"/>
      <c r="K3027" s="26"/>
      <c r="L3027" s="26"/>
      <c r="M3027" s="26"/>
      <c r="N3027" s="26"/>
      <c r="O3027" s="26"/>
      <c r="P3027" s="26"/>
      <c r="Q3027" s="26"/>
      <c r="R3027" s="26"/>
    </row>
    <row r="3028" spans="9:18" x14ac:dyDescent="0.25">
      <c r="I3028" s="46"/>
      <c r="J3028" s="26"/>
      <c r="K3028" s="26"/>
      <c r="L3028" s="26"/>
      <c r="M3028" s="26"/>
      <c r="N3028" s="26"/>
      <c r="O3028" s="26"/>
      <c r="P3028" s="26"/>
      <c r="Q3028" s="26"/>
      <c r="R3028" s="26"/>
    </row>
    <row r="3029" spans="9:18" x14ac:dyDescent="0.25">
      <c r="I3029" s="46"/>
      <c r="J3029" s="26"/>
      <c r="K3029" s="26"/>
      <c r="L3029" s="26"/>
      <c r="M3029" s="26"/>
      <c r="N3029" s="26"/>
      <c r="O3029" s="26"/>
      <c r="P3029" s="26"/>
      <c r="Q3029" s="26"/>
      <c r="R3029" s="26"/>
    </row>
    <row r="3030" spans="9:18" x14ac:dyDescent="0.25">
      <c r="I3030" s="46"/>
      <c r="J3030" s="26"/>
      <c r="K3030" s="26"/>
      <c r="L3030" s="26"/>
      <c r="M3030" s="26"/>
      <c r="N3030" s="26"/>
      <c r="O3030" s="26"/>
      <c r="P3030" s="26"/>
      <c r="Q3030" s="26"/>
      <c r="R3030" s="26"/>
    </row>
    <row r="3031" spans="9:18" x14ac:dyDescent="0.25">
      <c r="I3031" s="46"/>
      <c r="J3031" s="26"/>
      <c r="K3031" s="26"/>
      <c r="L3031" s="26"/>
      <c r="M3031" s="26"/>
      <c r="N3031" s="26"/>
      <c r="O3031" s="26"/>
      <c r="P3031" s="26"/>
      <c r="Q3031" s="26"/>
      <c r="R3031" s="26"/>
    </row>
    <row r="3032" spans="9:18" x14ac:dyDescent="0.25">
      <c r="I3032" s="46"/>
      <c r="J3032" s="26"/>
      <c r="K3032" s="26"/>
      <c r="L3032" s="26"/>
      <c r="M3032" s="26"/>
      <c r="N3032" s="26"/>
      <c r="O3032" s="26"/>
      <c r="P3032" s="26"/>
      <c r="Q3032" s="26"/>
      <c r="R3032" s="26"/>
    </row>
    <row r="3033" spans="9:18" x14ac:dyDescent="0.25">
      <c r="I3033" s="46"/>
      <c r="J3033" s="26"/>
      <c r="K3033" s="26"/>
      <c r="L3033" s="26"/>
      <c r="M3033" s="26"/>
      <c r="N3033" s="26"/>
      <c r="O3033" s="26"/>
      <c r="P3033" s="26"/>
      <c r="Q3033" s="26"/>
      <c r="R3033" s="26"/>
    </row>
    <row r="3034" spans="9:18" x14ac:dyDescent="0.25">
      <c r="I3034" s="46"/>
      <c r="J3034" s="26"/>
      <c r="K3034" s="26"/>
      <c r="L3034" s="26"/>
      <c r="M3034" s="26"/>
      <c r="N3034" s="26"/>
      <c r="O3034" s="26"/>
      <c r="P3034" s="26"/>
      <c r="Q3034" s="26"/>
      <c r="R3034" s="26"/>
    </row>
    <row r="3035" spans="9:18" x14ac:dyDescent="0.25">
      <c r="I3035" s="46"/>
      <c r="J3035" s="26"/>
      <c r="K3035" s="26"/>
      <c r="L3035" s="26"/>
      <c r="M3035" s="26"/>
      <c r="N3035" s="26"/>
      <c r="O3035" s="26"/>
      <c r="P3035" s="26"/>
      <c r="Q3035" s="26"/>
      <c r="R3035" s="26"/>
    </row>
    <row r="3036" spans="9:18" x14ac:dyDescent="0.25">
      <c r="I3036" s="46"/>
      <c r="J3036" s="26"/>
      <c r="K3036" s="26"/>
      <c r="L3036" s="26"/>
      <c r="M3036" s="26"/>
      <c r="N3036" s="26"/>
      <c r="O3036" s="26"/>
      <c r="P3036" s="26"/>
      <c r="Q3036" s="26"/>
      <c r="R3036" s="26"/>
    </row>
    <row r="3037" spans="9:18" x14ac:dyDescent="0.25">
      <c r="I3037" s="46"/>
      <c r="J3037" s="26"/>
      <c r="K3037" s="26"/>
      <c r="L3037" s="26"/>
      <c r="M3037" s="26"/>
      <c r="N3037" s="26"/>
      <c r="O3037" s="26"/>
      <c r="P3037" s="26"/>
      <c r="Q3037" s="26"/>
      <c r="R3037" s="26"/>
    </row>
    <row r="3038" spans="9:18" x14ac:dyDescent="0.25">
      <c r="I3038" s="46"/>
      <c r="J3038" s="26"/>
      <c r="K3038" s="26"/>
      <c r="L3038" s="26"/>
      <c r="M3038" s="26"/>
      <c r="N3038" s="26"/>
      <c r="O3038" s="26"/>
      <c r="P3038" s="26"/>
      <c r="Q3038" s="26"/>
      <c r="R3038" s="26"/>
    </row>
    <row r="3039" spans="9:18" x14ac:dyDescent="0.25">
      <c r="I3039" s="46"/>
      <c r="J3039" s="26"/>
      <c r="K3039" s="26"/>
      <c r="L3039" s="26"/>
      <c r="M3039" s="26"/>
      <c r="N3039" s="26"/>
      <c r="O3039" s="26"/>
      <c r="P3039" s="26"/>
      <c r="Q3039" s="26"/>
      <c r="R3039" s="26"/>
    </row>
    <row r="3040" spans="9:18" x14ac:dyDescent="0.25">
      <c r="I3040" s="46"/>
      <c r="J3040" s="26"/>
      <c r="K3040" s="26"/>
      <c r="L3040" s="26"/>
      <c r="M3040" s="26"/>
      <c r="N3040" s="26"/>
      <c r="O3040" s="26"/>
      <c r="P3040" s="26"/>
      <c r="Q3040" s="26"/>
      <c r="R3040" s="26"/>
    </row>
    <row r="3041" spans="9:18" x14ac:dyDescent="0.25">
      <c r="I3041" s="46"/>
      <c r="J3041" s="26"/>
      <c r="K3041" s="26"/>
      <c r="L3041" s="26"/>
      <c r="M3041" s="26"/>
      <c r="N3041" s="26"/>
      <c r="O3041" s="26"/>
      <c r="P3041" s="26"/>
      <c r="Q3041" s="26"/>
      <c r="R3041" s="26"/>
    </row>
    <row r="3042" spans="9:18" x14ac:dyDescent="0.25">
      <c r="I3042" s="46"/>
      <c r="J3042" s="26"/>
      <c r="K3042" s="26"/>
      <c r="L3042" s="26"/>
      <c r="M3042" s="26"/>
      <c r="N3042" s="26"/>
      <c r="O3042" s="26"/>
      <c r="P3042" s="26"/>
      <c r="Q3042" s="26"/>
      <c r="R3042" s="26"/>
    </row>
    <row r="3043" spans="9:18" x14ac:dyDescent="0.25">
      <c r="I3043" s="46"/>
      <c r="J3043" s="26"/>
      <c r="K3043" s="26"/>
      <c r="L3043" s="26"/>
      <c r="M3043" s="26"/>
      <c r="N3043" s="26"/>
      <c r="O3043" s="26"/>
      <c r="P3043" s="26"/>
      <c r="Q3043" s="26"/>
      <c r="R3043" s="26"/>
    </row>
    <row r="3044" spans="9:18" x14ac:dyDescent="0.25">
      <c r="I3044" s="46"/>
      <c r="J3044" s="26"/>
      <c r="K3044" s="26"/>
      <c r="L3044" s="26"/>
      <c r="M3044" s="26"/>
      <c r="N3044" s="26"/>
      <c r="O3044" s="26"/>
      <c r="P3044" s="26"/>
      <c r="Q3044" s="26"/>
      <c r="R3044" s="26"/>
    </row>
    <row r="3045" spans="9:18" x14ac:dyDescent="0.25">
      <c r="I3045" s="46"/>
      <c r="J3045" s="26"/>
      <c r="K3045" s="26"/>
      <c r="L3045" s="26"/>
      <c r="M3045" s="26"/>
      <c r="N3045" s="26"/>
      <c r="O3045" s="26"/>
      <c r="P3045" s="26"/>
      <c r="Q3045" s="26"/>
      <c r="R3045" s="26"/>
    </row>
    <row r="3046" spans="9:18" x14ac:dyDescent="0.25">
      <c r="I3046" s="46"/>
      <c r="J3046" s="26"/>
      <c r="K3046" s="26"/>
      <c r="L3046" s="26"/>
      <c r="M3046" s="26"/>
      <c r="N3046" s="26"/>
      <c r="O3046" s="26"/>
      <c r="P3046" s="26"/>
      <c r="Q3046" s="26"/>
      <c r="R3046" s="26"/>
    </row>
    <row r="3047" spans="9:18" x14ac:dyDescent="0.25">
      <c r="I3047" s="46"/>
      <c r="J3047" s="26"/>
      <c r="K3047" s="26"/>
      <c r="L3047" s="26"/>
      <c r="M3047" s="26"/>
      <c r="N3047" s="26"/>
      <c r="O3047" s="26"/>
      <c r="P3047" s="26"/>
      <c r="Q3047" s="26"/>
      <c r="R3047" s="26"/>
    </row>
    <row r="3048" spans="9:18" x14ac:dyDescent="0.25">
      <c r="I3048" s="46"/>
      <c r="J3048" s="26"/>
      <c r="K3048" s="26"/>
      <c r="L3048" s="26"/>
      <c r="M3048" s="26"/>
      <c r="N3048" s="26"/>
      <c r="O3048" s="26"/>
      <c r="P3048" s="26"/>
      <c r="Q3048" s="26"/>
      <c r="R3048" s="26"/>
    </row>
    <row r="3049" spans="9:18" x14ac:dyDescent="0.25">
      <c r="I3049" s="46"/>
      <c r="J3049" s="26"/>
      <c r="K3049" s="26"/>
      <c r="L3049" s="26"/>
      <c r="M3049" s="26"/>
      <c r="N3049" s="26"/>
      <c r="O3049" s="26"/>
      <c r="P3049" s="26"/>
      <c r="Q3049" s="26"/>
      <c r="R3049" s="26"/>
    </row>
    <row r="3050" spans="9:18" x14ac:dyDescent="0.25">
      <c r="I3050" s="46"/>
      <c r="J3050" s="26"/>
      <c r="K3050" s="26"/>
      <c r="L3050" s="26"/>
      <c r="M3050" s="26"/>
      <c r="N3050" s="26"/>
      <c r="O3050" s="26"/>
      <c r="P3050" s="26"/>
      <c r="Q3050" s="26"/>
      <c r="R3050" s="26"/>
    </row>
    <row r="3051" spans="9:18" x14ac:dyDescent="0.25">
      <c r="I3051" s="46"/>
      <c r="J3051" s="26"/>
      <c r="K3051" s="26"/>
      <c r="L3051" s="26"/>
      <c r="M3051" s="26"/>
      <c r="N3051" s="26"/>
      <c r="O3051" s="26"/>
      <c r="P3051" s="26"/>
      <c r="Q3051" s="26"/>
      <c r="R3051" s="26"/>
    </row>
    <row r="3052" spans="9:18" x14ac:dyDescent="0.25">
      <c r="I3052" s="46"/>
      <c r="J3052" s="26"/>
      <c r="K3052" s="26"/>
      <c r="L3052" s="26"/>
      <c r="M3052" s="26"/>
      <c r="N3052" s="26"/>
      <c r="O3052" s="26"/>
      <c r="P3052" s="26"/>
      <c r="Q3052" s="26"/>
      <c r="R3052" s="26"/>
    </row>
    <row r="3053" spans="9:18" x14ac:dyDescent="0.25">
      <c r="I3053" s="46"/>
      <c r="J3053" s="26"/>
      <c r="K3053" s="26"/>
      <c r="L3053" s="26"/>
      <c r="M3053" s="26"/>
      <c r="N3053" s="26"/>
      <c r="O3053" s="26"/>
      <c r="P3053" s="26"/>
      <c r="Q3053" s="26"/>
      <c r="R3053" s="26"/>
    </row>
    <row r="3054" spans="9:18" x14ac:dyDescent="0.25">
      <c r="I3054" s="46"/>
      <c r="J3054" s="26"/>
      <c r="K3054" s="26"/>
      <c r="L3054" s="26"/>
      <c r="M3054" s="26"/>
      <c r="N3054" s="26"/>
      <c r="O3054" s="26"/>
      <c r="P3054" s="26"/>
      <c r="Q3054" s="26"/>
      <c r="R3054" s="26"/>
    </row>
    <row r="3055" spans="9:18" x14ac:dyDescent="0.25">
      <c r="I3055" s="46"/>
      <c r="J3055" s="26"/>
      <c r="K3055" s="26"/>
      <c r="L3055" s="26"/>
      <c r="M3055" s="26"/>
      <c r="N3055" s="26"/>
      <c r="O3055" s="26"/>
      <c r="P3055" s="26"/>
      <c r="Q3055" s="26"/>
      <c r="R3055" s="26"/>
    </row>
    <row r="3056" spans="9:18" x14ac:dyDescent="0.25">
      <c r="I3056" s="46"/>
      <c r="J3056" s="26"/>
      <c r="K3056" s="26"/>
      <c r="L3056" s="26"/>
      <c r="M3056" s="26"/>
      <c r="N3056" s="26"/>
      <c r="O3056" s="26"/>
      <c r="P3056" s="26"/>
      <c r="Q3056" s="26"/>
      <c r="R3056" s="26"/>
    </row>
    <row r="3057" spans="9:18" x14ac:dyDescent="0.25">
      <c r="I3057" s="46"/>
      <c r="J3057" s="26"/>
      <c r="K3057" s="26"/>
      <c r="L3057" s="26"/>
      <c r="M3057" s="26"/>
      <c r="N3057" s="26"/>
      <c r="O3057" s="26"/>
      <c r="P3057" s="26"/>
      <c r="Q3057" s="26"/>
      <c r="R3057" s="26"/>
    </row>
    <row r="3058" spans="9:18" x14ac:dyDescent="0.25">
      <c r="I3058" s="46"/>
      <c r="J3058" s="26"/>
      <c r="K3058" s="26"/>
      <c r="L3058" s="26"/>
      <c r="M3058" s="26"/>
      <c r="N3058" s="26"/>
      <c r="O3058" s="26"/>
      <c r="P3058" s="26"/>
      <c r="Q3058" s="26"/>
      <c r="R3058" s="26"/>
    </row>
    <row r="3059" spans="9:18" x14ac:dyDescent="0.25">
      <c r="I3059" s="46"/>
      <c r="J3059" s="26"/>
      <c r="K3059" s="26"/>
      <c r="L3059" s="26"/>
      <c r="M3059" s="26"/>
      <c r="N3059" s="26"/>
      <c r="O3059" s="26"/>
      <c r="P3059" s="26"/>
      <c r="Q3059" s="26"/>
      <c r="R3059" s="26"/>
    </row>
    <row r="3060" spans="9:18" x14ac:dyDescent="0.25">
      <c r="I3060" s="46"/>
      <c r="J3060" s="26"/>
      <c r="K3060" s="26"/>
      <c r="L3060" s="26"/>
      <c r="M3060" s="26"/>
      <c r="N3060" s="26"/>
      <c r="O3060" s="26"/>
      <c r="P3060" s="26"/>
      <c r="Q3060" s="26"/>
      <c r="R3060" s="26"/>
    </row>
    <row r="3061" spans="9:18" x14ac:dyDescent="0.25">
      <c r="I3061" s="46"/>
      <c r="J3061" s="26"/>
      <c r="K3061" s="26"/>
      <c r="L3061" s="26"/>
      <c r="M3061" s="26"/>
      <c r="N3061" s="26"/>
      <c r="O3061" s="26"/>
      <c r="P3061" s="26"/>
      <c r="Q3061" s="26"/>
      <c r="R3061" s="26"/>
    </row>
    <row r="3062" spans="9:18" x14ac:dyDescent="0.25">
      <c r="I3062" s="46"/>
      <c r="J3062" s="26"/>
      <c r="K3062" s="26"/>
      <c r="L3062" s="26"/>
      <c r="M3062" s="26"/>
      <c r="N3062" s="26"/>
      <c r="O3062" s="26"/>
      <c r="P3062" s="26"/>
      <c r="Q3062" s="26"/>
      <c r="R3062" s="26"/>
    </row>
    <row r="3063" spans="9:18" x14ac:dyDescent="0.25">
      <c r="I3063" s="46"/>
      <c r="J3063" s="26"/>
      <c r="K3063" s="26"/>
      <c r="L3063" s="26"/>
      <c r="M3063" s="26"/>
      <c r="N3063" s="26"/>
      <c r="O3063" s="26"/>
      <c r="P3063" s="26"/>
      <c r="Q3063" s="26"/>
      <c r="R3063" s="26"/>
    </row>
    <row r="3064" spans="9:18" x14ac:dyDescent="0.25">
      <c r="I3064" s="46"/>
      <c r="J3064" s="26"/>
      <c r="K3064" s="26"/>
      <c r="L3064" s="26"/>
      <c r="M3064" s="26"/>
      <c r="N3064" s="26"/>
      <c r="O3064" s="26"/>
      <c r="P3064" s="26"/>
      <c r="Q3064" s="26"/>
      <c r="R3064" s="26"/>
    </row>
    <row r="3065" spans="9:18" x14ac:dyDescent="0.25">
      <c r="I3065" s="46"/>
      <c r="J3065" s="26"/>
      <c r="K3065" s="26"/>
      <c r="L3065" s="26"/>
      <c r="M3065" s="26"/>
      <c r="N3065" s="26"/>
      <c r="O3065" s="26"/>
      <c r="P3065" s="26"/>
      <c r="Q3065" s="26"/>
      <c r="R3065" s="26"/>
    </row>
    <row r="3066" spans="9:18" x14ac:dyDescent="0.25">
      <c r="I3066" s="46"/>
      <c r="J3066" s="26"/>
      <c r="K3066" s="26"/>
      <c r="L3066" s="26"/>
      <c r="M3066" s="26"/>
      <c r="N3066" s="26"/>
      <c r="O3066" s="26"/>
      <c r="P3066" s="26"/>
      <c r="Q3066" s="26"/>
      <c r="R3066" s="26"/>
    </row>
    <row r="3067" spans="9:18" x14ac:dyDescent="0.25">
      <c r="I3067" s="46"/>
      <c r="J3067" s="26"/>
      <c r="K3067" s="26"/>
      <c r="L3067" s="26"/>
      <c r="M3067" s="26"/>
      <c r="N3067" s="26"/>
      <c r="O3067" s="26"/>
      <c r="P3067" s="26"/>
      <c r="Q3067" s="26"/>
      <c r="R3067" s="26"/>
    </row>
    <row r="3068" spans="9:18" x14ac:dyDescent="0.25">
      <c r="I3068" s="46"/>
      <c r="J3068" s="26"/>
      <c r="K3068" s="26"/>
      <c r="L3068" s="26"/>
      <c r="M3068" s="26"/>
      <c r="N3068" s="26"/>
      <c r="O3068" s="26"/>
      <c r="P3068" s="26"/>
      <c r="Q3068" s="26"/>
      <c r="R3068" s="26"/>
    </row>
    <row r="3069" spans="9:18" x14ac:dyDescent="0.25">
      <c r="I3069" s="46"/>
      <c r="J3069" s="26"/>
      <c r="K3069" s="26"/>
      <c r="L3069" s="26"/>
      <c r="M3069" s="26"/>
      <c r="N3069" s="26"/>
      <c r="O3069" s="26"/>
      <c r="P3069" s="26"/>
      <c r="Q3069" s="26"/>
      <c r="R3069" s="26"/>
    </row>
    <row r="3070" spans="9:18" x14ac:dyDescent="0.25">
      <c r="I3070" s="46"/>
      <c r="J3070" s="26"/>
      <c r="K3070" s="26"/>
      <c r="L3070" s="26"/>
      <c r="M3070" s="26"/>
      <c r="N3070" s="26"/>
      <c r="O3070" s="26"/>
      <c r="P3070" s="26"/>
      <c r="Q3070" s="26"/>
      <c r="R3070" s="26"/>
    </row>
    <row r="3071" spans="9:18" x14ac:dyDescent="0.25">
      <c r="I3071" s="46"/>
      <c r="J3071" s="26"/>
      <c r="K3071" s="26"/>
      <c r="L3071" s="26"/>
      <c r="M3071" s="26"/>
      <c r="N3071" s="26"/>
      <c r="O3071" s="26"/>
      <c r="P3071" s="26"/>
      <c r="Q3071" s="26"/>
      <c r="R3071" s="26"/>
    </row>
    <row r="3072" spans="9:18" x14ac:dyDescent="0.25">
      <c r="I3072" s="46"/>
      <c r="J3072" s="26"/>
      <c r="K3072" s="26"/>
      <c r="L3072" s="26"/>
      <c r="M3072" s="26"/>
      <c r="N3072" s="26"/>
      <c r="O3072" s="26"/>
      <c r="P3072" s="26"/>
      <c r="Q3072" s="26"/>
      <c r="R3072" s="26"/>
    </row>
    <row r="3073" spans="9:18" x14ac:dyDescent="0.25">
      <c r="I3073" s="46"/>
      <c r="J3073" s="26"/>
      <c r="K3073" s="26"/>
      <c r="L3073" s="26"/>
      <c r="M3073" s="26"/>
      <c r="N3073" s="26"/>
      <c r="O3073" s="26"/>
      <c r="P3073" s="26"/>
      <c r="Q3073" s="26"/>
      <c r="R3073" s="26"/>
    </row>
    <row r="3074" spans="9:18" x14ac:dyDescent="0.25">
      <c r="I3074" s="46"/>
      <c r="J3074" s="26"/>
      <c r="K3074" s="26"/>
      <c r="L3074" s="26"/>
      <c r="M3074" s="26"/>
      <c r="N3074" s="26"/>
      <c r="O3074" s="26"/>
      <c r="P3074" s="26"/>
      <c r="Q3074" s="26"/>
      <c r="R3074" s="26"/>
    </row>
    <row r="3075" spans="9:18" x14ac:dyDescent="0.25">
      <c r="I3075" s="46"/>
      <c r="J3075" s="26"/>
      <c r="K3075" s="26"/>
      <c r="L3075" s="26"/>
      <c r="M3075" s="26"/>
      <c r="N3075" s="26"/>
      <c r="O3075" s="26"/>
      <c r="P3075" s="26"/>
      <c r="Q3075" s="26"/>
      <c r="R3075" s="26"/>
    </row>
    <row r="3076" spans="9:18" x14ac:dyDescent="0.25">
      <c r="I3076" s="46"/>
      <c r="J3076" s="26"/>
      <c r="K3076" s="26"/>
      <c r="L3076" s="26"/>
      <c r="M3076" s="26"/>
      <c r="N3076" s="26"/>
      <c r="O3076" s="26"/>
      <c r="P3076" s="26"/>
      <c r="Q3076" s="26"/>
      <c r="R3076" s="26"/>
    </row>
    <row r="3077" spans="9:18" x14ac:dyDescent="0.25">
      <c r="I3077" s="46"/>
      <c r="J3077" s="26"/>
      <c r="K3077" s="26"/>
      <c r="L3077" s="26"/>
      <c r="M3077" s="26"/>
      <c r="N3077" s="26"/>
      <c r="O3077" s="26"/>
      <c r="P3077" s="26"/>
      <c r="Q3077" s="26"/>
      <c r="R3077" s="26"/>
    </row>
    <row r="3078" spans="9:18" x14ac:dyDescent="0.25">
      <c r="I3078" s="46"/>
      <c r="J3078" s="26"/>
      <c r="K3078" s="26"/>
      <c r="L3078" s="26"/>
      <c r="M3078" s="26"/>
      <c r="N3078" s="26"/>
      <c r="O3078" s="26"/>
      <c r="P3078" s="26"/>
      <c r="Q3078" s="26"/>
      <c r="R3078" s="26"/>
    </row>
    <row r="3079" spans="9:18" x14ac:dyDescent="0.25">
      <c r="I3079" s="46"/>
      <c r="J3079" s="26"/>
      <c r="K3079" s="26"/>
      <c r="L3079" s="26"/>
      <c r="M3079" s="26"/>
      <c r="N3079" s="26"/>
      <c r="O3079" s="26"/>
      <c r="P3079" s="26"/>
      <c r="Q3079" s="26"/>
      <c r="R3079" s="26"/>
    </row>
    <row r="3080" spans="9:18" x14ac:dyDescent="0.25">
      <c r="I3080" s="46"/>
      <c r="J3080" s="26"/>
      <c r="K3080" s="26"/>
      <c r="L3080" s="26"/>
      <c r="M3080" s="26"/>
      <c r="N3080" s="26"/>
      <c r="O3080" s="26"/>
      <c r="P3080" s="26"/>
      <c r="Q3080" s="26"/>
      <c r="R3080" s="26"/>
    </row>
    <row r="3081" spans="9:18" x14ac:dyDescent="0.25">
      <c r="I3081" s="46"/>
      <c r="J3081" s="26"/>
      <c r="K3081" s="26"/>
      <c r="L3081" s="26"/>
      <c r="M3081" s="26"/>
      <c r="N3081" s="26"/>
      <c r="O3081" s="26"/>
      <c r="P3081" s="26"/>
      <c r="Q3081" s="26"/>
      <c r="R3081" s="26"/>
    </row>
    <row r="3082" spans="9:18" x14ac:dyDescent="0.25">
      <c r="I3082" s="46"/>
      <c r="J3082" s="26"/>
      <c r="K3082" s="26"/>
      <c r="L3082" s="26"/>
      <c r="M3082" s="26"/>
      <c r="N3082" s="26"/>
      <c r="O3082" s="26"/>
      <c r="P3082" s="26"/>
      <c r="Q3082" s="26"/>
      <c r="R3082" s="26"/>
    </row>
    <row r="3083" spans="9:18" x14ac:dyDescent="0.25">
      <c r="I3083" s="46"/>
      <c r="J3083" s="26"/>
      <c r="K3083" s="26"/>
      <c r="L3083" s="26"/>
      <c r="M3083" s="26"/>
      <c r="N3083" s="26"/>
      <c r="O3083" s="26"/>
      <c r="P3083" s="26"/>
      <c r="Q3083" s="26"/>
      <c r="R3083" s="26"/>
    </row>
    <row r="3084" spans="9:18" x14ac:dyDescent="0.25">
      <c r="I3084" s="46"/>
      <c r="J3084" s="26"/>
      <c r="K3084" s="26"/>
      <c r="L3084" s="26"/>
      <c r="M3084" s="26"/>
      <c r="N3084" s="26"/>
      <c r="O3084" s="26"/>
      <c r="P3084" s="26"/>
      <c r="Q3084" s="26"/>
      <c r="R3084" s="26"/>
    </row>
    <row r="3085" spans="9:18" x14ac:dyDescent="0.25">
      <c r="I3085" s="46"/>
      <c r="J3085" s="26"/>
      <c r="K3085" s="26"/>
      <c r="L3085" s="26"/>
      <c r="M3085" s="26"/>
      <c r="N3085" s="26"/>
      <c r="O3085" s="26"/>
      <c r="P3085" s="26"/>
      <c r="Q3085" s="26"/>
      <c r="R3085" s="26"/>
    </row>
    <row r="3086" spans="9:18" x14ac:dyDescent="0.25">
      <c r="I3086" s="46"/>
      <c r="J3086" s="26"/>
      <c r="K3086" s="26"/>
      <c r="L3086" s="26"/>
      <c r="M3086" s="26"/>
      <c r="N3086" s="26"/>
      <c r="O3086" s="26"/>
      <c r="P3086" s="26"/>
      <c r="Q3086" s="26"/>
      <c r="R3086" s="26"/>
    </row>
    <row r="3087" spans="9:18" x14ac:dyDescent="0.25">
      <c r="I3087" s="46"/>
      <c r="J3087" s="26"/>
      <c r="K3087" s="26"/>
      <c r="L3087" s="26"/>
      <c r="M3087" s="26"/>
      <c r="N3087" s="26"/>
      <c r="O3087" s="26"/>
      <c r="P3087" s="26"/>
      <c r="Q3087" s="26"/>
      <c r="R3087" s="26"/>
    </row>
    <row r="3088" spans="9:18" x14ac:dyDescent="0.25">
      <c r="I3088" s="46"/>
      <c r="J3088" s="26"/>
      <c r="K3088" s="26"/>
      <c r="L3088" s="26"/>
      <c r="M3088" s="26"/>
      <c r="N3088" s="26"/>
      <c r="O3088" s="26"/>
      <c r="P3088" s="26"/>
      <c r="Q3088" s="26"/>
      <c r="R3088" s="26"/>
    </row>
    <row r="3089" spans="9:18" x14ac:dyDescent="0.25">
      <c r="I3089" s="46"/>
      <c r="J3089" s="26"/>
      <c r="K3089" s="26"/>
      <c r="L3089" s="26"/>
      <c r="M3089" s="26"/>
      <c r="N3089" s="26"/>
      <c r="O3089" s="26"/>
      <c r="P3089" s="26"/>
      <c r="Q3089" s="26"/>
      <c r="R3089" s="26"/>
    </row>
    <row r="3090" spans="9:18" x14ac:dyDescent="0.25">
      <c r="I3090" s="46"/>
      <c r="J3090" s="26"/>
      <c r="K3090" s="26"/>
      <c r="L3090" s="26"/>
      <c r="M3090" s="26"/>
      <c r="N3090" s="26"/>
      <c r="O3090" s="26"/>
      <c r="P3090" s="26"/>
      <c r="Q3090" s="26"/>
      <c r="R3090" s="26"/>
    </row>
    <row r="3091" spans="9:18" x14ac:dyDescent="0.25">
      <c r="I3091" s="46"/>
      <c r="J3091" s="26"/>
      <c r="K3091" s="26"/>
      <c r="L3091" s="26"/>
      <c r="M3091" s="26"/>
      <c r="N3091" s="26"/>
      <c r="O3091" s="26"/>
      <c r="P3091" s="26"/>
      <c r="Q3091" s="26"/>
      <c r="R3091" s="26"/>
    </row>
    <row r="3092" spans="9:18" x14ac:dyDescent="0.25">
      <c r="I3092" s="46"/>
      <c r="J3092" s="26"/>
      <c r="K3092" s="26"/>
      <c r="L3092" s="26"/>
      <c r="M3092" s="26"/>
      <c r="N3092" s="26"/>
      <c r="O3092" s="26"/>
      <c r="P3092" s="26"/>
      <c r="Q3092" s="26"/>
      <c r="R3092" s="26"/>
    </row>
    <row r="3093" spans="9:18" x14ac:dyDescent="0.25">
      <c r="I3093" s="46"/>
      <c r="J3093" s="26"/>
      <c r="K3093" s="26"/>
      <c r="L3093" s="26"/>
      <c r="M3093" s="26"/>
      <c r="N3093" s="26"/>
      <c r="O3093" s="26"/>
      <c r="P3093" s="26"/>
      <c r="Q3093" s="26"/>
      <c r="R3093" s="26"/>
    </row>
    <row r="3094" spans="9:18" x14ac:dyDescent="0.25">
      <c r="I3094" s="46"/>
      <c r="J3094" s="26"/>
      <c r="K3094" s="26"/>
      <c r="L3094" s="26"/>
      <c r="M3094" s="26"/>
      <c r="N3094" s="26"/>
      <c r="O3094" s="26"/>
      <c r="P3094" s="26"/>
      <c r="Q3094" s="26"/>
      <c r="R3094" s="26"/>
    </row>
    <row r="3095" spans="9:18" x14ac:dyDescent="0.25">
      <c r="I3095" s="46"/>
      <c r="J3095" s="26"/>
      <c r="K3095" s="26"/>
      <c r="L3095" s="26"/>
      <c r="M3095" s="26"/>
      <c r="N3095" s="26"/>
      <c r="O3095" s="26"/>
      <c r="P3095" s="26"/>
      <c r="Q3095" s="26"/>
      <c r="R3095" s="26"/>
    </row>
    <row r="3096" spans="9:18" x14ac:dyDescent="0.25">
      <c r="I3096" s="46"/>
      <c r="J3096" s="26"/>
      <c r="K3096" s="26"/>
      <c r="L3096" s="26"/>
      <c r="M3096" s="26"/>
      <c r="N3096" s="26"/>
      <c r="O3096" s="26"/>
      <c r="P3096" s="26"/>
      <c r="Q3096" s="26"/>
      <c r="R3096" s="26"/>
    </row>
    <row r="3097" spans="9:18" x14ac:dyDescent="0.25">
      <c r="I3097" s="46"/>
      <c r="J3097" s="26"/>
      <c r="K3097" s="26"/>
      <c r="L3097" s="26"/>
      <c r="M3097" s="26"/>
      <c r="N3097" s="26"/>
      <c r="O3097" s="26"/>
      <c r="P3097" s="26"/>
      <c r="Q3097" s="26"/>
      <c r="R3097" s="26"/>
    </row>
    <row r="3098" spans="9:18" x14ac:dyDescent="0.25">
      <c r="I3098" s="46"/>
      <c r="J3098" s="26"/>
      <c r="K3098" s="26"/>
      <c r="L3098" s="26"/>
      <c r="M3098" s="26"/>
      <c r="N3098" s="26"/>
      <c r="O3098" s="26"/>
      <c r="P3098" s="26"/>
      <c r="Q3098" s="26"/>
      <c r="R3098" s="26"/>
    </row>
    <row r="3099" spans="9:18" x14ac:dyDescent="0.25">
      <c r="I3099" s="46"/>
      <c r="J3099" s="26"/>
      <c r="K3099" s="26"/>
      <c r="L3099" s="26"/>
      <c r="M3099" s="26"/>
      <c r="N3099" s="26"/>
      <c r="O3099" s="26"/>
      <c r="P3099" s="26"/>
      <c r="Q3099" s="26"/>
      <c r="R3099" s="26"/>
    </row>
    <row r="3100" spans="9:18" x14ac:dyDescent="0.25">
      <c r="I3100" s="46"/>
      <c r="J3100" s="26"/>
      <c r="K3100" s="26"/>
      <c r="L3100" s="26"/>
      <c r="M3100" s="26"/>
      <c r="N3100" s="26"/>
      <c r="O3100" s="26"/>
      <c r="P3100" s="26"/>
      <c r="Q3100" s="26"/>
      <c r="R3100" s="26"/>
    </row>
    <row r="3101" spans="9:18" x14ac:dyDescent="0.25">
      <c r="I3101" s="46"/>
      <c r="J3101" s="26"/>
      <c r="K3101" s="26"/>
      <c r="L3101" s="26"/>
      <c r="M3101" s="26"/>
      <c r="N3101" s="26"/>
      <c r="O3101" s="26"/>
      <c r="P3101" s="26"/>
      <c r="Q3101" s="26"/>
      <c r="R3101" s="26"/>
    </row>
    <row r="3102" spans="9:18" x14ac:dyDescent="0.25">
      <c r="I3102" s="46"/>
      <c r="J3102" s="26"/>
      <c r="K3102" s="26"/>
      <c r="L3102" s="26"/>
      <c r="M3102" s="26"/>
      <c r="N3102" s="26"/>
      <c r="O3102" s="26"/>
      <c r="P3102" s="26"/>
      <c r="Q3102" s="26"/>
      <c r="R3102" s="26"/>
    </row>
    <row r="3103" spans="9:18" x14ac:dyDescent="0.25">
      <c r="I3103" s="46"/>
      <c r="J3103" s="26"/>
      <c r="K3103" s="26"/>
      <c r="L3103" s="26"/>
      <c r="M3103" s="26"/>
      <c r="N3103" s="26"/>
      <c r="O3103" s="26"/>
      <c r="P3103" s="26"/>
      <c r="Q3103" s="26"/>
      <c r="R3103" s="26"/>
    </row>
    <row r="3104" spans="9:18" x14ac:dyDescent="0.25">
      <c r="I3104" s="46"/>
      <c r="J3104" s="26"/>
      <c r="K3104" s="26"/>
      <c r="L3104" s="26"/>
      <c r="M3104" s="26"/>
      <c r="N3104" s="26"/>
      <c r="O3104" s="26"/>
      <c r="P3104" s="26"/>
      <c r="Q3104" s="26"/>
      <c r="R3104" s="26"/>
    </row>
    <row r="3105" spans="9:18" x14ac:dyDescent="0.25">
      <c r="I3105" s="46"/>
      <c r="J3105" s="26"/>
      <c r="K3105" s="26"/>
      <c r="L3105" s="26"/>
      <c r="M3105" s="26"/>
      <c r="N3105" s="26"/>
      <c r="O3105" s="26"/>
      <c r="P3105" s="26"/>
      <c r="Q3105" s="26"/>
      <c r="R3105" s="26"/>
    </row>
    <row r="3106" spans="9:18" x14ac:dyDescent="0.25">
      <c r="I3106" s="46"/>
      <c r="J3106" s="26"/>
      <c r="K3106" s="26"/>
      <c r="L3106" s="26"/>
      <c r="M3106" s="26"/>
      <c r="N3106" s="26"/>
      <c r="O3106" s="26"/>
      <c r="P3106" s="26"/>
      <c r="Q3106" s="26"/>
      <c r="R3106" s="26"/>
    </row>
    <row r="3107" spans="9:18" x14ac:dyDescent="0.25">
      <c r="I3107" s="46"/>
      <c r="J3107" s="26"/>
      <c r="K3107" s="26"/>
      <c r="L3107" s="26"/>
      <c r="M3107" s="26"/>
      <c r="N3107" s="26"/>
      <c r="O3107" s="26"/>
      <c r="P3107" s="26"/>
      <c r="Q3107" s="26"/>
      <c r="R3107" s="26"/>
    </row>
    <row r="3108" spans="9:18" x14ac:dyDescent="0.25">
      <c r="I3108" s="46"/>
      <c r="J3108" s="26"/>
      <c r="K3108" s="26"/>
      <c r="L3108" s="26"/>
      <c r="M3108" s="26"/>
      <c r="N3108" s="26"/>
      <c r="O3108" s="26"/>
      <c r="P3108" s="26"/>
      <c r="Q3108" s="26"/>
      <c r="R3108" s="26"/>
    </row>
    <row r="3109" spans="9:18" x14ac:dyDescent="0.25">
      <c r="I3109" s="46"/>
      <c r="J3109" s="26"/>
      <c r="K3109" s="26"/>
      <c r="L3109" s="26"/>
      <c r="M3109" s="26"/>
      <c r="N3109" s="26"/>
      <c r="O3109" s="26"/>
      <c r="P3109" s="26"/>
      <c r="Q3109" s="26"/>
      <c r="R3109" s="26"/>
    </row>
    <row r="3110" spans="9:18" x14ac:dyDescent="0.25">
      <c r="I3110" s="46"/>
      <c r="J3110" s="26"/>
      <c r="K3110" s="26"/>
      <c r="L3110" s="26"/>
      <c r="M3110" s="26"/>
      <c r="N3110" s="26"/>
      <c r="O3110" s="26"/>
      <c r="P3110" s="26"/>
      <c r="Q3110" s="26"/>
      <c r="R3110" s="26"/>
    </row>
    <row r="3111" spans="9:18" x14ac:dyDescent="0.25">
      <c r="I3111" s="46"/>
      <c r="J3111" s="26"/>
      <c r="K3111" s="26"/>
      <c r="L3111" s="26"/>
      <c r="M3111" s="26"/>
      <c r="N3111" s="26"/>
      <c r="O3111" s="26"/>
      <c r="P3111" s="26"/>
      <c r="Q3111" s="26"/>
      <c r="R3111" s="26"/>
    </row>
    <row r="3112" spans="9:18" x14ac:dyDescent="0.25">
      <c r="I3112" s="46"/>
      <c r="J3112" s="26"/>
      <c r="K3112" s="26"/>
      <c r="L3112" s="26"/>
      <c r="M3112" s="26"/>
      <c r="N3112" s="26"/>
      <c r="O3112" s="26"/>
      <c r="P3112" s="26"/>
      <c r="Q3112" s="26"/>
      <c r="R3112" s="26"/>
    </row>
    <row r="3113" spans="9:18" x14ac:dyDescent="0.25">
      <c r="I3113" s="46"/>
      <c r="J3113" s="26"/>
      <c r="K3113" s="26"/>
      <c r="L3113" s="26"/>
      <c r="M3113" s="26"/>
      <c r="N3113" s="26"/>
      <c r="O3113" s="26"/>
      <c r="P3113" s="26"/>
      <c r="Q3113" s="26"/>
      <c r="R3113" s="26"/>
    </row>
    <row r="3114" spans="9:18" x14ac:dyDescent="0.25">
      <c r="I3114" s="46"/>
      <c r="J3114" s="26"/>
      <c r="K3114" s="26"/>
      <c r="L3114" s="26"/>
      <c r="M3114" s="26"/>
      <c r="N3114" s="26"/>
      <c r="O3114" s="26"/>
      <c r="P3114" s="26"/>
      <c r="Q3114" s="26"/>
      <c r="R3114" s="26"/>
    </row>
    <row r="3115" spans="9:18" x14ac:dyDescent="0.25">
      <c r="I3115" s="46"/>
      <c r="J3115" s="26"/>
      <c r="K3115" s="26"/>
      <c r="L3115" s="26"/>
      <c r="M3115" s="26"/>
      <c r="N3115" s="26"/>
      <c r="O3115" s="26"/>
      <c r="P3115" s="26"/>
      <c r="Q3115" s="26"/>
      <c r="R3115" s="26"/>
    </row>
    <row r="3116" spans="9:18" x14ac:dyDescent="0.25">
      <c r="I3116" s="46"/>
      <c r="J3116" s="26"/>
      <c r="K3116" s="26"/>
      <c r="L3116" s="26"/>
      <c r="M3116" s="26"/>
      <c r="N3116" s="26"/>
      <c r="O3116" s="26"/>
      <c r="P3116" s="26"/>
      <c r="Q3116" s="26"/>
      <c r="R3116" s="26"/>
    </row>
    <row r="3117" spans="9:18" x14ac:dyDescent="0.25">
      <c r="I3117" s="46"/>
      <c r="J3117" s="26"/>
      <c r="K3117" s="26"/>
      <c r="L3117" s="26"/>
      <c r="M3117" s="26"/>
      <c r="N3117" s="26"/>
      <c r="O3117" s="26"/>
      <c r="P3117" s="26"/>
      <c r="Q3117" s="26"/>
      <c r="R3117" s="26"/>
    </row>
    <row r="3118" spans="9:18" x14ac:dyDescent="0.25">
      <c r="I3118" s="46"/>
      <c r="J3118" s="26"/>
      <c r="K3118" s="26"/>
      <c r="L3118" s="26"/>
      <c r="M3118" s="26"/>
      <c r="N3118" s="26"/>
      <c r="O3118" s="26"/>
      <c r="P3118" s="26"/>
      <c r="Q3118" s="26"/>
      <c r="R3118" s="26"/>
    </row>
    <row r="3119" spans="9:18" x14ac:dyDescent="0.25">
      <c r="I3119" s="46"/>
      <c r="J3119" s="26"/>
      <c r="K3119" s="26"/>
      <c r="L3119" s="26"/>
      <c r="M3119" s="26"/>
      <c r="N3119" s="26"/>
      <c r="O3119" s="26"/>
      <c r="P3119" s="26"/>
      <c r="Q3119" s="26"/>
      <c r="R3119" s="26"/>
    </row>
    <row r="3120" spans="9:18" x14ac:dyDescent="0.25">
      <c r="I3120" s="46"/>
      <c r="J3120" s="26"/>
      <c r="K3120" s="26"/>
      <c r="L3120" s="26"/>
      <c r="M3120" s="26"/>
      <c r="N3120" s="26"/>
      <c r="O3120" s="26"/>
      <c r="P3120" s="26"/>
      <c r="Q3120" s="26"/>
      <c r="R3120" s="26"/>
    </row>
    <row r="3121" spans="9:18" x14ac:dyDescent="0.25">
      <c r="I3121" s="46"/>
      <c r="J3121" s="26"/>
      <c r="K3121" s="26"/>
      <c r="L3121" s="26"/>
      <c r="M3121" s="26"/>
      <c r="N3121" s="26"/>
      <c r="O3121" s="26"/>
      <c r="P3121" s="26"/>
      <c r="Q3121" s="26"/>
      <c r="R3121" s="26"/>
    </row>
    <row r="3122" spans="9:18" x14ac:dyDescent="0.25">
      <c r="I3122" s="46"/>
      <c r="J3122" s="26"/>
      <c r="K3122" s="26"/>
      <c r="L3122" s="26"/>
      <c r="M3122" s="26"/>
      <c r="N3122" s="26"/>
      <c r="O3122" s="26"/>
      <c r="P3122" s="26"/>
      <c r="Q3122" s="26"/>
      <c r="R3122" s="26"/>
    </row>
    <row r="3123" spans="9:18" x14ac:dyDescent="0.25">
      <c r="I3123" s="46"/>
      <c r="J3123" s="26"/>
      <c r="K3123" s="26"/>
      <c r="L3123" s="26"/>
      <c r="M3123" s="26"/>
      <c r="N3123" s="26"/>
      <c r="O3123" s="26"/>
      <c r="P3123" s="26"/>
      <c r="Q3123" s="26"/>
      <c r="R3123" s="26"/>
    </row>
    <row r="3124" spans="9:18" x14ac:dyDescent="0.25">
      <c r="I3124" s="46"/>
      <c r="J3124" s="26"/>
      <c r="K3124" s="26"/>
      <c r="L3124" s="26"/>
      <c r="M3124" s="26"/>
      <c r="N3124" s="26"/>
      <c r="O3124" s="26"/>
      <c r="P3124" s="26"/>
      <c r="Q3124" s="26"/>
      <c r="R3124" s="26"/>
    </row>
    <row r="3125" spans="9:18" x14ac:dyDescent="0.25">
      <c r="I3125" s="46"/>
      <c r="J3125" s="26"/>
      <c r="K3125" s="26"/>
      <c r="L3125" s="26"/>
      <c r="M3125" s="26"/>
      <c r="N3125" s="26"/>
      <c r="O3125" s="26"/>
      <c r="P3125" s="26"/>
      <c r="Q3125" s="26"/>
      <c r="R3125" s="26"/>
    </row>
    <row r="3126" spans="9:18" x14ac:dyDescent="0.25">
      <c r="I3126" s="46"/>
      <c r="J3126" s="26"/>
      <c r="K3126" s="26"/>
      <c r="L3126" s="26"/>
      <c r="M3126" s="26"/>
      <c r="N3126" s="26"/>
      <c r="O3126" s="26"/>
      <c r="P3126" s="26"/>
      <c r="Q3126" s="26"/>
      <c r="R3126" s="26"/>
    </row>
    <row r="3127" spans="9:18" x14ac:dyDescent="0.25">
      <c r="I3127" s="46"/>
      <c r="J3127" s="26"/>
      <c r="K3127" s="26"/>
      <c r="L3127" s="26"/>
      <c r="M3127" s="26"/>
      <c r="N3127" s="26"/>
      <c r="O3127" s="26"/>
      <c r="P3127" s="26"/>
      <c r="Q3127" s="26"/>
      <c r="R3127" s="26"/>
    </row>
    <row r="3128" spans="9:18" x14ac:dyDescent="0.25">
      <c r="I3128" s="46"/>
      <c r="J3128" s="26"/>
      <c r="K3128" s="26"/>
      <c r="L3128" s="26"/>
      <c r="M3128" s="26"/>
      <c r="N3128" s="26"/>
      <c r="O3128" s="26"/>
      <c r="P3128" s="26"/>
      <c r="Q3128" s="26"/>
      <c r="R3128" s="26"/>
    </row>
    <row r="3129" spans="9:18" x14ac:dyDescent="0.25">
      <c r="I3129" s="46"/>
      <c r="J3129" s="26"/>
      <c r="K3129" s="26"/>
      <c r="L3129" s="26"/>
      <c r="M3129" s="26"/>
      <c r="N3129" s="26"/>
      <c r="O3129" s="26"/>
      <c r="P3129" s="26"/>
      <c r="Q3129" s="26"/>
      <c r="R3129" s="26"/>
    </row>
    <row r="3130" spans="9:18" x14ac:dyDescent="0.25">
      <c r="I3130" s="46"/>
      <c r="J3130" s="26"/>
      <c r="K3130" s="26"/>
      <c r="L3130" s="26"/>
      <c r="M3130" s="26"/>
      <c r="N3130" s="26"/>
      <c r="O3130" s="26"/>
      <c r="P3130" s="26"/>
      <c r="Q3130" s="26"/>
      <c r="R3130" s="26"/>
    </row>
    <row r="3131" spans="9:18" x14ac:dyDescent="0.25">
      <c r="I3131" s="46"/>
      <c r="J3131" s="26"/>
      <c r="K3131" s="26"/>
      <c r="L3131" s="26"/>
      <c r="M3131" s="26"/>
      <c r="N3131" s="26"/>
      <c r="O3131" s="26"/>
      <c r="P3131" s="26"/>
      <c r="Q3131" s="26"/>
      <c r="R3131" s="26"/>
    </row>
    <row r="3132" spans="9:18" x14ac:dyDescent="0.25">
      <c r="I3132" s="46"/>
      <c r="J3132" s="26"/>
      <c r="K3132" s="26"/>
      <c r="L3132" s="26"/>
      <c r="M3132" s="26"/>
      <c r="N3132" s="26"/>
      <c r="O3132" s="26"/>
      <c r="P3132" s="26"/>
      <c r="Q3132" s="26"/>
      <c r="R3132" s="26"/>
    </row>
    <row r="3133" spans="9:18" x14ac:dyDescent="0.25">
      <c r="I3133" s="46"/>
      <c r="J3133" s="26"/>
      <c r="K3133" s="26"/>
      <c r="L3133" s="26"/>
      <c r="M3133" s="26"/>
      <c r="N3133" s="26"/>
      <c r="O3133" s="26"/>
      <c r="P3133" s="26"/>
      <c r="Q3133" s="26"/>
      <c r="R3133" s="26"/>
    </row>
    <row r="3134" spans="9:18" x14ac:dyDescent="0.25">
      <c r="I3134" s="46"/>
      <c r="J3134" s="26"/>
      <c r="K3134" s="26"/>
      <c r="L3134" s="26"/>
      <c r="M3134" s="26"/>
      <c r="N3134" s="26"/>
      <c r="O3134" s="26"/>
      <c r="P3134" s="26"/>
      <c r="Q3134" s="26"/>
      <c r="R3134" s="26"/>
    </row>
    <row r="3135" spans="9:18" x14ac:dyDescent="0.25">
      <c r="I3135" s="46"/>
      <c r="J3135" s="26"/>
      <c r="K3135" s="26"/>
      <c r="L3135" s="26"/>
      <c r="M3135" s="26"/>
      <c r="N3135" s="26"/>
      <c r="O3135" s="26"/>
      <c r="P3135" s="26"/>
      <c r="Q3135" s="26"/>
      <c r="R3135" s="26"/>
    </row>
    <row r="3136" spans="9:18" x14ac:dyDescent="0.25">
      <c r="I3136" s="46"/>
      <c r="J3136" s="26"/>
      <c r="K3136" s="26"/>
      <c r="L3136" s="26"/>
      <c r="M3136" s="26"/>
      <c r="N3136" s="26"/>
      <c r="O3136" s="26"/>
      <c r="P3136" s="26"/>
      <c r="Q3136" s="26"/>
      <c r="R3136" s="26"/>
    </row>
    <row r="3137" spans="9:18" x14ac:dyDescent="0.25">
      <c r="I3137" s="46"/>
      <c r="J3137" s="26"/>
      <c r="K3137" s="26"/>
      <c r="L3137" s="26"/>
      <c r="M3137" s="26"/>
      <c r="N3137" s="26"/>
      <c r="O3137" s="26"/>
      <c r="P3137" s="26"/>
      <c r="Q3137" s="26"/>
      <c r="R3137" s="26"/>
    </row>
    <row r="3138" spans="9:18" x14ac:dyDescent="0.25">
      <c r="I3138" s="46"/>
      <c r="J3138" s="26"/>
      <c r="K3138" s="26"/>
      <c r="L3138" s="26"/>
      <c r="M3138" s="26"/>
      <c r="N3138" s="26"/>
      <c r="O3138" s="26"/>
      <c r="P3138" s="26"/>
      <c r="Q3138" s="26"/>
      <c r="R3138" s="26"/>
    </row>
    <row r="3139" spans="9:18" x14ac:dyDescent="0.25">
      <c r="I3139" s="46"/>
      <c r="J3139" s="26"/>
      <c r="K3139" s="26"/>
      <c r="L3139" s="26"/>
      <c r="M3139" s="26"/>
      <c r="N3139" s="26"/>
      <c r="O3139" s="26"/>
      <c r="P3139" s="26"/>
      <c r="Q3139" s="26"/>
      <c r="R3139" s="26"/>
    </row>
    <row r="3140" spans="9:18" x14ac:dyDescent="0.25">
      <c r="I3140" s="46"/>
      <c r="J3140" s="26"/>
      <c r="K3140" s="26"/>
      <c r="L3140" s="26"/>
      <c r="M3140" s="26"/>
      <c r="N3140" s="26"/>
      <c r="O3140" s="26"/>
      <c r="P3140" s="26"/>
      <c r="Q3140" s="26"/>
      <c r="R3140" s="26"/>
    </row>
    <row r="3141" spans="9:18" x14ac:dyDescent="0.25">
      <c r="I3141" s="46"/>
      <c r="J3141" s="26"/>
      <c r="K3141" s="26"/>
      <c r="L3141" s="26"/>
      <c r="M3141" s="26"/>
      <c r="N3141" s="26"/>
      <c r="O3141" s="26"/>
      <c r="P3141" s="26"/>
      <c r="Q3141" s="26"/>
      <c r="R3141" s="26"/>
    </row>
    <row r="3142" spans="9:18" x14ac:dyDescent="0.25">
      <c r="I3142" s="46"/>
      <c r="J3142" s="26"/>
      <c r="K3142" s="26"/>
      <c r="L3142" s="26"/>
      <c r="M3142" s="26"/>
      <c r="N3142" s="26"/>
      <c r="O3142" s="26"/>
      <c r="P3142" s="26"/>
      <c r="Q3142" s="26"/>
      <c r="R3142" s="26"/>
    </row>
    <row r="3143" spans="9:18" x14ac:dyDescent="0.25">
      <c r="I3143" s="46"/>
      <c r="J3143" s="26"/>
      <c r="K3143" s="26"/>
      <c r="L3143" s="26"/>
      <c r="M3143" s="26"/>
      <c r="N3143" s="26"/>
      <c r="O3143" s="26"/>
      <c r="P3143" s="26"/>
      <c r="Q3143" s="26"/>
      <c r="R3143" s="26"/>
    </row>
    <row r="3144" spans="9:18" x14ac:dyDescent="0.25">
      <c r="I3144" s="46"/>
      <c r="J3144" s="26"/>
      <c r="K3144" s="26"/>
      <c r="L3144" s="26"/>
      <c r="M3144" s="26"/>
      <c r="N3144" s="26"/>
      <c r="O3144" s="26"/>
      <c r="P3144" s="26"/>
      <c r="Q3144" s="26"/>
      <c r="R3144" s="26"/>
    </row>
    <row r="3145" spans="9:18" x14ac:dyDescent="0.25">
      <c r="I3145" s="46"/>
      <c r="J3145" s="26"/>
      <c r="K3145" s="26"/>
      <c r="L3145" s="26"/>
      <c r="M3145" s="26"/>
      <c r="N3145" s="26"/>
      <c r="O3145" s="26"/>
      <c r="P3145" s="26"/>
      <c r="Q3145" s="26"/>
      <c r="R3145" s="26"/>
    </row>
    <row r="3146" spans="9:18" x14ac:dyDescent="0.25">
      <c r="I3146" s="46"/>
      <c r="J3146" s="26"/>
      <c r="K3146" s="26"/>
      <c r="L3146" s="26"/>
      <c r="M3146" s="26"/>
      <c r="N3146" s="26"/>
      <c r="O3146" s="26"/>
      <c r="P3146" s="26"/>
      <c r="Q3146" s="26"/>
      <c r="R3146" s="26"/>
    </row>
    <row r="3147" spans="9:18" x14ac:dyDescent="0.25">
      <c r="I3147" s="46"/>
      <c r="J3147" s="26"/>
      <c r="K3147" s="26"/>
      <c r="L3147" s="26"/>
      <c r="M3147" s="26"/>
      <c r="N3147" s="26"/>
      <c r="O3147" s="26"/>
      <c r="P3147" s="26"/>
      <c r="Q3147" s="26"/>
      <c r="R3147" s="26"/>
    </row>
    <row r="3148" spans="9:18" x14ac:dyDescent="0.25">
      <c r="I3148" s="46"/>
      <c r="J3148" s="26"/>
      <c r="K3148" s="26"/>
      <c r="L3148" s="26"/>
      <c r="M3148" s="26"/>
      <c r="N3148" s="26"/>
      <c r="O3148" s="26"/>
      <c r="P3148" s="26"/>
      <c r="Q3148" s="26"/>
      <c r="R3148" s="26"/>
    </row>
    <row r="3149" spans="9:18" x14ac:dyDescent="0.25">
      <c r="I3149" s="46"/>
      <c r="J3149" s="26"/>
      <c r="K3149" s="26"/>
      <c r="L3149" s="26"/>
      <c r="M3149" s="26"/>
      <c r="N3149" s="26"/>
      <c r="O3149" s="26"/>
      <c r="P3149" s="26"/>
      <c r="Q3149" s="26"/>
      <c r="R3149" s="26"/>
    </row>
    <row r="3150" spans="9:18" x14ac:dyDescent="0.25">
      <c r="I3150" s="46"/>
      <c r="J3150" s="26"/>
      <c r="K3150" s="26"/>
      <c r="L3150" s="26"/>
      <c r="M3150" s="26"/>
      <c r="N3150" s="26"/>
      <c r="O3150" s="26"/>
      <c r="P3150" s="26"/>
      <c r="Q3150" s="26"/>
      <c r="R3150" s="26"/>
    </row>
    <row r="3151" spans="9:18" x14ac:dyDescent="0.25">
      <c r="I3151" s="46"/>
      <c r="J3151" s="26"/>
      <c r="K3151" s="26"/>
      <c r="L3151" s="26"/>
      <c r="M3151" s="26"/>
      <c r="N3151" s="26"/>
      <c r="O3151" s="26"/>
      <c r="P3151" s="26"/>
      <c r="Q3151" s="26"/>
      <c r="R3151" s="26"/>
    </row>
    <row r="3152" spans="9:18" x14ac:dyDescent="0.25">
      <c r="I3152" s="46"/>
      <c r="J3152" s="26"/>
      <c r="K3152" s="26"/>
      <c r="L3152" s="26"/>
      <c r="M3152" s="26"/>
      <c r="N3152" s="26"/>
      <c r="O3152" s="26"/>
      <c r="P3152" s="26"/>
      <c r="Q3152" s="26"/>
      <c r="R3152" s="26"/>
    </row>
    <row r="3153" spans="9:18" x14ac:dyDescent="0.25">
      <c r="I3153" s="46"/>
      <c r="J3153" s="26"/>
      <c r="K3153" s="26"/>
      <c r="L3153" s="26"/>
      <c r="M3153" s="26"/>
      <c r="N3153" s="26"/>
      <c r="O3153" s="26"/>
      <c r="P3153" s="26"/>
      <c r="Q3153" s="26"/>
      <c r="R3153" s="26"/>
    </row>
    <row r="3154" spans="9:18" x14ac:dyDescent="0.25">
      <c r="I3154" s="46"/>
      <c r="J3154" s="26"/>
      <c r="K3154" s="26"/>
      <c r="L3154" s="26"/>
      <c r="M3154" s="26"/>
      <c r="N3154" s="26"/>
      <c r="O3154" s="26"/>
      <c r="P3154" s="26"/>
      <c r="Q3154" s="26"/>
      <c r="R3154" s="26"/>
    </row>
    <row r="3155" spans="9:18" x14ac:dyDescent="0.25">
      <c r="I3155" s="46"/>
      <c r="J3155" s="26"/>
      <c r="K3155" s="26"/>
      <c r="L3155" s="26"/>
      <c r="M3155" s="26"/>
      <c r="N3155" s="26"/>
      <c r="O3155" s="26"/>
      <c r="P3155" s="26"/>
      <c r="Q3155" s="26"/>
      <c r="R3155" s="26"/>
    </row>
    <row r="3156" spans="9:18" x14ac:dyDescent="0.25">
      <c r="I3156" s="46"/>
      <c r="J3156" s="26"/>
      <c r="K3156" s="26"/>
      <c r="L3156" s="26"/>
      <c r="M3156" s="26"/>
      <c r="N3156" s="26"/>
      <c r="O3156" s="26"/>
      <c r="P3156" s="26"/>
      <c r="Q3156" s="26"/>
      <c r="R3156" s="26"/>
    </row>
    <row r="3157" spans="9:18" x14ac:dyDescent="0.25">
      <c r="I3157" s="46"/>
      <c r="J3157" s="26"/>
      <c r="K3157" s="26"/>
      <c r="L3157" s="26"/>
      <c r="M3157" s="26"/>
      <c r="N3157" s="26"/>
      <c r="O3157" s="26"/>
      <c r="P3157" s="26"/>
      <c r="Q3157" s="26"/>
      <c r="R3157" s="26"/>
    </row>
    <row r="3158" spans="9:18" x14ac:dyDescent="0.25">
      <c r="I3158" s="46"/>
      <c r="J3158" s="26"/>
      <c r="K3158" s="26"/>
      <c r="L3158" s="26"/>
      <c r="M3158" s="26"/>
      <c r="N3158" s="26"/>
      <c r="O3158" s="26"/>
      <c r="P3158" s="26"/>
      <c r="Q3158" s="26"/>
      <c r="R3158" s="26"/>
    </row>
    <row r="3159" spans="9:18" x14ac:dyDescent="0.25">
      <c r="I3159" s="46"/>
      <c r="J3159" s="26"/>
      <c r="K3159" s="26"/>
      <c r="L3159" s="26"/>
      <c r="M3159" s="26"/>
      <c r="N3159" s="26"/>
      <c r="O3159" s="26"/>
      <c r="P3159" s="26"/>
      <c r="Q3159" s="26"/>
      <c r="R3159" s="26"/>
    </row>
    <row r="3160" spans="9:18" x14ac:dyDescent="0.25">
      <c r="I3160" s="46"/>
      <c r="J3160" s="26"/>
      <c r="K3160" s="26"/>
      <c r="L3160" s="26"/>
      <c r="M3160" s="26"/>
      <c r="N3160" s="26"/>
      <c r="O3160" s="26"/>
      <c r="P3160" s="26"/>
      <c r="Q3160" s="26"/>
      <c r="R3160" s="26"/>
    </row>
    <row r="3161" spans="9:18" x14ac:dyDescent="0.25">
      <c r="I3161" s="46"/>
      <c r="J3161" s="26"/>
      <c r="K3161" s="26"/>
      <c r="L3161" s="26"/>
      <c r="M3161" s="26"/>
      <c r="N3161" s="26"/>
      <c r="O3161" s="26"/>
      <c r="P3161" s="26"/>
      <c r="Q3161" s="26"/>
      <c r="R3161" s="26"/>
    </row>
    <row r="3162" spans="9:18" x14ac:dyDescent="0.25">
      <c r="I3162" s="46"/>
      <c r="J3162" s="26"/>
      <c r="K3162" s="26"/>
      <c r="L3162" s="26"/>
      <c r="M3162" s="26"/>
      <c r="N3162" s="26"/>
      <c r="O3162" s="26"/>
      <c r="P3162" s="26"/>
      <c r="Q3162" s="26"/>
      <c r="R3162" s="26"/>
    </row>
    <row r="3163" spans="9:18" x14ac:dyDescent="0.25">
      <c r="I3163" s="46"/>
      <c r="J3163" s="26"/>
      <c r="K3163" s="26"/>
      <c r="L3163" s="26"/>
      <c r="M3163" s="26"/>
      <c r="N3163" s="26"/>
      <c r="O3163" s="26"/>
      <c r="P3163" s="26"/>
      <c r="Q3163" s="26"/>
      <c r="R3163" s="26"/>
    </row>
    <row r="3164" spans="9:18" x14ac:dyDescent="0.25">
      <c r="I3164" s="46"/>
      <c r="J3164" s="26"/>
      <c r="K3164" s="26"/>
      <c r="L3164" s="26"/>
      <c r="M3164" s="26"/>
      <c r="N3164" s="26"/>
      <c r="O3164" s="26"/>
      <c r="P3164" s="26"/>
      <c r="Q3164" s="26"/>
      <c r="R3164" s="26"/>
    </row>
    <row r="3165" spans="9:18" x14ac:dyDescent="0.25">
      <c r="I3165" s="46"/>
      <c r="J3165" s="26"/>
      <c r="K3165" s="26"/>
      <c r="L3165" s="26"/>
      <c r="M3165" s="26"/>
      <c r="N3165" s="26"/>
      <c r="O3165" s="26"/>
      <c r="P3165" s="26"/>
      <c r="Q3165" s="26"/>
      <c r="R3165" s="26"/>
    </row>
    <row r="3166" spans="9:18" x14ac:dyDescent="0.25">
      <c r="I3166" s="46"/>
      <c r="J3166" s="26"/>
      <c r="K3166" s="26"/>
      <c r="L3166" s="26"/>
      <c r="M3166" s="26"/>
      <c r="N3166" s="26"/>
      <c r="O3166" s="26"/>
      <c r="P3166" s="26"/>
      <c r="Q3166" s="26"/>
      <c r="R3166" s="26"/>
    </row>
    <row r="3167" spans="9:18" x14ac:dyDescent="0.25">
      <c r="I3167" s="46"/>
      <c r="J3167" s="26"/>
      <c r="K3167" s="26"/>
      <c r="L3167" s="26"/>
      <c r="M3167" s="26"/>
      <c r="N3167" s="26"/>
      <c r="O3167" s="26"/>
      <c r="P3167" s="26"/>
      <c r="Q3167" s="26"/>
      <c r="R3167" s="26"/>
    </row>
    <row r="3168" spans="9:18" x14ac:dyDescent="0.25">
      <c r="I3168" s="46"/>
      <c r="J3168" s="26"/>
      <c r="K3168" s="26"/>
      <c r="L3168" s="26"/>
      <c r="M3168" s="26"/>
      <c r="N3168" s="26"/>
      <c r="O3168" s="26"/>
      <c r="P3168" s="26"/>
      <c r="Q3168" s="26"/>
      <c r="R3168" s="26"/>
    </row>
    <row r="3169" spans="9:18" x14ac:dyDescent="0.25">
      <c r="I3169" s="46"/>
      <c r="J3169" s="26"/>
      <c r="K3169" s="26"/>
      <c r="L3169" s="26"/>
      <c r="M3169" s="26"/>
      <c r="N3169" s="26"/>
      <c r="O3169" s="26"/>
      <c r="P3169" s="26"/>
      <c r="Q3169" s="26"/>
      <c r="R3169" s="26"/>
    </row>
    <row r="3170" spans="9:18" x14ac:dyDescent="0.25">
      <c r="I3170" s="46"/>
      <c r="J3170" s="26"/>
      <c r="K3170" s="26"/>
      <c r="L3170" s="26"/>
      <c r="M3170" s="26"/>
      <c r="N3170" s="26"/>
      <c r="O3170" s="26"/>
      <c r="P3170" s="26"/>
      <c r="Q3170" s="26"/>
      <c r="R3170" s="26"/>
    </row>
    <row r="3171" spans="9:18" x14ac:dyDescent="0.25">
      <c r="I3171" s="46"/>
      <c r="J3171" s="26"/>
      <c r="K3171" s="26"/>
      <c r="L3171" s="26"/>
      <c r="M3171" s="26"/>
      <c r="N3171" s="26"/>
      <c r="O3171" s="26"/>
      <c r="P3171" s="26"/>
      <c r="Q3171" s="26"/>
      <c r="R3171" s="26"/>
    </row>
    <row r="3172" spans="9:18" x14ac:dyDescent="0.25">
      <c r="I3172" s="46"/>
      <c r="J3172" s="26"/>
      <c r="K3172" s="26"/>
      <c r="L3172" s="26"/>
      <c r="M3172" s="26"/>
      <c r="N3172" s="26"/>
      <c r="O3172" s="26"/>
      <c r="P3172" s="26"/>
      <c r="Q3172" s="26"/>
      <c r="R3172" s="26"/>
    </row>
    <row r="3173" spans="9:18" x14ac:dyDescent="0.25">
      <c r="I3173" s="46"/>
      <c r="J3173" s="26"/>
      <c r="K3173" s="26"/>
      <c r="L3173" s="26"/>
      <c r="M3173" s="26"/>
      <c r="N3173" s="26"/>
      <c r="O3173" s="26"/>
      <c r="P3173" s="26"/>
      <c r="Q3173" s="26"/>
      <c r="R3173" s="26"/>
    </row>
    <row r="3174" spans="9:18" x14ac:dyDescent="0.25">
      <c r="I3174" s="46"/>
      <c r="J3174" s="26"/>
      <c r="K3174" s="26"/>
      <c r="L3174" s="26"/>
      <c r="M3174" s="26"/>
      <c r="N3174" s="26"/>
      <c r="O3174" s="26"/>
      <c r="P3174" s="26"/>
      <c r="Q3174" s="26"/>
      <c r="R3174" s="26"/>
    </row>
    <row r="3175" spans="9:18" x14ac:dyDescent="0.25">
      <c r="I3175" s="46"/>
      <c r="J3175" s="26"/>
      <c r="K3175" s="26"/>
      <c r="L3175" s="26"/>
      <c r="M3175" s="26"/>
      <c r="N3175" s="26"/>
      <c r="O3175" s="26"/>
      <c r="P3175" s="26"/>
      <c r="Q3175" s="26"/>
      <c r="R3175" s="26"/>
    </row>
    <row r="3176" spans="9:18" x14ac:dyDescent="0.25">
      <c r="I3176" s="46"/>
      <c r="J3176" s="26"/>
      <c r="K3176" s="26"/>
      <c r="L3176" s="26"/>
      <c r="M3176" s="26"/>
      <c r="N3176" s="26"/>
      <c r="O3176" s="26"/>
      <c r="P3176" s="26"/>
      <c r="Q3176" s="26"/>
      <c r="R3176" s="26"/>
    </row>
    <row r="3177" spans="9:18" x14ac:dyDescent="0.25">
      <c r="I3177" s="46"/>
      <c r="J3177" s="26"/>
      <c r="K3177" s="26"/>
      <c r="L3177" s="26"/>
      <c r="M3177" s="26"/>
      <c r="N3177" s="26"/>
      <c r="O3177" s="26"/>
      <c r="P3177" s="26"/>
      <c r="Q3177" s="26"/>
      <c r="R3177" s="26"/>
    </row>
    <row r="3178" spans="9:18" x14ac:dyDescent="0.25">
      <c r="I3178" s="46"/>
      <c r="J3178" s="26"/>
      <c r="K3178" s="26"/>
      <c r="L3178" s="26"/>
      <c r="M3178" s="26"/>
      <c r="N3178" s="26"/>
      <c r="O3178" s="26"/>
      <c r="P3178" s="26"/>
      <c r="Q3178" s="26"/>
      <c r="R3178" s="26"/>
    </row>
    <row r="3179" spans="9:18" x14ac:dyDescent="0.25">
      <c r="I3179" s="46"/>
      <c r="J3179" s="26"/>
      <c r="K3179" s="26"/>
      <c r="L3179" s="26"/>
      <c r="M3179" s="26"/>
      <c r="N3179" s="26"/>
      <c r="O3179" s="26"/>
      <c r="P3179" s="26"/>
      <c r="Q3179" s="26"/>
      <c r="R3179" s="26"/>
    </row>
    <row r="3180" spans="9:18" x14ac:dyDescent="0.25">
      <c r="I3180" s="46"/>
      <c r="J3180" s="26"/>
      <c r="K3180" s="26"/>
      <c r="L3180" s="26"/>
      <c r="M3180" s="26"/>
      <c r="N3180" s="26"/>
      <c r="O3180" s="26"/>
      <c r="P3180" s="26"/>
      <c r="Q3180" s="26"/>
      <c r="R3180" s="26"/>
    </row>
    <row r="3181" spans="9:18" x14ac:dyDescent="0.25">
      <c r="I3181" s="46"/>
      <c r="J3181" s="26"/>
      <c r="K3181" s="26"/>
      <c r="L3181" s="26"/>
      <c r="M3181" s="26"/>
      <c r="N3181" s="26"/>
      <c r="O3181" s="26"/>
      <c r="P3181" s="26"/>
      <c r="Q3181" s="26"/>
      <c r="R3181" s="26"/>
    </row>
    <row r="3182" spans="9:18" x14ac:dyDescent="0.25">
      <c r="I3182" s="46"/>
      <c r="J3182" s="26"/>
      <c r="K3182" s="26"/>
      <c r="L3182" s="26"/>
      <c r="M3182" s="26"/>
      <c r="N3182" s="26"/>
      <c r="O3182" s="26"/>
      <c r="P3182" s="26"/>
      <c r="Q3182" s="26"/>
      <c r="R3182" s="26"/>
    </row>
    <row r="3183" spans="9:18" x14ac:dyDescent="0.25">
      <c r="I3183" s="46"/>
      <c r="J3183" s="26"/>
      <c r="K3183" s="26"/>
      <c r="L3183" s="26"/>
      <c r="M3183" s="26"/>
      <c r="N3183" s="26"/>
      <c r="O3183" s="26"/>
      <c r="P3183" s="26"/>
      <c r="Q3183" s="26"/>
      <c r="R3183" s="26"/>
    </row>
    <row r="3184" spans="9:18" x14ac:dyDescent="0.25">
      <c r="I3184" s="46"/>
      <c r="J3184" s="26"/>
      <c r="K3184" s="26"/>
      <c r="L3184" s="26"/>
      <c r="M3184" s="26"/>
      <c r="N3184" s="26"/>
      <c r="O3184" s="26"/>
      <c r="P3184" s="26"/>
      <c r="Q3184" s="26"/>
      <c r="R3184" s="26"/>
    </row>
    <row r="3185" spans="9:18" x14ac:dyDescent="0.25">
      <c r="I3185" s="46"/>
      <c r="J3185" s="26"/>
      <c r="K3185" s="26"/>
      <c r="L3185" s="26"/>
      <c r="M3185" s="26"/>
      <c r="N3185" s="26"/>
      <c r="O3185" s="26"/>
      <c r="P3185" s="26"/>
      <c r="Q3185" s="26"/>
      <c r="R3185" s="26"/>
    </row>
    <row r="3186" spans="9:18" x14ac:dyDescent="0.25">
      <c r="I3186" s="46"/>
      <c r="J3186" s="26"/>
      <c r="K3186" s="26"/>
      <c r="L3186" s="26"/>
      <c r="M3186" s="26"/>
      <c r="N3186" s="26"/>
      <c r="O3186" s="26"/>
      <c r="P3186" s="26"/>
      <c r="Q3186" s="26"/>
      <c r="R3186" s="26"/>
    </row>
    <row r="3187" spans="9:18" x14ac:dyDescent="0.25">
      <c r="I3187" s="46"/>
      <c r="J3187" s="26"/>
      <c r="K3187" s="26"/>
      <c r="L3187" s="26"/>
      <c r="M3187" s="26"/>
      <c r="N3187" s="26"/>
      <c r="O3187" s="26"/>
      <c r="P3187" s="26"/>
      <c r="Q3187" s="26"/>
      <c r="R3187" s="26"/>
    </row>
    <row r="3188" spans="9:18" x14ac:dyDescent="0.25">
      <c r="I3188" s="46"/>
      <c r="J3188" s="26"/>
      <c r="K3188" s="26"/>
      <c r="L3188" s="26"/>
      <c r="M3188" s="26"/>
      <c r="N3188" s="26"/>
      <c r="O3188" s="26"/>
      <c r="P3188" s="26"/>
      <c r="Q3188" s="26"/>
      <c r="R3188" s="26"/>
    </row>
    <row r="3189" spans="9:18" x14ac:dyDescent="0.25">
      <c r="I3189" s="46"/>
      <c r="J3189" s="26"/>
      <c r="K3189" s="26"/>
      <c r="L3189" s="26"/>
      <c r="M3189" s="26"/>
      <c r="N3189" s="26"/>
      <c r="O3189" s="26"/>
      <c r="P3189" s="26"/>
      <c r="Q3189" s="26"/>
      <c r="R3189" s="26"/>
    </row>
    <row r="3190" spans="9:18" x14ac:dyDescent="0.25">
      <c r="I3190" s="46"/>
      <c r="J3190" s="26"/>
      <c r="K3190" s="26"/>
      <c r="L3190" s="26"/>
      <c r="M3190" s="26"/>
      <c r="N3190" s="26"/>
      <c r="O3190" s="26"/>
      <c r="P3190" s="26"/>
      <c r="Q3190" s="26"/>
      <c r="R3190" s="26"/>
    </row>
    <row r="3191" spans="9:18" x14ac:dyDescent="0.25">
      <c r="I3191" s="46"/>
      <c r="J3191" s="26"/>
      <c r="K3191" s="26"/>
      <c r="L3191" s="26"/>
      <c r="M3191" s="26"/>
      <c r="N3191" s="26"/>
      <c r="O3191" s="26"/>
      <c r="P3191" s="26"/>
      <c r="Q3191" s="26"/>
      <c r="R3191" s="26"/>
    </row>
    <row r="3192" spans="9:18" x14ac:dyDescent="0.25">
      <c r="I3192" s="46"/>
      <c r="J3192" s="26"/>
      <c r="K3192" s="26"/>
      <c r="L3192" s="26"/>
      <c r="M3192" s="26"/>
      <c r="N3192" s="26"/>
      <c r="O3192" s="26"/>
      <c r="P3192" s="26"/>
      <c r="Q3192" s="26"/>
      <c r="R3192" s="26"/>
    </row>
    <row r="3193" spans="9:18" x14ac:dyDescent="0.25">
      <c r="I3193" s="46"/>
      <c r="J3193" s="26"/>
      <c r="K3193" s="26"/>
      <c r="L3193" s="26"/>
      <c r="M3193" s="26"/>
      <c r="N3193" s="26"/>
      <c r="O3193" s="26"/>
      <c r="P3193" s="26"/>
      <c r="Q3193" s="26"/>
      <c r="R3193" s="26"/>
    </row>
    <row r="3194" spans="9:18" x14ac:dyDescent="0.25">
      <c r="I3194" s="46"/>
      <c r="J3194" s="26"/>
      <c r="K3194" s="26"/>
      <c r="L3194" s="26"/>
      <c r="M3194" s="26"/>
      <c r="N3194" s="26"/>
      <c r="O3194" s="26"/>
      <c r="P3194" s="26"/>
      <c r="Q3194" s="26"/>
      <c r="R3194" s="26"/>
    </row>
    <row r="3195" spans="9:18" x14ac:dyDescent="0.25">
      <c r="I3195" s="46"/>
      <c r="J3195" s="26"/>
      <c r="K3195" s="26"/>
      <c r="L3195" s="26"/>
      <c r="M3195" s="26"/>
      <c r="N3195" s="26"/>
      <c r="O3195" s="26"/>
      <c r="P3195" s="26"/>
      <c r="Q3195" s="26"/>
      <c r="R3195" s="26"/>
    </row>
    <row r="3196" spans="9:18" x14ac:dyDescent="0.25">
      <c r="I3196" s="46"/>
      <c r="J3196" s="26"/>
      <c r="K3196" s="26"/>
      <c r="L3196" s="26"/>
      <c r="M3196" s="26"/>
      <c r="N3196" s="26"/>
      <c r="O3196" s="26"/>
      <c r="P3196" s="26"/>
      <c r="Q3196" s="26"/>
      <c r="R3196" s="26"/>
    </row>
    <row r="3197" spans="9:18" x14ac:dyDescent="0.25">
      <c r="I3197" s="46"/>
      <c r="J3197" s="26"/>
      <c r="K3197" s="26"/>
      <c r="L3197" s="26"/>
      <c r="M3197" s="26"/>
      <c r="N3197" s="26"/>
      <c r="O3197" s="26"/>
      <c r="P3197" s="26"/>
      <c r="Q3197" s="26"/>
      <c r="R3197" s="26"/>
    </row>
    <row r="3198" spans="9:18" x14ac:dyDescent="0.25">
      <c r="I3198" s="46"/>
      <c r="J3198" s="26"/>
      <c r="K3198" s="26"/>
      <c r="L3198" s="26"/>
      <c r="M3198" s="26"/>
      <c r="N3198" s="26"/>
      <c r="O3198" s="26"/>
      <c r="P3198" s="26"/>
      <c r="Q3198" s="26"/>
      <c r="R3198" s="26"/>
    </row>
    <row r="3199" spans="9:18" x14ac:dyDescent="0.25">
      <c r="I3199" s="46"/>
      <c r="J3199" s="26"/>
      <c r="K3199" s="26"/>
      <c r="L3199" s="26"/>
      <c r="M3199" s="26"/>
      <c r="N3199" s="26"/>
      <c r="O3199" s="26"/>
      <c r="P3199" s="26"/>
      <c r="Q3199" s="26"/>
      <c r="R3199" s="26"/>
    </row>
    <row r="3200" spans="9:18" x14ac:dyDescent="0.25">
      <c r="I3200" s="46"/>
      <c r="J3200" s="26"/>
      <c r="K3200" s="26"/>
      <c r="L3200" s="26"/>
      <c r="M3200" s="26"/>
      <c r="N3200" s="26"/>
      <c r="O3200" s="26"/>
      <c r="P3200" s="26"/>
      <c r="Q3200" s="26"/>
      <c r="R3200" s="26"/>
    </row>
    <row r="3201" spans="9:18" x14ac:dyDescent="0.25">
      <c r="I3201" s="46"/>
      <c r="J3201" s="26"/>
      <c r="K3201" s="26"/>
      <c r="L3201" s="26"/>
      <c r="M3201" s="26"/>
      <c r="N3201" s="26"/>
      <c r="O3201" s="26"/>
      <c r="P3201" s="26"/>
      <c r="Q3201" s="26"/>
      <c r="R3201" s="26"/>
    </row>
    <row r="3202" spans="9:18" x14ac:dyDescent="0.25">
      <c r="I3202" s="46"/>
      <c r="J3202" s="26"/>
      <c r="K3202" s="26"/>
      <c r="L3202" s="26"/>
      <c r="M3202" s="26"/>
      <c r="N3202" s="26"/>
      <c r="O3202" s="26"/>
      <c r="P3202" s="26"/>
      <c r="Q3202" s="26"/>
      <c r="R3202" s="26"/>
    </row>
    <row r="3203" spans="9:18" x14ac:dyDescent="0.25">
      <c r="I3203" s="46"/>
      <c r="J3203" s="26"/>
      <c r="K3203" s="26"/>
      <c r="L3203" s="26"/>
      <c r="M3203" s="26"/>
      <c r="N3203" s="26"/>
      <c r="O3203" s="26"/>
      <c r="P3203" s="26"/>
      <c r="Q3203" s="26"/>
      <c r="R3203" s="26"/>
    </row>
    <row r="3204" spans="9:18" x14ac:dyDescent="0.25">
      <c r="I3204" s="46"/>
      <c r="J3204" s="26"/>
      <c r="K3204" s="26"/>
      <c r="L3204" s="26"/>
      <c r="M3204" s="26"/>
      <c r="N3204" s="26"/>
      <c r="O3204" s="26"/>
      <c r="P3204" s="26"/>
      <c r="Q3204" s="26"/>
      <c r="R3204" s="26"/>
    </row>
    <row r="3205" spans="9:18" x14ac:dyDescent="0.25">
      <c r="I3205" s="46"/>
      <c r="J3205" s="26"/>
      <c r="K3205" s="26"/>
      <c r="L3205" s="26"/>
      <c r="M3205" s="26"/>
      <c r="N3205" s="26"/>
      <c r="O3205" s="26"/>
      <c r="P3205" s="26"/>
      <c r="Q3205" s="26"/>
      <c r="R3205" s="26"/>
    </row>
    <row r="3206" spans="9:18" x14ac:dyDescent="0.25">
      <c r="I3206" s="46"/>
      <c r="J3206" s="26"/>
      <c r="K3206" s="26"/>
      <c r="L3206" s="26"/>
      <c r="M3206" s="26"/>
      <c r="N3206" s="26"/>
      <c r="O3206" s="26"/>
      <c r="P3206" s="26"/>
      <c r="Q3206" s="26"/>
      <c r="R3206" s="26"/>
    </row>
    <row r="3207" spans="9:18" x14ac:dyDescent="0.25">
      <c r="I3207" s="46"/>
      <c r="J3207" s="26"/>
      <c r="K3207" s="26"/>
      <c r="L3207" s="26"/>
      <c r="M3207" s="26"/>
      <c r="N3207" s="26"/>
      <c r="O3207" s="26"/>
      <c r="P3207" s="26"/>
      <c r="Q3207" s="26"/>
      <c r="R3207" s="26"/>
    </row>
    <row r="3208" spans="9:18" x14ac:dyDescent="0.25">
      <c r="I3208" s="46"/>
      <c r="J3208" s="26"/>
      <c r="K3208" s="26"/>
      <c r="L3208" s="26"/>
      <c r="M3208" s="26"/>
      <c r="N3208" s="26"/>
      <c r="O3208" s="26"/>
      <c r="P3208" s="26"/>
      <c r="Q3208" s="26"/>
      <c r="R3208" s="26"/>
    </row>
    <row r="3209" spans="9:18" x14ac:dyDescent="0.25">
      <c r="I3209" s="46"/>
      <c r="J3209" s="26"/>
      <c r="K3209" s="26"/>
      <c r="L3209" s="26"/>
      <c r="M3209" s="26"/>
      <c r="N3209" s="26"/>
      <c r="O3209" s="26"/>
      <c r="P3209" s="26"/>
      <c r="Q3209" s="26"/>
      <c r="R3209" s="26"/>
    </row>
    <row r="3210" spans="9:18" x14ac:dyDescent="0.25">
      <c r="I3210" s="46"/>
      <c r="J3210" s="26"/>
      <c r="K3210" s="26"/>
      <c r="L3210" s="26"/>
      <c r="M3210" s="26"/>
      <c r="N3210" s="26"/>
      <c r="O3210" s="26"/>
      <c r="P3210" s="26"/>
      <c r="Q3210" s="26"/>
      <c r="R3210" s="26"/>
    </row>
    <row r="3211" spans="9:18" x14ac:dyDescent="0.25">
      <c r="I3211" s="46"/>
      <c r="J3211" s="26"/>
      <c r="K3211" s="26"/>
      <c r="L3211" s="26"/>
      <c r="M3211" s="26"/>
      <c r="N3211" s="26"/>
      <c r="O3211" s="26"/>
      <c r="P3211" s="26"/>
      <c r="Q3211" s="26"/>
      <c r="R3211" s="26"/>
    </row>
    <row r="3212" spans="9:18" x14ac:dyDescent="0.25">
      <c r="I3212" s="46"/>
      <c r="J3212" s="26"/>
      <c r="K3212" s="26"/>
      <c r="L3212" s="26"/>
      <c r="M3212" s="26"/>
      <c r="N3212" s="26"/>
      <c r="O3212" s="26"/>
      <c r="P3212" s="26"/>
      <c r="Q3212" s="26"/>
      <c r="R3212" s="26"/>
    </row>
    <row r="3213" spans="9:18" x14ac:dyDescent="0.25">
      <c r="I3213" s="46"/>
      <c r="J3213" s="26"/>
      <c r="K3213" s="26"/>
      <c r="L3213" s="26"/>
      <c r="M3213" s="26"/>
      <c r="N3213" s="26"/>
      <c r="O3213" s="26"/>
      <c r="P3213" s="26"/>
      <c r="Q3213" s="26"/>
      <c r="R3213" s="26"/>
    </row>
    <row r="3214" spans="9:18" x14ac:dyDescent="0.25">
      <c r="I3214" s="46"/>
      <c r="J3214" s="26"/>
      <c r="K3214" s="26"/>
      <c r="L3214" s="26"/>
      <c r="M3214" s="26"/>
      <c r="N3214" s="26"/>
      <c r="O3214" s="26"/>
      <c r="P3214" s="26"/>
      <c r="Q3214" s="26"/>
      <c r="R3214" s="26"/>
    </row>
    <row r="3215" spans="9:18" x14ac:dyDescent="0.25">
      <c r="I3215" s="46"/>
      <c r="J3215" s="26"/>
      <c r="K3215" s="26"/>
      <c r="L3215" s="26"/>
      <c r="M3215" s="26"/>
      <c r="N3215" s="26"/>
      <c r="O3215" s="26"/>
      <c r="P3215" s="26"/>
      <c r="Q3215" s="26"/>
      <c r="R3215" s="26"/>
    </row>
    <row r="3216" spans="9:18" x14ac:dyDescent="0.25">
      <c r="I3216" s="46"/>
      <c r="J3216" s="26"/>
      <c r="K3216" s="26"/>
      <c r="L3216" s="26"/>
      <c r="M3216" s="26"/>
      <c r="N3216" s="26"/>
      <c r="O3216" s="26"/>
      <c r="P3216" s="26"/>
      <c r="Q3216" s="26"/>
      <c r="R3216" s="26"/>
    </row>
    <row r="3217" spans="9:18" x14ac:dyDescent="0.25">
      <c r="I3217" s="46"/>
      <c r="J3217" s="26"/>
      <c r="K3217" s="26"/>
      <c r="L3217" s="26"/>
      <c r="M3217" s="26"/>
      <c r="N3217" s="26"/>
      <c r="O3217" s="26"/>
      <c r="P3217" s="26"/>
      <c r="Q3217" s="26"/>
      <c r="R3217" s="26"/>
    </row>
    <row r="3218" spans="9:18" x14ac:dyDescent="0.25">
      <c r="I3218" s="46"/>
      <c r="J3218" s="26"/>
      <c r="K3218" s="26"/>
      <c r="L3218" s="26"/>
      <c r="M3218" s="26"/>
      <c r="N3218" s="26"/>
      <c r="O3218" s="26"/>
      <c r="P3218" s="26"/>
      <c r="Q3218" s="26"/>
      <c r="R3218" s="26"/>
    </row>
    <row r="3219" spans="9:18" x14ac:dyDescent="0.25">
      <c r="I3219" s="46"/>
      <c r="J3219" s="26"/>
      <c r="K3219" s="26"/>
      <c r="L3219" s="26"/>
      <c r="M3219" s="26"/>
      <c r="N3219" s="26"/>
      <c r="O3219" s="26"/>
      <c r="P3219" s="26"/>
      <c r="Q3219" s="26"/>
      <c r="R3219" s="26"/>
    </row>
    <row r="3220" spans="9:18" x14ac:dyDescent="0.25">
      <c r="I3220" s="46"/>
      <c r="J3220" s="26"/>
      <c r="K3220" s="26"/>
      <c r="L3220" s="26"/>
      <c r="M3220" s="26"/>
      <c r="N3220" s="26"/>
      <c r="O3220" s="26"/>
      <c r="P3220" s="26"/>
      <c r="Q3220" s="26"/>
      <c r="R3220" s="26"/>
    </row>
    <row r="3221" spans="9:18" x14ac:dyDescent="0.25">
      <c r="I3221" s="46"/>
      <c r="J3221" s="26"/>
      <c r="K3221" s="26"/>
      <c r="L3221" s="26"/>
      <c r="M3221" s="26"/>
      <c r="N3221" s="26"/>
      <c r="O3221" s="26"/>
      <c r="P3221" s="26"/>
      <c r="Q3221" s="26"/>
      <c r="R3221" s="26"/>
    </row>
    <row r="3222" spans="9:18" x14ac:dyDescent="0.25">
      <c r="I3222" s="46"/>
      <c r="J3222" s="26"/>
      <c r="K3222" s="26"/>
      <c r="L3222" s="26"/>
      <c r="M3222" s="26"/>
      <c r="N3222" s="26"/>
      <c r="O3222" s="26"/>
      <c r="P3222" s="26"/>
      <c r="Q3222" s="26"/>
      <c r="R3222" s="26"/>
    </row>
    <row r="3223" spans="9:18" x14ac:dyDescent="0.25">
      <c r="I3223" s="46"/>
      <c r="J3223" s="26"/>
      <c r="K3223" s="26"/>
      <c r="L3223" s="26"/>
      <c r="M3223" s="26"/>
      <c r="N3223" s="26"/>
      <c r="O3223" s="26"/>
      <c r="P3223" s="26"/>
      <c r="Q3223" s="26"/>
      <c r="R3223" s="26"/>
    </row>
    <row r="3224" spans="9:18" x14ac:dyDescent="0.25">
      <c r="I3224" s="46"/>
      <c r="J3224" s="26"/>
      <c r="K3224" s="26"/>
      <c r="L3224" s="26"/>
      <c r="M3224" s="26"/>
      <c r="N3224" s="26"/>
      <c r="O3224" s="26"/>
      <c r="P3224" s="26"/>
      <c r="Q3224" s="26"/>
      <c r="R3224" s="26"/>
    </row>
    <row r="3225" spans="9:18" x14ac:dyDescent="0.25">
      <c r="I3225" s="46"/>
      <c r="J3225" s="26"/>
      <c r="K3225" s="26"/>
      <c r="L3225" s="26"/>
      <c r="M3225" s="26"/>
      <c r="N3225" s="26"/>
      <c r="O3225" s="26"/>
      <c r="P3225" s="26"/>
      <c r="Q3225" s="26"/>
      <c r="R3225" s="26"/>
    </row>
    <row r="3226" spans="9:18" x14ac:dyDescent="0.25">
      <c r="I3226" s="46"/>
      <c r="J3226" s="26"/>
      <c r="K3226" s="26"/>
      <c r="L3226" s="26"/>
      <c r="M3226" s="26"/>
      <c r="N3226" s="26"/>
      <c r="O3226" s="26"/>
      <c r="P3226" s="26"/>
      <c r="Q3226" s="26"/>
      <c r="R3226" s="26"/>
    </row>
    <row r="3227" spans="9:18" x14ac:dyDescent="0.25">
      <c r="I3227" s="46"/>
      <c r="J3227" s="26"/>
      <c r="K3227" s="26"/>
      <c r="L3227" s="26"/>
      <c r="M3227" s="26"/>
      <c r="N3227" s="26"/>
      <c r="O3227" s="26"/>
      <c r="P3227" s="26"/>
      <c r="Q3227" s="26"/>
      <c r="R3227" s="26"/>
    </row>
    <row r="3228" spans="9:18" x14ac:dyDescent="0.25">
      <c r="I3228" s="46"/>
      <c r="J3228" s="26"/>
      <c r="K3228" s="26"/>
      <c r="L3228" s="26"/>
      <c r="M3228" s="26"/>
      <c r="N3228" s="26"/>
      <c r="O3228" s="26"/>
      <c r="P3228" s="26"/>
      <c r="Q3228" s="26"/>
      <c r="R3228" s="26"/>
    </row>
    <row r="3229" spans="9:18" x14ac:dyDescent="0.25">
      <c r="I3229" s="46"/>
      <c r="J3229" s="26"/>
      <c r="K3229" s="26"/>
      <c r="L3229" s="26"/>
      <c r="M3229" s="26"/>
      <c r="N3229" s="26"/>
      <c r="O3229" s="26"/>
      <c r="P3229" s="26"/>
      <c r="Q3229" s="26"/>
      <c r="R3229" s="26"/>
    </row>
    <row r="3230" spans="9:18" x14ac:dyDescent="0.25">
      <c r="I3230" s="46"/>
      <c r="J3230" s="26"/>
      <c r="K3230" s="26"/>
      <c r="L3230" s="26"/>
      <c r="M3230" s="26"/>
      <c r="N3230" s="26"/>
      <c r="O3230" s="26"/>
      <c r="P3230" s="26"/>
      <c r="Q3230" s="26"/>
      <c r="R3230" s="26"/>
    </row>
    <row r="3231" spans="9:18" x14ac:dyDescent="0.25">
      <c r="I3231" s="46"/>
      <c r="J3231" s="26"/>
      <c r="K3231" s="26"/>
      <c r="L3231" s="26"/>
      <c r="M3231" s="26"/>
      <c r="N3231" s="26"/>
      <c r="O3231" s="26"/>
      <c r="P3231" s="26"/>
      <c r="Q3231" s="26"/>
      <c r="R3231" s="26"/>
    </row>
    <row r="3232" spans="9:18" x14ac:dyDescent="0.25">
      <c r="I3232" s="46"/>
      <c r="J3232" s="26"/>
      <c r="K3232" s="26"/>
      <c r="L3232" s="26"/>
      <c r="M3232" s="26"/>
      <c r="N3232" s="26"/>
      <c r="O3232" s="26"/>
      <c r="P3232" s="26"/>
      <c r="Q3232" s="26"/>
      <c r="R3232" s="26"/>
    </row>
    <row r="3233" spans="9:18" x14ac:dyDescent="0.25">
      <c r="I3233" s="46"/>
      <c r="J3233" s="26"/>
      <c r="K3233" s="26"/>
      <c r="L3233" s="26"/>
      <c r="M3233" s="26"/>
      <c r="N3233" s="26"/>
      <c r="O3233" s="26"/>
      <c r="P3233" s="26"/>
      <c r="Q3233" s="26"/>
      <c r="R3233" s="26"/>
    </row>
    <row r="3234" spans="9:18" x14ac:dyDescent="0.25">
      <c r="I3234" s="46"/>
      <c r="J3234" s="26"/>
      <c r="K3234" s="26"/>
      <c r="L3234" s="26"/>
      <c r="M3234" s="26"/>
      <c r="N3234" s="26"/>
      <c r="O3234" s="26"/>
      <c r="P3234" s="26"/>
      <c r="Q3234" s="26"/>
      <c r="R3234" s="26"/>
    </row>
    <row r="3235" spans="9:18" x14ac:dyDescent="0.25">
      <c r="I3235" s="46"/>
      <c r="J3235" s="26"/>
      <c r="K3235" s="26"/>
      <c r="L3235" s="26"/>
      <c r="M3235" s="26"/>
      <c r="N3235" s="26"/>
      <c r="O3235" s="26"/>
      <c r="P3235" s="26"/>
      <c r="Q3235" s="26"/>
      <c r="R3235" s="26"/>
    </row>
    <row r="3236" spans="9:18" x14ac:dyDescent="0.25">
      <c r="I3236" s="46"/>
      <c r="J3236" s="26"/>
      <c r="K3236" s="26"/>
      <c r="L3236" s="26"/>
      <c r="M3236" s="26"/>
      <c r="N3236" s="26"/>
      <c r="O3236" s="26"/>
      <c r="P3236" s="26"/>
      <c r="Q3236" s="26"/>
      <c r="R3236" s="26"/>
    </row>
    <row r="3237" spans="9:18" x14ac:dyDescent="0.25">
      <c r="I3237" s="46"/>
      <c r="J3237" s="26"/>
      <c r="K3237" s="26"/>
      <c r="L3237" s="26"/>
      <c r="M3237" s="26"/>
      <c r="N3237" s="26"/>
      <c r="O3237" s="26"/>
      <c r="P3237" s="26"/>
      <c r="Q3237" s="26"/>
      <c r="R3237" s="26"/>
    </row>
    <row r="3238" spans="9:18" x14ac:dyDescent="0.25">
      <c r="I3238" s="46"/>
      <c r="J3238" s="26"/>
      <c r="K3238" s="26"/>
      <c r="L3238" s="26"/>
      <c r="M3238" s="26"/>
      <c r="N3238" s="26"/>
      <c r="O3238" s="26"/>
      <c r="P3238" s="26"/>
      <c r="Q3238" s="26"/>
      <c r="R3238" s="26"/>
    </row>
    <row r="3239" spans="9:18" x14ac:dyDescent="0.25">
      <c r="I3239" s="46"/>
      <c r="J3239" s="26"/>
      <c r="K3239" s="26"/>
      <c r="L3239" s="26"/>
      <c r="M3239" s="26"/>
      <c r="N3239" s="26"/>
      <c r="O3239" s="26"/>
      <c r="P3239" s="26"/>
      <c r="Q3239" s="26"/>
      <c r="R3239" s="26"/>
    </row>
    <row r="3240" spans="9:18" x14ac:dyDescent="0.25">
      <c r="I3240" s="46"/>
      <c r="J3240" s="26"/>
      <c r="K3240" s="26"/>
      <c r="L3240" s="26"/>
      <c r="M3240" s="26"/>
      <c r="N3240" s="26"/>
      <c r="O3240" s="26"/>
      <c r="P3240" s="26"/>
      <c r="Q3240" s="26"/>
      <c r="R3240" s="26"/>
    </row>
    <row r="3241" spans="9:18" x14ac:dyDescent="0.25">
      <c r="I3241" s="46"/>
      <c r="J3241" s="26"/>
      <c r="K3241" s="26"/>
      <c r="L3241" s="26"/>
      <c r="M3241" s="26"/>
      <c r="N3241" s="26"/>
      <c r="O3241" s="26"/>
      <c r="P3241" s="26"/>
      <c r="Q3241" s="26"/>
      <c r="R3241" s="26"/>
    </row>
    <row r="3242" spans="9:18" x14ac:dyDescent="0.25">
      <c r="I3242" s="46"/>
      <c r="J3242" s="26"/>
      <c r="K3242" s="26"/>
      <c r="L3242" s="26"/>
      <c r="M3242" s="26"/>
      <c r="N3242" s="26"/>
      <c r="O3242" s="26"/>
      <c r="P3242" s="26"/>
      <c r="Q3242" s="26"/>
      <c r="R3242" s="26"/>
    </row>
    <row r="3243" spans="9:18" x14ac:dyDescent="0.25">
      <c r="I3243" s="46"/>
      <c r="J3243" s="26"/>
      <c r="K3243" s="26"/>
      <c r="L3243" s="26"/>
      <c r="M3243" s="26"/>
      <c r="N3243" s="26"/>
      <c r="O3243" s="26"/>
      <c r="P3243" s="26"/>
      <c r="Q3243" s="26"/>
      <c r="R3243" s="26"/>
    </row>
    <row r="3244" spans="9:18" x14ac:dyDescent="0.25">
      <c r="I3244" s="46"/>
      <c r="J3244" s="26"/>
      <c r="K3244" s="26"/>
      <c r="L3244" s="26"/>
      <c r="M3244" s="26"/>
      <c r="N3244" s="26"/>
      <c r="O3244" s="26"/>
      <c r="P3244" s="26"/>
      <c r="Q3244" s="26"/>
      <c r="R3244" s="26"/>
    </row>
    <row r="3245" spans="9:18" x14ac:dyDescent="0.25">
      <c r="I3245" s="46"/>
      <c r="J3245" s="26"/>
      <c r="K3245" s="26"/>
      <c r="L3245" s="26"/>
      <c r="M3245" s="26"/>
      <c r="N3245" s="26"/>
      <c r="O3245" s="26"/>
      <c r="P3245" s="26"/>
      <c r="Q3245" s="26"/>
      <c r="R3245" s="26"/>
    </row>
    <row r="3246" spans="9:18" x14ac:dyDescent="0.25">
      <c r="I3246" s="46"/>
      <c r="J3246" s="26"/>
      <c r="K3246" s="26"/>
      <c r="L3246" s="26"/>
      <c r="M3246" s="26"/>
      <c r="N3246" s="26"/>
      <c r="O3246" s="26"/>
      <c r="P3246" s="26"/>
      <c r="Q3246" s="26"/>
      <c r="R3246" s="26"/>
    </row>
    <row r="3247" spans="9:18" x14ac:dyDescent="0.25">
      <c r="I3247" s="46"/>
      <c r="J3247" s="26"/>
      <c r="K3247" s="26"/>
      <c r="L3247" s="26"/>
      <c r="M3247" s="26"/>
      <c r="N3247" s="26"/>
      <c r="O3247" s="26"/>
      <c r="P3247" s="26"/>
      <c r="Q3247" s="26"/>
      <c r="R3247" s="26"/>
    </row>
    <row r="3248" spans="9:18" x14ac:dyDescent="0.25">
      <c r="I3248" s="46"/>
      <c r="J3248" s="26"/>
      <c r="K3248" s="26"/>
      <c r="L3248" s="26"/>
      <c r="M3248" s="26"/>
      <c r="N3248" s="26"/>
      <c r="O3248" s="26"/>
      <c r="P3248" s="26"/>
      <c r="Q3248" s="26"/>
      <c r="R3248" s="26"/>
    </row>
    <row r="3249" spans="9:18" x14ac:dyDescent="0.25">
      <c r="I3249" s="46"/>
      <c r="J3249" s="26"/>
      <c r="K3249" s="26"/>
      <c r="L3249" s="26"/>
      <c r="M3249" s="26"/>
      <c r="N3249" s="26"/>
      <c r="O3249" s="26"/>
      <c r="P3249" s="26"/>
      <c r="Q3249" s="26"/>
      <c r="R3249" s="26"/>
    </row>
    <row r="3250" spans="9:18" x14ac:dyDescent="0.25">
      <c r="I3250" s="46"/>
      <c r="J3250" s="26"/>
      <c r="K3250" s="26"/>
      <c r="L3250" s="26"/>
      <c r="M3250" s="26"/>
      <c r="N3250" s="26"/>
      <c r="O3250" s="26"/>
      <c r="P3250" s="26"/>
      <c r="Q3250" s="26"/>
      <c r="R3250" s="26"/>
    </row>
    <row r="3251" spans="9:18" x14ac:dyDescent="0.25">
      <c r="I3251" s="46"/>
      <c r="J3251" s="26"/>
      <c r="K3251" s="26"/>
      <c r="L3251" s="26"/>
      <c r="M3251" s="26"/>
      <c r="N3251" s="26"/>
      <c r="O3251" s="26"/>
      <c r="P3251" s="26"/>
      <c r="Q3251" s="26"/>
      <c r="R3251" s="26"/>
    </row>
    <row r="3252" spans="9:18" x14ac:dyDescent="0.25">
      <c r="I3252" s="46"/>
      <c r="J3252" s="26"/>
      <c r="K3252" s="26"/>
      <c r="L3252" s="26"/>
      <c r="M3252" s="26"/>
      <c r="N3252" s="26"/>
      <c r="O3252" s="26"/>
      <c r="P3252" s="26"/>
      <c r="Q3252" s="26"/>
      <c r="R3252" s="26"/>
    </row>
    <row r="3253" spans="9:18" x14ac:dyDescent="0.25">
      <c r="I3253" s="46"/>
      <c r="J3253" s="26"/>
      <c r="K3253" s="26"/>
      <c r="L3253" s="26"/>
      <c r="M3253" s="26"/>
      <c r="N3253" s="26"/>
      <c r="O3253" s="26"/>
      <c r="P3253" s="26"/>
      <c r="Q3253" s="26"/>
      <c r="R3253" s="26"/>
    </row>
    <row r="3254" spans="9:18" x14ac:dyDescent="0.25">
      <c r="I3254" s="46"/>
      <c r="J3254" s="26"/>
      <c r="K3254" s="26"/>
      <c r="L3254" s="26"/>
      <c r="M3254" s="26"/>
      <c r="N3254" s="26"/>
      <c r="O3254" s="26"/>
      <c r="P3254" s="26"/>
      <c r="Q3254" s="26"/>
      <c r="R3254" s="26"/>
    </row>
    <row r="3255" spans="9:18" x14ac:dyDescent="0.25">
      <c r="I3255" s="46"/>
      <c r="J3255" s="26"/>
      <c r="K3255" s="26"/>
      <c r="L3255" s="26"/>
      <c r="M3255" s="26"/>
      <c r="N3255" s="26"/>
      <c r="O3255" s="26"/>
      <c r="P3255" s="26"/>
      <c r="Q3255" s="26"/>
      <c r="R3255" s="26"/>
    </row>
    <row r="3256" spans="9:18" x14ac:dyDescent="0.25">
      <c r="I3256" s="46"/>
      <c r="J3256" s="26"/>
      <c r="K3256" s="26"/>
      <c r="L3256" s="26"/>
      <c r="M3256" s="26"/>
      <c r="N3256" s="26"/>
      <c r="O3256" s="26"/>
      <c r="P3256" s="26"/>
      <c r="Q3256" s="26"/>
      <c r="R3256" s="26"/>
    </row>
    <row r="3257" spans="9:18" x14ac:dyDescent="0.25">
      <c r="I3257" s="46"/>
      <c r="J3257" s="26"/>
      <c r="K3257" s="26"/>
      <c r="L3257" s="26"/>
      <c r="M3257" s="26"/>
      <c r="N3257" s="26"/>
      <c r="O3257" s="26"/>
      <c r="P3257" s="26"/>
      <c r="Q3257" s="26"/>
      <c r="R3257" s="26"/>
    </row>
    <row r="3258" spans="9:18" x14ac:dyDescent="0.25">
      <c r="I3258" s="46"/>
      <c r="J3258" s="26"/>
      <c r="K3258" s="26"/>
      <c r="L3258" s="26"/>
      <c r="M3258" s="26"/>
      <c r="N3258" s="26"/>
      <c r="O3258" s="26"/>
      <c r="P3258" s="26"/>
      <c r="Q3258" s="26"/>
      <c r="R3258" s="26"/>
    </row>
    <row r="3259" spans="9:18" x14ac:dyDescent="0.25">
      <c r="I3259" s="46"/>
      <c r="J3259" s="26"/>
      <c r="K3259" s="26"/>
      <c r="L3259" s="26"/>
      <c r="M3259" s="26"/>
      <c r="N3259" s="26"/>
      <c r="O3259" s="26"/>
      <c r="P3259" s="26"/>
      <c r="Q3259" s="26"/>
      <c r="R3259" s="26"/>
    </row>
    <row r="3260" spans="9:18" x14ac:dyDescent="0.25">
      <c r="I3260" s="46"/>
      <c r="J3260" s="26"/>
      <c r="K3260" s="26"/>
      <c r="L3260" s="26"/>
      <c r="M3260" s="26"/>
      <c r="N3260" s="26"/>
      <c r="O3260" s="26"/>
      <c r="P3260" s="26"/>
      <c r="Q3260" s="26"/>
      <c r="R3260" s="26"/>
    </row>
    <row r="3261" spans="9:18" x14ac:dyDescent="0.25">
      <c r="I3261" s="46"/>
      <c r="J3261" s="26"/>
      <c r="K3261" s="26"/>
      <c r="L3261" s="26"/>
      <c r="M3261" s="26"/>
      <c r="N3261" s="26"/>
      <c r="O3261" s="26"/>
      <c r="P3261" s="26"/>
      <c r="Q3261" s="26"/>
      <c r="R3261" s="26"/>
    </row>
    <row r="3262" spans="9:18" x14ac:dyDescent="0.25">
      <c r="I3262" s="46"/>
      <c r="J3262" s="26"/>
      <c r="K3262" s="26"/>
      <c r="L3262" s="26"/>
      <c r="M3262" s="26"/>
      <c r="N3262" s="26"/>
      <c r="O3262" s="26"/>
      <c r="P3262" s="26"/>
      <c r="Q3262" s="26"/>
      <c r="R3262" s="26"/>
    </row>
    <row r="3263" spans="9:18" x14ac:dyDescent="0.25">
      <c r="I3263" s="46"/>
      <c r="J3263" s="26"/>
      <c r="K3263" s="26"/>
      <c r="L3263" s="26"/>
      <c r="M3263" s="26"/>
      <c r="N3263" s="26"/>
      <c r="O3263" s="26"/>
      <c r="P3263" s="26"/>
      <c r="Q3263" s="26"/>
      <c r="R3263" s="26"/>
    </row>
    <row r="3264" spans="9:18" x14ac:dyDescent="0.25">
      <c r="I3264" s="46"/>
      <c r="J3264" s="26"/>
      <c r="K3264" s="26"/>
      <c r="L3264" s="26"/>
      <c r="M3264" s="26"/>
      <c r="N3264" s="26"/>
      <c r="O3264" s="26"/>
      <c r="P3264" s="26"/>
      <c r="Q3264" s="26"/>
      <c r="R3264" s="26"/>
    </row>
    <row r="3265" spans="9:18" x14ac:dyDescent="0.25">
      <c r="I3265" s="46"/>
      <c r="J3265" s="26"/>
      <c r="K3265" s="26"/>
      <c r="L3265" s="26"/>
      <c r="M3265" s="26"/>
      <c r="N3265" s="26"/>
      <c r="O3265" s="26"/>
      <c r="P3265" s="26"/>
      <c r="Q3265" s="26"/>
      <c r="R3265" s="26"/>
    </row>
    <row r="3266" spans="9:18" x14ac:dyDescent="0.25">
      <c r="I3266" s="46"/>
      <c r="J3266" s="26"/>
      <c r="K3266" s="26"/>
      <c r="L3266" s="26"/>
      <c r="M3266" s="26"/>
      <c r="N3266" s="26"/>
      <c r="O3266" s="26"/>
      <c r="P3266" s="26"/>
      <c r="Q3266" s="26"/>
      <c r="R3266" s="26"/>
    </row>
    <row r="3267" spans="9:18" x14ac:dyDescent="0.25">
      <c r="I3267" s="46"/>
      <c r="J3267" s="26"/>
      <c r="K3267" s="26"/>
      <c r="L3267" s="26"/>
      <c r="M3267" s="26"/>
      <c r="N3267" s="26"/>
      <c r="O3267" s="26"/>
      <c r="P3267" s="26"/>
      <c r="Q3267" s="26"/>
      <c r="R3267" s="26"/>
    </row>
    <row r="3268" spans="9:18" x14ac:dyDescent="0.25">
      <c r="I3268" s="46"/>
      <c r="J3268" s="26"/>
      <c r="K3268" s="26"/>
      <c r="L3268" s="26"/>
      <c r="M3268" s="26"/>
      <c r="N3268" s="26"/>
      <c r="O3268" s="26"/>
      <c r="P3268" s="26"/>
      <c r="Q3268" s="26"/>
      <c r="R3268" s="26"/>
    </row>
    <row r="3269" spans="9:18" x14ac:dyDescent="0.25">
      <c r="I3269" s="46"/>
      <c r="J3269" s="26"/>
      <c r="K3269" s="26"/>
      <c r="L3269" s="26"/>
      <c r="M3269" s="26"/>
      <c r="N3269" s="26"/>
      <c r="O3269" s="26"/>
      <c r="P3269" s="26"/>
      <c r="Q3269" s="26"/>
      <c r="R3269" s="26"/>
    </row>
    <row r="3270" spans="9:18" x14ac:dyDescent="0.25">
      <c r="I3270" s="46"/>
      <c r="J3270" s="26"/>
      <c r="K3270" s="26"/>
      <c r="L3270" s="26"/>
      <c r="M3270" s="26"/>
      <c r="N3270" s="26"/>
      <c r="O3270" s="26"/>
      <c r="P3270" s="26"/>
      <c r="Q3270" s="26"/>
      <c r="R3270" s="26"/>
    </row>
    <row r="3271" spans="9:18" x14ac:dyDescent="0.25">
      <c r="I3271" s="46"/>
      <c r="J3271" s="26"/>
      <c r="K3271" s="26"/>
      <c r="L3271" s="26"/>
      <c r="M3271" s="26"/>
      <c r="N3271" s="26"/>
      <c r="O3271" s="26"/>
      <c r="P3271" s="26"/>
      <c r="Q3271" s="26"/>
      <c r="R3271" s="26"/>
    </row>
    <row r="3272" spans="9:18" x14ac:dyDescent="0.25">
      <c r="I3272" s="46"/>
      <c r="J3272" s="26"/>
      <c r="K3272" s="26"/>
      <c r="L3272" s="26"/>
      <c r="M3272" s="26"/>
      <c r="N3272" s="26"/>
      <c r="O3272" s="26"/>
      <c r="P3272" s="26"/>
      <c r="Q3272" s="26"/>
      <c r="R3272" s="26"/>
    </row>
    <row r="3273" spans="9:18" x14ac:dyDescent="0.25">
      <c r="I3273" s="46"/>
      <c r="J3273" s="26"/>
      <c r="K3273" s="26"/>
      <c r="L3273" s="26"/>
      <c r="M3273" s="26"/>
      <c r="N3273" s="26"/>
      <c r="O3273" s="26"/>
      <c r="P3273" s="26"/>
      <c r="Q3273" s="26"/>
      <c r="R3273" s="26"/>
    </row>
    <row r="3274" spans="9:18" x14ac:dyDescent="0.25">
      <c r="I3274" s="46"/>
      <c r="J3274" s="26"/>
      <c r="K3274" s="26"/>
      <c r="L3274" s="26"/>
      <c r="M3274" s="26"/>
      <c r="N3274" s="26"/>
      <c r="O3274" s="26"/>
      <c r="P3274" s="26"/>
      <c r="Q3274" s="26"/>
      <c r="R3274" s="26"/>
    </row>
    <row r="3275" spans="9:18" x14ac:dyDescent="0.25">
      <c r="I3275" s="46"/>
      <c r="J3275" s="26"/>
      <c r="K3275" s="26"/>
      <c r="L3275" s="26"/>
      <c r="M3275" s="26"/>
      <c r="N3275" s="26"/>
      <c r="O3275" s="26"/>
      <c r="P3275" s="26"/>
      <c r="Q3275" s="26"/>
      <c r="R3275" s="26"/>
    </row>
    <row r="3276" spans="9:18" x14ac:dyDescent="0.25">
      <c r="I3276" s="46"/>
      <c r="J3276" s="26"/>
      <c r="K3276" s="26"/>
      <c r="L3276" s="26"/>
      <c r="M3276" s="26"/>
      <c r="N3276" s="26"/>
      <c r="O3276" s="26"/>
      <c r="P3276" s="26"/>
      <c r="Q3276" s="26"/>
      <c r="R3276" s="26"/>
    </row>
    <row r="3277" spans="9:18" x14ac:dyDescent="0.25">
      <c r="I3277" s="46"/>
      <c r="J3277" s="26"/>
      <c r="K3277" s="26"/>
      <c r="L3277" s="26"/>
      <c r="M3277" s="26"/>
      <c r="N3277" s="26"/>
      <c r="O3277" s="26"/>
      <c r="P3277" s="26"/>
      <c r="Q3277" s="26"/>
      <c r="R3277" s="26"/>
    </row>
    <row r="3278" spans="9:18" x14ac:dyDescent="0.25">
      <c r="I3278" s="46"/>
      <c r="J3278" s="26"/>
      <c r="K3278" s="26"/>
      <c r="L3278" s="26"/>
      <c r="M3278" s="26"/>
      <c r="N3278" s="26"/>
      <c r="O3278" s="26"/>
      <c r="P3278" s="26"/>
      <c r="Q3278" s="26"/>
      <c r="R3278" s="26"/>
    </row>
    <row r="3279" spans="9:18" x14ac:dyDescent="0.25">
      <c r="I3279" s="46"/>
      <c r="J3279" s="26"/>
      <c r="K3279" s="26"/>
      <c r="L3279" s="26"/>
      <c r="M3279" s="26"/>
      <c r="N3279" s="26"/>
      <c r="O3279" s="26"/>
      <c r="P3279" s="26"/>
      <c r="Q3279" s="26"/>
      <c r="R3279" s="26"/>
    </row>
    <row r="3280" spans="9:18" x14ac:dyDescent="0.25">
      <c r="I3280" s="46"/>
      <c r="J3280" s="26"/>
      <c r="K3280" s="26"/>
      <c r="L3280" s="26"/>
      <c r="M3280" s="26"/>
      <c r="N3280" s="26"/>
      <c r="O3280" s="26"/>
      <c r="P3280" s="26"/>
      <c r="Q3280" s="26"/>
      <c r="R3280" s="26"/>
    </row>
    <row r="3281" spans="9:18" x14ac:dyDescent="0.25">
      <c r="I3281" s="46"/>
      <c r="J3281" s="26"/>
      <c r="K3281" s="26"/>
      <c r="L3281" s="26"/>
      <c r="M3281" s="26"/>
      <c r="N3281" s="26"/>
      <c r="O3281" s="26"/>
      <c r="P3281" s="26"/>
      <c r="Q3281" s="26"/>
      <c r="R3281" s="26"/>
    </row>
    <row r="3282" spans="9:18" x14ac:dyDescent="0.25">
      <c r="I3282" s="46"/>
      <c r="J3282" s="26"/>
      <c r="K3282" s="26"/>
      <c r="L3282" s="26"/>
      <c r="M3282" s="26"/>
      <c r="N3282" s="26"/>
      <c r="O3282" s="26"/>
      <c r="P3282" s="26"/>
      <c r="Q3282" s="26"/>
      <c r="R3282" s="26"/>
    </row>
    <row r="3283" spans="9:18" x14ac:dyDescent="0.25">
      <c r="I3283" s="46"/>
      <c r="J3283" s="26"/>
      <c r="K3283" s="26"/>
      <c r="L3283" s="26"/>
      <c r="M3283" s="26"/>
      <c r="N3283" s="26"/>
      <c r="O3283" s="26"/>
      <c r="P3283" s="26"/>
      <c r="Q3283" s="26"/>
      <c r="R3283" s="26"/>
    </row>
    <row r="3284" spans="9:18" x14ac:dyDescent="0.25">
      <c r="I3284" s="46"/>
      <c r="J3284" s="26"/>
      <c r="K3284" s="26"/>
      <c r="L3284" s="26"/>
      <c r="M3284" s="26"/>
      <c r="N3284" s="26"/>
      <c r="O3284" s="26"/>
      <c r="P3284" s="26"/>
      <c r="Q3284" s="26"/>
      <c r="R3284" s="26"/>
    </row>
    <row r="3285" spans="9:18" x14ac:dyDescent="0.25">
      <c r="I3285" s="46"/>
      <c r="J3285" s="26"/>
      <c r="K3285" s="26"/>
      <c r="L3285" s="26"/>
      <c r="M3285" s="26"/>
      <c r="N3285" s="26"/>
      <c r="O3285" s="26"/>
      <c r="P3285" s="26"/>
      <c r="Q3285" s="26"/>
      <c r="R3285" s="26"/>
    </row>
    <row r="3286" spans="9:18" x14ac:dyDescent="0.25">
      <c r="I3286" s="46"/>
      <c r="J3286" s="26"/>
      <c r="K3286" s="26"/>
      <c r="L3286" s="26"/>
      <c r="M3286" s="26"/>
      <c r="N3286" s="26"/>
      <c r="O3286" s="26"/>
      <c r="P3286" s="26"/>
      <c r="Q3286" s="26"/>
      <c r="R3286" s="26"/>
    </row>
    <row r="3287" spans="9:18" x14ac:dyDescent="0.25">
      <c r="I3287" s="46"/>
      <c r="J3287" s="26"/>
      <c r="K3287" s="26"/>
      <c r="L3287" s="26"/>
      <c r="M3287" s="26"/>
      <c r="N3287" s="26"/>
      <c r="O3287" s="26"/>
      <c r="P3287" s="26"/>
      <c r="Q3287" s="26"/>
      <c r="R3287" s="26"/>
    </row>
    <row r="3288" spans="9:18" x14ac:dyDescent="0.25">
      <c r="I3288" s="46"/>
      <c r="J3288" s="26"/>
      <c r="K3288" s="26"/>
      <c r="L3288" s="26"/>
      <c r="M3288" s="26"/>
      <c r="N3288" s="26"/>
      <c r="O3288" s="26"/>
      <c r="P3288" s="26"/>
      <c r="Q3288" s="26"/>
      <c r="R3288" s="26"/>
    </row>
    <row r="3289" spans="9:18" x14ac:dyDescent="0.25">
      <c r="I3289" s="46"/>
      <c r="J3289" s="26"/>
      <c r="K3289" s="26"/>
      <c r="L3289" s="26"/>
      <c r="M3289" s="26"/>
      <c r="N3289" s="26"/>
      <c r="O3289" s="26"/>
      <c r="P3289" s="26"/>
      <c r="Q3289" s="26"/>
      <c r="R3289" s="26"/>
    </row>
    <row r="3290" spans="9:18" x14ac:dyDescent="0.25">
      <c r="I3290" s="46"/>
      <c r="J3290" s="26"/>
      <c r="K3290" s="26"/>
      <c r="L3290" s="26"/>
      <c r="M3290" s="26"/>
      <c r="N3290" s="26"/>
      <c r="O3290" s="26"/>
      <c r="P3290" s="26"/>
      <c r="Q3290" s="26"/>
      <c r="R3290" s="26"/>
    </row>
    <row r="3291" spans="9:18" x14ac:dyDescent="0.25">
      <c r="I3291" s="46"/>
      <c r="J3291" s="26"/>
      <c r="K3291" s="26"/>
      <c r="L3291" s="26"/>
      <c r="M3291" s="26"/>
      <c r="N3291" s="26"/>
      <c r="O3291" s="26"/>
      <c r="P3291" s="26"/>
      <c r="Q3291" s="26"/>
      <c r="R3291" s="26"/>
    </row>
    <row r="3292" spans="9:18" x14ac:dyDescent="0.25">
      <c r="I3292" s="46"/>
      <c r="J3292" s="26"/>
      <c r="K3292" s="26"/>
      <c r="L3292" s="26"/>
      <c r="M3292" s="26"/>
      <c r="N3292" s="26"/>
      <c r="O3292" s="26"/>
      <c r="P3292" s="26"/>
      <c r="Q3292" s="26"/>
      <c r="R3292" s="26"/>
    </row>
    <row r="3293" spans="9:18" x14ac:dyDescent="0.25">
      <c r="I3293" s="46"/>
      <c r="J3293" s="26"/>
      <c r="K3293" s="26"/>
      <c r="L3293" s="26"/>
      <c r="M3293" s="26"/>
      <c r="N3293" s="26"/>
      <c r="O3293" s="26"/>
      <c r="P3293" s="26"/>
      <c r="Q3293" s="26"/>
      <c r="R3293" s="26"/>
    </row>
    <row r="3294" spans="9:18" x14ac:dyDescent="0.25">
      <c r="I3294" s="46"/>
      <c r="J3294" s="26"/>
      <c r="K3294" s="26"/>
      <c r="L3294" s="26"/>
      <c r="M3294" s="26"/>
      <c r="N3294" s="26"/>
      <c r="O3294" s="26"/>
      <c r="P3294" s="26"/>
      <c r="Q3294" s="26"/>
      <c r="R3294" s="26"/>
    </row>
    <row r="3295" spans="9:18" x14ac:dyDescent="0.25">
      <c r="I3295" s="46"/>
      <c r="J3295" s="26"/>
      <c r="K3295" s="26"/>
      <c r="L3295" s="26"/>
      <c r="M3295" s="26"/>
      <c r="N3295" s="26"/>
      <c r="O3295" s="26"/>
      <c r="P3295" s="26"/>
      <c r="Q3295" s="26"/>
      <c r="R3295" s="26"/>
    </row>
    <row r="3296" spans="9:18" x14ac:dyDescent="0.25">
      <c r="I3296" s="46"/>
      <c r="J3296" s="26"/>
      <c r="K3296" s="26"/>
      <c r="L3296" s="26"/>
      <c r="M3296" s="26"/>
      <c r="N3296" s="26"/>
      <c r="O3296" s="26"/>
      <c r="P3296" s="26"/>
      <c r="Q3296" s="26"/>
      <c r="R3296" s="26"/>
    </row>
    <row r="3297" spans="9:18" x14ac:dyDescent="0.25">
      <c r="I3297" s="46"/>
      <c r="J3297" s="26"/>
      <c r="K3297" s="26"/>
      <c r="L3297" s="26"/>
      <c r="M3297" s="26"/>
      <c r="N3297" s="26"/>
      <c r="O3297" s="26"/>
      <c r="P3297" s="26"/>
      <c r="Q3297" s="26"/>
      <c r="R3297" s="26"/>
    </row>
    <row r="3298" spans="9:18" x14ac:dyDescent="0.25">
      <c r="I3298" s="46"/>
      <c r="J3298" s="26"/>
      <c r="K3298" s="26"/>
      <c r="L3298" s="26"/>
      <c r="M3298" s="26"/>
      <c r="N3298" s="26"/>
      <c r="O3298" s="26"/>
      <c r="P3298" s="26"/>
      <c r="Q3298" s="26"/>
      <c r="R3298" s="26"/>
    </row>
    <row r="3299" spans="9:18" x14ac:dyDescent="0.25">
      <c r="I3299" s="46"/>
      <c r="J3299" s="26"/>
      <c r="K3299" s="26"/>
      <c r="L3299" s="26"/>
      <c r="M3299" s="26"/>
      <c r="N3299" s="26"/>
      <c r="O3299" s="26"/>
      <c r="P3299" s="26"/>
      <c r="Q3299" s="26"/>
      <c r="R3299" s="26"/>
    </row>
    <row r="3300" spans="9:18" x14ac:dyDescent="0.25">
      <c r="I3300" s="46"/>
      <c r="J3300" s="26"/>
      <c r="K3300" s="26"/>
      <c r="L3300" s="26"/>
      <c r="M3300" s="26"/>
      <c r="N3300" s="26"/>
      <c r="O3300" s="26"/>
      <c r="P3300" s="26"/>
      <c r="Q3300" s="26"/>
      <c r="R3300" s="26"/>
    </row>
    <row r="3301" spans="9:18" x14ac:dyDescent="0.25">
      <c r="I3301" s="46"/>
      <c r="J3301" s="26"/>
      <c r="K3301" s="26"/>
      <c r="L3301" s="26"/>
      <c r="M3301" s="26"/>
      <c r="N3301" s="26"/>
      <c r="O3301" s="26"/>
      <c r="P3301" s="26"/>
      <c r="Q3301" s="26"/>
      <c r="R3301" s="26"/>
    </row>
    <row r="3302" spans="9:18" x14ac:dyDescent="0.25">
      <c r="I3302" s="46"/>
      <c r="J3302" s="26"/>
      <c r="K3302" s="26"/>
      <c r="L3302" s="26"/>
      <c r="M3302" s="26"/>
      <c r="N3302" s="26"/>
      <c r="O3302" s="26"/>
      <c r="P3302" s="26"/>
      <c r="Q3302" s="26"/>
      <c r="R3302" s="26"/>
    </row>
    <row r="3303" spans="9:18" x14ac:dyDescent="0.25">
      <c r="I3303" s="46"/>
      <c r="J3303" s="26"/>
      <c r="K3303" s="26"/>
      <c r="L3303" s="26"/>
      <c r="M3303" s="26"/>
      <c r="N3303" s="26"/>
      <c r="O3303" s="26"/>
      <c r="P3303" s="26"/>
      <c r="Q3303" s="26"/>
      <c r="R3303" s="26"/>
    </row>
    <row r="3304" spans="9:18" x14ac:dyDescent="0.25">
      <c r="I3304" s="46"/>
      <c r="J3304" s="26"/>
      <c r="K3304" s="26"/>
      <c r="L3304" s="26"/>
      <c r="M3304" s="26"/>
      <c r="N3304" s="26"/>
      <c r="O3304" s="26"/>
      <c r="P3304" s="26"/>
      <c r="Q3304" s="26"/>
      <c r="R3304" s="26"/>
    </row>
    <row r="3305" spans="9:18" x14ac:dyDescent="0.25">
      <c r="I3305" s="46"/>
      <c r="J3305" s="26"/>
      <c r="K3305" s="26"/>
      <c r="L3305" s="26"/>
      <c r="M3305" s="26"/>
      <c r="N3305" s="26"/>
      <c r="O3305" s="26"/>
      <c r="P3305" s="26"/>
      <c r="Q3305" s="26"/>
      <c r="R3305" s="26"/>
    </row>
    <row r="3306" spans="9:18" x14ac:dyDescent="0.25">
      <c r="I3306" s="46"/>
      <c r="J3306" s="26"/>
      <c r="K3306" s="26"/>
      <c r="L3306" s="26"/>
      <c r="M3306" s="26"/>
      <c r="N3306" s="26"/>
      <c r="O3306" s="26"/>
      <c r="P3306" s="26"/>
      <c r="Q3306" s="26"/>
      <c r="R3306" s="26"/>
    </row>
    <row r="3307" spans="9:18" x14ac:dyDescent="0.25">
      <c r="I3307" s="46"/>
      <c r="J3307" s="26"/>
      <c r="K3307" s="26"/>
      <c r="L3307" s="26"/>
      <c r="M3307" s="26"/>
      <c r="N3307" s="26"/>
      <c r="O3307" s="26"/>
      <c r="P3307" s="26"/>
      <c r="Q3307" s="26"/>
      <c r="R3307" s="26"/>
    </row>
    <row r="3308" spans="9:18" x14ac:dyDescent="0.25">
      <c r="I3308" s="46"/>
      <c r="J3308" s="26"/>
      <c r="K3308" s="26"/>
      <c r="L3308" s="26"/>
      <c r="M3308" s="26"/>
      <c r="N3308" s="26"/>
      <c r="O3308" s="26"/>
      <c r="P3308" s="26"/>
      <c r="Q3308" s="26"/>
      <c r="R3308" s="26"/>
    </row>
    <row r="3309" spans="9:18" x14ac:dyDescent="0.25">
      <c r="I3309" s="46"/>
      <c r="J3309" s="26"/>
      <c r="K3309" s="26"/>
      <c r="L3309" s="26"/>
      <c r="M3309" s="26"/>
      <c r="N3309" s="26"/>
      <c r="O3309" s="26"/>
      <c r="P3309" s="26"/>
      <c r="Q3309" s="26"/>
      <c r="R3309" s="26"/>
    </row>
    <row r="3310" spans="9:18" x14ac:dyDescent="0.25">
      <c r="I3310" s="46"/>
      <c r="J3310" s="26"/>
      <c r="K3310" s="26"/>
      <c r="L3310" s="26"/>
      <c r="M3310" s="26"/>
      <c r="N3310" s="26"/>
      <c r="O3310" s="26"/>
      <c r="P3310" s="26"/>
      <c r="Q3310" s="26"/>
      <c r="R3310" s="26"/>
    </row>
    <row r="3311" spans="9:18" x14ac:dyDescent="0.25">
      <c r="I3311" s="46"/>
      <c r="J3311" s="26"/>
      <c r="K3311" s="26"/>
      <c r="L3311" s="26"/>
      <c r="M3311" s="26"/>
      <c r="N3311" s="26"/>
      <c r="O3311" s="26"/>
      <c r="P3311" s="26"/>
      <c r="Q3311" s="26"/>
      <c r="R3311" s="26"/>
    </row>
    <row r="3312" spans="9:18" x14ac:dyDescent="0.25">
      <c r="I3312" s="46"/>
      <c r="J3312" s="26"/>
      <c r="K3312" s="26"/>
      <c r="L3312" s="26"/>
      <c r="M3312" s="26"/>
      <c r="N3312" s="26"/>
      <c r="O3312" s="26"/>
      <c r="P3312" s="26"/>
      <c r="Q3312" s="26"/>
      <c r="R3312" s="26"/>
    </row>
    <row r="3313" spans="9:18" x14ac:dyDescent="0.25">
      <c r="I3313" s="46"/>
      <c r="J3313" s="26"/>
      <c r="K3313" s="26"/>
      <c r="L3313" s="26"/>
      <c r="M3313" s="26"/>
      <c r="N3313" s="26"/>
      <c r="O3313" s="26"/>
      <c r="P3313" s="26"/>
      <c r="Q3313" s="26"/>
      <c r="R3313" s="26"/>
    </row>
    <row r="3314" spans="9:18" x14ac:dyDescent="0.25">
      <c r="I3314" s="46"/>
      <c r="J3314" s="26"/>
      <c r="K3314" s="26"/>
      <c r="L3314" s="26"/>
      <c r="M3314" s="26"/>
      <c r="N3314" s="26"/>
      <c r="O3314" s="26"/>
      <c r="P3314" s="26"/>
      <c r="Q3314" s="26"/>
      <c r="R3314" s="26"/>
    </row>
    <row r="3315" spans="9:18" x14ac:dyDescent="0.25">
      <c r="I3315" s="46"/>
      <c r="J3315" s="26"/>
      <c r="K3315" s="26"/>
      <c r="L3315" s="26"/>
      <c r="M3315" s="26"/>
      <c r="N3315" s="26"/>
      <c r="O3315" s="26"/>
      <c r="P3315" s="26"/>
      <c r="Q3315" s="26"/>
      <c r="R3315" s="26"/>
    </row>
    <row r="3316" spans="9:18" x14ac:dyDescent="0.25">
      <c r="I3316" s="46"/>
      <c r="J3316" s="26"/>
      <c r="K3316" s="26"/>
      <c r="L3316" s="26"/>
      <c r="M3316" s="26"/>
      <c r="N3316" s="26"/>
      <c r="O3316" s="26"/>
      <c r="P3316" s="26"/>
      <c r="Q3316" s="26"/>
      <c r="R3316" s="26"/>
    </row>
    <row r="3317" spans="9:18" x14ac:dyDescent="0.25">
      <c r="I3317" s="46"/>
      <c r="J3317" s="26"/>
      <c r="K3317" s="26"/>
      <c r="L3317" s="26"/>
      <c r="M3317" s="26"/>
      <c r="N3317" s="26"/>
      <c r="O3317" s="26"/>
      <c r="P3317" s="26"/>
      <c r="Q3317" s="26"/>
      <c r="R3317" s="26"/>
    </row>
    <row r="3318" spans="9:18" x14ac:dyDescent="0.25">
      <c r="I3318" s="46"/>
      <c r="J3318" s="26"/>
      <c r="K3318" s="26"/>
      <c r="L3318" s="26"/>
      <c r="M3318" s="26"/>
      <c r="N3318" s="26"/>
      <c r="O3318" s="26"/>
      <c r="P3318" s="26"/>
      <c r="Q3318" s="26"/>
      <c r="R3318" s="26"/>
    </row>
    <row r="3319" spans="9:18" x14ac:dyDescent="0.25">
      <c r="I3319" s="46"/>
      <c r="J3319" s="26"/>
      <c r="K3319" s="26"/>
      <c r="L3319" s="26"/>
      <c r="M3319" s="26"/>
      <c r="N3319" s="26"/>
      <c r="O3319" s="26"/>
      <c r="P3319" s="26"/>
      <c r="Q3319" s="26"/>
      <c r="R3319" s="26"/>
    </row>
    <row r="3320" spans="9:18" x14ac:dyDescent="0.25">
      <c r="I3320" s="46"/>
      <c r="J3320" s="26"/>
      <c r="K3320" s="26"/>
      <c r="L3320" s="26"/>
      <c r="M3320" s="26"/>
      <c r="N3320" s="26"/>
      <c r="O3320" s="26"/>
      <c r="P3320" s="26"/>
      <c r="Q3320" s="26"/>
      <c r="R3320" s="26"/>
    </row>
    <row r="3321" spans="9:18" x14ac:dyDescent="0.25">
      <c r="I3321" s="46"/>
      <c r="J3321" s="26"/>
      <c r="K3321" s="26"/>
      <c r="L3321" s="26"/>
      <c r="M3321" s="26"/>
      <c r="N3321" s="26"/>
      <c r="O3321" s="26"/>
      <c r="P3321" s="26"/>
      <c r="Q3321" s="26"/>
      <c r="R3321" s="26"/>
    </row>
    <row r="3322" spans="9:18" x14ac:dyDescent="0.25">
      <c r="I3322" s="46"/>
      <c r="J3322" s="26"/>
      <c r="K3322" s="26"/>
      <c r="L3322" s="26"/>
      <c r="M3322" s="26"/>
      <c r="N3322" s="26"/>
      <c r="O3322" s="26"/>
      <c r="P3322" s="26"/>
      <c r="Q3322" s="26"/>
      <c r="R3322" s="26"/>
    </row>
    <row r="3323" spans="9:18" x14ac:dyDescent="0.25">
      <c r="I3323" s="46"/>
      <c r="J3323" s="26"/>
      <c r="K3323" s="26"/>
      <c r="L3323" s="26"/>
      <c r="M3323" s="26"/>
      <c r="N3323" s="26"/>
      <c r="O3323" s="26"/>
      <c r="P3323" s="26"/>
      <c r="Q3323" s="26"/>
      <c r="R3323" s="26"/>
    </row>
    <row r="3324" spans="9:18" x14ac:dyDescent="0.25">
      <c r="I3324" s="46"/>
      <c r="J3324" s="26"/>
      <c r="K3324" s="26"/>
      <c r="L3324" s="26"/>
      <c r="M3324" s="26"/>
      <c r="N3324" s="26"/>
      <c r="O3324" s="26"/>
      <c r="P3324" s="26"/>
      <c r="Q3324" s="26"/>
      <c r="R3324" s="26"/>
    </row>
    <row r="3325" spans="9:18" x14ac:dyDescent="0.25">
      <c r="I3325" s="46"/>
      <c r="J3325" s="26"/>
      <c r="K3325" s="26"/>
      <c r="L3325" s="26"/>
      <c r="M3325" s="26"/>
      <c r="N3325" s="26"/>
      <c r="O3325" s="26"/>
      <c r="P3325" s="26"/>
      <c r="Q3325" s="26"/>
      <c r="R3325" s="26"/>
    </row>
    <row r="3326" spans="9:18" x14ac:dyDescent="0.25">
      <c r="I3326" s="46"/>
      <c r="J3326" s="26"/>
      <c r="K3326" s="26"/>
      <c r="L3326" s="26"/>
      <c r="M3326" s="26"/>
      <c r="N3326" s="26"/>
      <c r="O3326" s="26"/>
      <c r="P3326" s="26"/>
      <c r="Q3326" s="26"/>
      <c r="R3326" s="26"/>
    </row>
    <row r="3327" spans="9:18" x14ac:dyDescent="0.25">
      <c r="I3327" s="46"/>
      <c r="J3327" s="26"/>
      <c r="K3327" s="26"/>
      <c r="L3327" s="26"/>
      <c r="M3327" s="26"/>
      <c r="N3327" s="26"/>
      <c r="O3327" s="26"/>
      <c r="P3327" s="26"/>
      <c r="Q3327" s="26"/>
      <c r="R3327" s="26"/>
    </row>
    <row r="3328" spans="9:18" x14ac:dyDescent="0.25">
      <c r="I3328" s="46"/>
      <c r="J3328" s="26"/>
      <c r="K3328" s="26"/>
      <c r="L3328" s="26"/>
      <c r="M3328" s="26"/>
      <c r="N3328" s="26"/>
      <c r="O3328" s="26"/>
      <c r="P3328" s="26"/>
      <c r="Q3328" s="26"/>
      <c r="R3328" s="26"/>
    </row>
    <row r="3329" spans="9:18" x14ac:dyDescent="0.25">
      <c r="I3329" s="46"/>
      <c r="J3329" s="26"/>
      <c r="K3329" s="26"/>
      <c r="L3329" s="26"/>
      <c r="M3329" s="26"/>
      <c r="N3329" s="26"/>
      <c r="O3329" s="26"/>
      <c r="P3329" s="26"/>
      <c r="Q3329" s="26"/>
      <c r="R3329" s="26"/>
    </row>
    <row r="3330" spans="9:18" x14ac:dyDescent="0.25">
      <c r="I3330" s="46"/>
      <c r="J3330" s="26"/>
      <c r="K3330" s="26"/>
      <c r="L3330" s="26"/>
      <c r="M3330" s="26"/>
      <c r="N3330" s="26"/>
      <c r="O3330" s="26"/>
      <c r="P3330" s="26"/>
      <c r="Q3330" s="26"/>
      <c r="R3330" s="26"/>
    </row>
    <row r="3331" spans="9:18" x14ac:dyDescent="0.25">
      <c r="I3331" s="46"/>
      <c r="J3331" s="26"/>
      <c r="K3331" s="26"/>
      <c r="L3331" s="26"/>
      <c r="M3331" s="26"/>
      <c r="N3331" s="26"/>
      <c r="O3331" s="26"/>
      <c r="P3331" s="26"/>
      <c r="Q3331" s="26"/>
      <c r="R3331" s="26"/>
    </row>
    <row r="3332" spans="9:18" x14ac:dyDescent="0.25">
      <c r="I3332" s="46"/>
      <c r="J3332" s="26"/>
      <c r="K3332" s="26"/>
      <c r="L3332" s="26"/>
      <c r="M3332" s="26"/>
      <c r="N3332" s="26"/>
      <c r="O3332" s="26"/>
      <c r="P3332" s="26"/>
      <c r="Q3332" s="26"/>
      <c r="R3332" s="26"/>
    </row>
    <row r="3333" spans="9:18" x14ac:dyDescent="0.25">
      <c r="I3333" s="46"/>
      <c r="J3333" s="26"/>
      <c r="K3333" s="26"/>
      <c r="L3333" s="26"/>
      <c r="M3333" s="26"/>
      <c r="N3333" s="26"/>
      <c r="O3333" s="26"/>
      <c r="P3333" s="26"/>
      <c r="Q3333" s="26"/>
      <c r="R3333" s="26"/>
    </row>
    <row r="3334" spans="9:18" x14ac:dyDescent="0.25">
      <c r="I3334" s="46"/>
      <c r="J3334" s="26"/>
      <c r="K3334" s="26"/>
      <c r="L3334" s="26"/>
      <c r="M3334" s="26"/>
      <c r="N3334" s="26"/>
      <c r="O3334" s="26"/>
      <c r="P3334" s="26"/>
      <c r="Q3334" s="26"/>
      <c r="R3334" s="26"/>
    </row>
    <row r="3335" spans="9:18" x14ac:dyDescent="0.25">
      <c r="I3335" s="46"/>
      <c r="J3335" s="26"/>
      <c r="K3335" s="26"/>
      <c r="L3335" s="26"/>
      <c r="M3335" s="26"/>
      <c r="N3335" s="26"/>
      <c r="O3335" s="26"/>
      <c r="P3335" s="26"/>
      <c r="Q3335" s="26"/>
      <c r="R3335" s="26"/>
    </row>
    <row r="3336" spans="9:18" x14ac:dyDescent="0.25">
      <c r="I3336" s="46"/>
      <c r="J3336" s="26"/>
      <c r="K3336" s="26"/>
      <c r="L3336" s="26"/>
      <c r="M3336" s="26"/>
      <c r="N3336" s="26"/>
      <c r="O3336" s="26"/>
      <c r="P3336" s="26"/>
      <c r="Q3336" s="26"/>
      <c r="R3336" s="26"/>
    </row>
    <row r="3337" spans="9:18" x14ac:dyDescent="0.25">
      <c r="I3337" s="46"/>
      <c r="J3337" s="26"/>
      <c r="K3337" s="26"/>
      <c r="L3337" s="26"/>
      <c r="M3337" s="26"/>
      <c r="N3337" s="26"/>
      <c r="O3337" s="26"/>
      <c r="P3337" s="26"/>
      <c r="Q3337" s="26"/>
      <c r="R3337" s="26"/>
    </row>
    <row r="3338" spans="9:18" x14ac:dyDescent="0.25">
      <c r="I3338" s="46"/>
      <c r="J3338" s="26"/>
      <c r="K3338" s="26"/>
      <c r="L3338" s="26"/>
      <c r="M3338" s="26"/>
      <c r="N3338" s="26"/>
      <c r="O3338" s="26"/>
      <c r="P3338" s="26"/>
      <c r="Q3338" s="26"/>
      <c r="R3338" s="26"/>
    </row>
    <row r="3339" spans="9:18" x14ac:dyDescent="0.25">
      <c r="I3339" s="46"/>
      <c r="J3339" s="26"/>
      <c r="K3339" s="26"/>
      <c r="L3339" s="26"/>
      <c r="M3339" s="26"/>
      <c r="N3339" s="26"/>
      <c r="O3339" s="26"/>
      <c r="P3339" s="26"/>
      <c r="Q3339" s="26"/>
      <c r="R3339" s="26"/>
    </row>
    <row r="3340" spans="9:18" x14ac:dyDescent="0.25">
      <c r="I3340" s="46"/>
      <c r="J3340" s="26"/>
      <c r="K3340" s="26"/>
      <c r="L3340" s="26"/>
      <c r="M3340" s="26"/>
      <c r="N3340" s="26"/>
      <c r="O3340" s="26"/>
      <c r="P3340" s="26"/>
      <c r="Q3340" s="26"/>
      <c r="R3340" s="26"/>
    </row>
    <row r="3341" spans="9:18" x14ac:dyDescent="0.25">
      <c r="I3341" s="46"/>
      <c r="J3341" s="26"/>
      <c r="K3341" s="26"/>
      <c r="L3341" s="26"/>
      <c r="M3341" s="26"/>
      <c r="N3341" s="26"/>
      <c r="O3341" s="26"/>
      <c r="P3341" s="26"/>
      <c r="Q3341" s="26"/>
      <c r="R3341" s="26"/>
    </row>
    <row r="3342" spans="9:18" x14ac:dyDescent="0.25">
      <c r="I3342" s="46"/>
      <c r="J3342" s="26"/>
      <c r="K3342" s="26"/>
      <c r="L3342" s="26"/>
      <c r="M3342" s="26"/>
      <c r="N3342" s="26"/>
      <c r="O3342" s="26"/>
      <c r="P3342" s="26"/>
      <c r="Q3342" s="26"/>
      <c r="R3342" s="26"/>
    </row>
    <row r="3343" spans="9:18" x14ac:dyDescent="0.25">
      <c r="I3343" s="46"/>
      <c r="J3343" s="26"/>
      <c r="K3343" s="26"/>
      <c r="L3343" s="26"/>
      <c r="M3343" s="26"/>
      <c r="N3343" s="26"/>
      <c r="O3343" s="26"/>
      <c r="P3343" s="26"/>
      <c r="Q3343" s="26"/>
      <c r="R3343" s="26"/>
    </row>
    <row r="3344" spans="9:18" x14ac:dyDescent="0.25">
      <c r="I3344" s="46"/>
      <c r="J3344" s="26"/>
      <c r="K3344" s="26"/>
      <c r="L3344" s="26"/>
      <c r="M3344" s="26"/>
      <c r="N3344" s="26"/>
      <c r="O3344" s="26"/>
      <c r="P3344" s="26"/>
      <c r="Q3344" s="26"/>
      <c r="R3344" s="26"/>
    </row>
    <row r="3345" spans="9:18" x14ac:dyDescent="0.25">
      <c r="I3345" s="46"/>
      <c r="J3345" s="26"/>
      <c r="K3345" s="26"/>
      <c r="L3345" s="26"/>
      <c r="M3345" s="26"/>
      <c r="N3345" s="26"/>
      <c r="O3345" s="26"/>
      <c r="P3345" s="26"/>
      <c r="Q3345" s="26"/>
      <c r="R3345" s="26"/>
    </row>
    <row r="3346" spans="9:18" x14ac:dyDescent="0.25">
      <c r="I3346" s="46"/>
      <c r="J3346" s="26"/>
      <c r="K3346" s="26"/>
      <c r="L3346" s="26"/>
      <c r="M3346" s="26"/>
      <c r="N3346" s="26"/>
      <c r="O3346" s="26"/>
      <c r="P3346" s="26"/>
      <c r="Q3346" s="26"/>
      <c r="R3346" s="26"/>
    </row>
    <row r="3347" spans="9:18" x14ac:dyDescent="0.25">
      <c r="I3347" s="46"/>
      <c r="J3347" s="26"/>
      <c r="K3347" s="26"/>
      <c r="L3347" s="26"/>
      <c r="M3347" s="26"/>
      <c r="N3347" s="26"/>
      <c r="O3347" s="26"/>
      <c r="P3347" s="26"/>
      <c r="Q3347" s="26"/>
      <c r="R3347" s="26"/>
    </row>
    <row r="3348" spans="9:18" x14ac:dyDescent="0.25">
      <c r="I3348" s="46"/>
      <c r="J3348" s="26"/>
      <c r="K3348" s="26"/>
      <c r="L3348" s="26"/>
      <c r="M3348" s="26"/>
      <c r="N3348" s="26"/>
      <c r="O3348" s="26"/>
      <c r="P3348" s="26"/>
      <c r="Q3348" s="26"/>
      <c r="R3348" s="26"/>
    </row>
    <row r="3349" spans="9:18" x14ac:dyDescent="0.25">
      <c r="I3349" s="46"/>
      <c r="J3349" s="26"/>
      <c r="K3349" s="26"/>
      <c r="L3349" s="26"/>
      <c r="M3349" s="26"/>
      <c r="N3349" s="26"/>
      <c r="O3349" s="26"/>
      <c r="P3349" s="26"/>
      <c r="Q3349" s="26"/>
      <c r="R3349" s="26"/>
    </row>
    <row r="3350" spans="9:18" x14ac:dyDescent="0.25">
      <c r="I3350" s="46"/>
      <c r="J3350" s="26"/>
      <c r="K3350" s="26"/>
      <c r="L3350" s="26"/>
      <c r="M3350" s="26"/>
      <c r="N3350" s="26"/>
      <c r="O3350" s="26"/>
      <c r="P3350" s="26"/>
      <c r="Q3350" s="26"/>
      <c r="R3350" s="26"/>
    </row>
    <row r="3351" spans="9:18" x14ac:dyDescent="0.25">
      <c r="I3351" s="46"/>
      <c r="J3351" s="26"/>
      <c r="K3351" s="26"/>
      <c r="L3351" s="26"/>
      <c r="M3351" s="26"/>
      <c r="N3351" s="26"/>
      <c r="O3351" s="26"/>
      <c r="P3351" s="26"/>
      <c r="Q3351" s="26"/>
      <c r="R3351" s="26"/>
    </row>
    <row r="3352" spans="9:18" x14ac:dyDescent="0.25">
      <c r="I3352" s="46"/>
      <c r="J3352" s="26"/>
      <c r="K3352" s="26"/>
      <c r="L3352" s="26"/>
      <c r="M3352" s="26"/>
      <c r="N3352" s="26"/>
      <c r="O3352" s="26"/>
      <c r="P3352" s="26"/>
      <c r="Q3352" s="26"/>
      <c r="R3352" s="26"/>
    </row>
    <row r="3353" spans="9:18" x14ac:dyDescent="0.25">
      <c r="I3353" s="46"/>
      <c r="J3353" s="26"/>
      <c r="K3353" s="26"/>
      <c r="L3353" s="26"/>
      <c r="M3353" s="26"/>
      <c r="N3353" s="26"/>
      <c r="O3353" s="26"/>
      <c r="P3353" s="26"/>
      <c r="Q3353" s="26"/>
      <c r="R3353" s="26"/>
    </row>
    <row r="3354" spans="9:18" x14ac:dyDescent="0.25">
      <c r="I3354" s="46"/>
      <c r="J3354" s="26"/>
      <c r="K3354" s="26"/>
      <c r="L3354" s="26"/>
      <c r="M3354" s="26"/>
      <c r="N3354" s="26"/>
      <c r="O3354" s="26"/>
      <c r="P3354" s="26"/>
      <c r="Q3354" s="26"/>
      <c r="R3354" s="26"/>
    </row>
    <row r="3355" spans="9:18" x14ac:dyDescent="0.25">
      <c r="I3355" s="46"/>
      <c r="J3355" s="26"/>
      <c r="K3355" s="26"/>
      <c r="L3355" s="26"/>
      <c r="M3355" s="26"/>
      <c r="N3355" s="26"/>
      <c r="O3355" s="26"/>
      <c r="P3355" s="26"/>
      <c r="Q3355" s="26"/>
      <c r="R3355" s="26"/>
    </row>
    <row r="3356" spans="9:18" x14ac:dyDescent="0.25">
      <c r="I3356" s="46"/>
      <c r="J3356" s="26"/>
      <c r="K3356" s="26"/>
      <c r="L3356" s="26"/>
      <c r="M3356" s="26"/>
      <c r="N3356" s="26"/>
      <c r="O3356" s="26"/>
      <c r="P3356" s="26"/>
      <c r="Q3356" s="26"/>
      <c r="R3356" s="26"/>
    </row>
    <row r="3357" spans="9:18" x14ac:dyDescent="0.25">
      <c r="I3357" s="46"/>
      <c r="J3357" s="26"/>
      <c r="K3357" s="26"/>
      <c r="L3357" s="26"/>
      <c r="M3357" s="26"/>
      <c r="N3357" s="26"/>
      <c r="O3357" s="26"/>
      <c r="P3357" s="26"/>
      <c r="Q3357" s="26"/>
      <c r="R3357" s="26"/>
    </row>
    <row r="3358" spans="9:18" x14ac:dyDescent="0.25">
      <c r="I3358" s="46"/>
      <c r="J3358" s="26"/>
      <c r="K3358" s="26"/>
      <c r="L3358" s="26"/>
      <c r="M3358" s="26"/>
      <c r="N3358" s="26"/>
      <c r="O3358" s="26"/>
      <c r="P3358" s="26"/>
      <c r="Q3358" s="26"/>
      <c r="R3358" s="26"/>
    </row>
    <row r="3359" spans="9:18" x14ac:dyDescent="0.25">
      <c r="I3359" s="46"/>
      <c r="J3359" s="26"/>
      <c r="K3359" s="26"/>
      <c r="L3359" s="26"/>
      <c r="M3359" s="26"/>
      <c r="N3359" s="26"/>
      <c r="O3359" s="26"/>
      <c r="P3359" s="26"/>
      <c r="Q3359" s="26"/>
      <c r="R3359" s="26"/>
    </row>
    <row r="3360" spans="9:18" x14ac:dyDescent="0.25">
      <c r="I3360" s="46"/>
      <c r="J3360" s="26"/>
      <c r="K3360" s="26"/>
      <c r="L3360" s="26"/>
      <c r="M3360" s="26"/>
      <c r="N3360" s="26"/>
      <c r="O3360" s="26"/>
      <c r="P3360" s="26"/>
      <c r="Q3360" s="26"/>
      <c r="R3360" s="26"/>
    </row>
    <row r="3361" spans="9:18" x14ac:dyDescent="0.25">
      <c r="I3361" s="46"/>
      <c r="J3361" s="26"/>
      <c r="K3361" s="26"/>
      <c r="L3361" s="26"/>
      <c r="M3361" s="26"/>
      <c r="N3361" s="26"/>
      <c r="O3361" s="26"/>
      <c r="P3361" s="26"/>
      <c r="Q3361" s="26"/>
      <c r="R3361" s="26"/>
    </row>
    <row r="3362" spans="9:18" x14ac:dyDescent="0.25">
      <c r="I3362" s="46"/>
      <c r="J3362" s="26"/>
      <c r="K3362" s="26"/>
      <c r="L3362" s="26"/>
      <c r="M3362" s="26"/>
      <c r="N3362" s="26"/>
      <c r="O3362" s="26"/>
      <c r="P3362" s="26"/>
      <c r="Q3362" s="26"/>
      <c r="R3362" s="26"/>
    </row>
    <row r="3363" spans="9:18" x14ac:dyDescent="0.25">
      <c r="I3363" s="46"/>
      <c r="J3363" s="26"/>
      <c r="K3363" s="26"/>
      <c r="L3363" s="26"/>
      <c r="M3363" s="26"/>
      <c r="N3363" s="26"/>
      <c r="O3363" s="26"/>
      <c r="P3363" s="26"/>
      <c r="Q3363" s="26"/>
      <c r="R3363" s="26"/>
    </row>
    <row r="3364" spans="9:18" x14ac:dyDescent="0.25">
      <c r="I3364" s="46"/>
      <c r="J3364" s="26"/>
      <c r="K3364" s="26"/>
      <c r="L3364" s="26"/>
      <c r="M3364" s="26"/>
      <c r="N3364" s="26"/>
      <c r="O3364" s="26"/>
      <c r="P3364" s="26"/>
      <c r="Q3364" s="26"/>
      <c r="R3364" s="26"/>
    </row>
    <row r="3365" spans="9:18" x14ac:dyDescent="0.25">
      <c r="I3365" s="46"/>
      <c r="J3365" s="26"/>
      <c r="K3365" s="26"/>
      <c r="L3365" s="26"/>
      <c r="M3365" s="26"/>
      <c r="N3365" s="26"/>
      <c r="O3365" s="26"/>
      <c r="P3365" s="26"/>
      <c r="Q3365" s="26"/>
      <c r="R3365" s="26"/>
    </row>
    <row r="3366" spans="9:18" x14ac:dyDescent="0.25">
      <c r="I3366" s="46"/>
      <c r="J3366" s="26"/>
      <c r="K3366" s="26"/>
      <c r="L3366" s="26"/>
      <c r="M3366" s="26"/>
      <c r="N3366" s="26"/>
      <c r="O3366" s="26"/>
      <c r="P3366" s="26"/>
      <c r="Q3366" s="26"/>
      <c r="R3366" s="26"/>
    </row>
    <row r="3367" spans="9:18" x14ac:dyDescent="0.25">
      <c r="I3367" s="46"/>
      <c r="J3367" s="26"/>
      <c r="K3367" s="26"/>
      <c r="L3367" s="26"/>
      <c r="M3367" s="26"/>
      <c r="N3367" s="26"/>
      <c r="O3367" s="26"/>
      <c r="P3367" s="26"/>
      <c r="Q3367" s="26"/>
      <c r="R3367" s="26"/>
    </row>
    <row r="3368" spans="9:18" x14ac:dyDescent="0.25">
      <c r="I3368" s="46"/>
      <c r="J3368" s="26"/>
      <c r="K3368" s="26"/>
      <c r="L3368" s="26"/>
      <c r="M3368" s="26"/>
      <c r="N3368" s="26"/>
      <c r="O3368" s="26"/>
      <c r="P3368" s="26"/>
      <c r="Q3368" s="26"/>
      <c r="R3368" s="26"/>
    </row>
    <row r="3369" spans="9:18" x14ac:dyDescent="0.25">
      <c r="I3369" s="46"/>
      <c r="J3369" s="26"/>
      <c r="K3369" s="26"/>
      <c r="L3369" s="26"/>
      <c r="M3369" s="26"/>
      <c r="N3369" s="26"/>
      <c r="O3369" s="26"/>
      <c r="P3369" s="26"/>
      <c r="Q3369" s="26"/>
      <c r="R3369" s="26"/>
    </row>
    <row r="3370" spans="9:18" x14ac:dyDescent="0.25">
      <c r="I3370" s="46"/>
      <c r="J3370" s="26"/>
      <c r="K3370" s="26"/>
      <c r="L3370" s="26"/>
      <c r="M3370" s="26"/>
      <c r="N3370" s="26"/>
      <c r="O3370" s="26"/>
      <c r="P3370" s="26"/>
      <c r="Q3370" s="26"/>
      <c r="R3370" s="26"/>
    </row>
    <row r="3371" spans="9:18" x14ac:dyDescent="0.25">
      <c r="I3371" s="46"/>
      <c r="J3371" s="26"/>
      <c r="K3371" s="26"/>
      <c r="L3371" s="26"/>
      <c r="M3371" s="26"/>
      <c r="N3371" s="26"/>
      <c r="O3371" s="26"/>
      <c r="P3371" s="26"/>
      <c r="Q3371" s="26"/>
      <c r="R3371" s="26"/>
    </row>
    <row r="3372" spans="9:18" x14ac:dyDescent="0.25">
      <c r="I3372" s="46"/>
      <c r="J3372" s="26"/>
      <c r="K3372" s="26"/>
      <c r="L3372" s="26"/>
      <c r="M3372" s="26"/>
      <c r="N3372" s="26"/>
      <c r="O3372" s="26"/>
      <c r="P3372" s="26"/>
      <c r="Q3372" s="26"/>
      <c r="R3372" s="26"/>
    </row>
    <row r="3373" spans="9:18" x14ac:dyDescent="0.25">
      <c r="I3373" s="46"/>
      <c r="J3373" s="26"/>
      <c r="K3373" s="26"/>
      <c r="L3373" s="26"/>
      <c r="M3373" s="26"/>
      <c r="N3373" s="26"/>
      <c r="O3373" s="26"/>
      <c r="P3373" s="26"/>
      <c r="Q3373" s="26"/>
      <c r="R3373" s="26"/>
    </row>
    <row r="3374" spans="9:18" x14ac:dyDescent="0.25">
      <c r="I3374" s="46"/>
      <c r="J3374" s="26"/>
      <c r="K3374" s="26"/>
      <c r="L3374" s="26"/>
      <c r="M3374" s="26"/>
      <c r="N3374" s="26"/>
      <c r="O3374" s="26"/>
      <c r="P3374" s="26"/>
      <c r="Q3374" s="26"/>
      <c r="R3374" s="26"/>
    </row>
    <row r="3375" spans="9:18" x14ac:dyDescent="0.25">
      <c r="I3375" s="46"/>
      <c r="J3375" s="26"/>
      <c r="K3375" s="26"/>
      <c r="L3375" s="26"/>
      <c r="M3375" s="26"/>
      <c r="N3375" s="26"/>
      <c r="O3375" s="26"/>
      <c r="P3375" s="26"/>
      <c r="Q3375" s="26"/>
      <c r="R3375" s="26"/>
    </row>
    <row r="3376" spans="9:18" x14ac:dyDescent="0.25">
      <c r="I3376" s="46"/>
      <c r="J3376" s="26"/>
      <c r="K3376" s="26"/>
      <c r="L3376" s="26"/>
      <c r="M3376" s="26"/>
      <c r="N3376" s="26"/>
      <c r="O3376" s="26"/>
      <c r="P3376" s="26"/>
      <c r="Q3376" s="26"/>
      <c r="R3376" s="26"/>
    </row>
    <row r="3377" spans="9:18" x14ac:dyDescent="0.25">
      <c r="I3377" s="46"/>
      <c r="J3377" s="26"/>
      <c r="K3377" s="26"/>
      <c r="L3377" s="26"/>
      <c r="M3377" s="26"/>
      <c r="N3377" s="26"/>
      <c r="O3377" s="26"/>
      <c r="P3377" s="26"/>
      <c r="Q3377" s="26"/>
      <c r="R3377" s="26"/>
    </row>
    <row r="3378" spans="9:18" x14ac:dyDescent="0.25">
      <c r="I3378" s="46"/>
      <c r="J3378" s="26"/>
      <c r="K3378" s="26"/>
      <c r="L3378" s="26"/>
      <c r="M3378" s="26"/>
      <c r="N3378" s="26"/>
      <c r="O3378" s="26"/>
      <c r="P3378" s="26"/>
      <c r="Q3378" s="26"/>
      <c r="R3378" s="26"/>
    </row>
    <row r="3379" spans="9:18" x14ac:dyDescent="0.25">
      <c r="I3379" s="46"/>
      <c r="J3379" s="26"/>
      <c r="K3379" s="26"/>
      <c r="L3379" s="26"/>
      <c r="M3379" s="26"/>
      <c r="N3379" s="26"/>
      <c r="O3379" s="26"/>
      <c r="P3379" s="26"/>
      <c r="Q3379" s="26"/>
      <c r="R3379" s="26"/>
    </row>
    <row r="3380" spans="9:18" x14ac:dyDescent="0.25">
      <c r="I3380" s="46"/>
      <c r="J3380" s="26"/>
      <c r="K3380" s="26"/>
      <c r="L3380" s="26"/>
      <c r="M3380" s="26"/>
      <c r="N3380" s="26"/>
      <c r="O3380" s="26"/>
      <c r="P3380" s="26"/>
      <c r="Q3380" s="26"/>
      <c r="R3380" s="26"/>
    </row>
    <row r="3381" spans="9:18" x14ac:dyDescent="0.25">
      <c r="I3381" s="46"/>
      <c r="J3381" s="26"/>
      <c r="K3381" s="26"/>
      <c r="L3381" s="26"/>
      <c r="M3381" s="26"/>
      <c r="N3381" s="26"/>
      <c r="O3381" s="26"/>
      <c r="P3381" s="26"/>
      <c r="Q3381" s="26"/>
      <c r="R3381" s="26"/>
    </row>
    <row r="3382" spans="9:18" x14ac:dyDescent="0.25">
      <c r="I3382" s="46"/>
      <c r="J3382" s="26"/>
      <c r="K3382" s="26"/>
      <c r="L3382" s="26"/>
      <c r="M3382" s="26"/>
      <c r="N3382" s="26"/>
      <c r="O3382" s="26"/>
      <c r="P3382" s="26"/>
      <c r="Q3382" s="26"/>
      <c r="R3382" s="26"/>
    </row>
    <row r="3383" spans="9:18" x14ac:dyDescent="0.25">
      <c r="I3383" s="46"/>
      <c r="J3383" s="26"/>
      <c r="K3383" s="26"/>
      <c r="L3383" s="26"/>
      <c r="M3383" s="26"/>
      <c r="N3383" s="26"/>
      <c r="O3383" s="26"/>
      <c r="P3383" s="26"/>
      <c r="Q3383" s="26"/>
      <c r="R3383" s="26"/>
    </row>
    <row r="3384" spans="9:18" x14ac:dyDescent="0.25">
      <c r="I3384" s="46"/>
      <c r="J3384" s="26"/>
      <c r="K3384" s="26"/>
      <c r="L3384" s="26"/>
      <c r="M3384" s="26"/>
      <c r="N3384" s="26"/>
      <c r="O3384" s="26"/>
      <c r="P3384" s="26"/>
      <c r="Q3384" s="26"/>
      <c r="R3384" s="26"/>
    </row>
    <row r="3385" spans="9:18" x14ac:dyDescent="0.25">
      <c r="I3385" s="46"/>
      <c r="J3385" s="26"/>
      <c r="K3385" s="26"/>
      <c r="L3385" s="26"/>
      <c r="M3385" s="26"/>
      <c r="N3385" s="26"/>
      <c r="O3385" s="26"/>
      <c r="P3385" s="26"/>
      <c r="Q3385" s="26"/>
      <c r="R3385" s="26"/>
    </row>
    <row r="3386" spans="9:18" x14ac:dyDescent="0.25">
      <c r="I3386" s="46"/>
      <c r="J3386" s="26"/>
      <c r="K3386" s="26"/>
      <c r="L3386" s="26"/>
      <c r="M3386" s="26"/>
      <c r="N3386" s="26"/>
      <c r="O3386" s="26"/>
      <c r="P3386" s="26"/>
      <c r="Q3386" s="26"/>
      <c r="R3386" s="26"/>
    </row>
    <row r="3387" spans="9:18" x14ac:dyDescent="0.25">
      <c r="I3387" s="46"/>
      <c r="J3387" s="26"/>
      <c r="K3387" s="26"/>
      <c r="L3387" s="26"/>
      <c r="M3387" s="26"/>
      <c r="N3387" s="26"/>
      <c r="O3387" s="26"/>
      <c r="P3387" s="26"/>
      <c r="Q3387" s="26"/>
      <c r="R3387" s="26"/>
    </row>
    <row r="3388" spans="9:18" x14ac:dyDescent="0.25">
      <c r="I3388" s="46"/>
      <c r="J3388" s="26"/>
      <c r="K3388" s="26"/>
      <c r="L3388" s="26"/>
      <c r="M3388" s="26"/>
      <c r="N3388" s="26"/>
      <c r="O3388" s="26"/>
      <c r="P3388" s="26"/>
      <c r="Q3388" s="26"/>
      <c r="R3388" s="26"/>
    </row>
    <row r="3389" spans="9:18" x14ac:dyDescent="0.25">
      <c r="I3389" s="46"/>
      <c r="J3389" s="26"/>
      <c r="K3389" s="26"/>
      <c r="L3389" s="26"/>
      <c r="M3389" s="26"/>
      <c r="N3389" s="26"/>
      <c r="O3389" s="26"/>
      <c r="P3389" s="26"/>
      <c r="Q3389" s="26"/>
      <c r="R3389" s="26"/>
    </row>
    <row r="3390" spans="9:18" x14ac:dyDescent="0.25">
      <c r="I3390" s="46"/>
      <c r="J3390" s="26"/>
      <c r="K3390" s="26"/>
      <c r="L3390" s="26"/>
      <c r="M3390" s="26"/>
      <c r="N3390" s="26"/>
      <c r="O3390" s="26"/>
      <c r="P3390" s="26"/>
      <c r="Q3390" s="26"/>
      <c r="R3390" s="26"/>
    </row>
    <row r="3391" spans="9:18" x14ac:dyDescent="0.25">
      <c r="I3391" s="46"/>
      <c r="J3391" s="26"/>
      <c r="K3391" s="26"/>
      <c r="L3391" s="26"/>
      <c r="M3391" s="26"/>
      <c r="N3391" s="26"/>
      <c r="O3391" s="26"/>
      <c r="P3391" s="26"/>
      <c r="Q3391" s="26"/>
      <c r="R3391" s="26"/>
    </row>
    <row r="3392" spans="9:18" x14ac:dyDescent="0.25">
      <c r="I3392" s="46"/>
      <c r="J3392" s="26"/>
      <c r="K3392" s="26"/>
      <c r="L3392" s="26"/>
      <c r="M3392" s="26"/>
      <c r="N3392" s="26"/>
      <c r="O3392" s="26"/>
      <c r="P3392" s="26"/>
      <c r="Q3392" s="26"/>
      <c r="R3392" s="26"/>
    </row>
    <row r="3393" spans="9:18" x14ac:dyDescent="0.25">
      <c r="I3393" s="46"/>
      <c r="J3393" s="26"/>
      <c r="K3393" s="26"/>
      <c r="L3393" s="26"/>
      <c r="M3393" s="26"/>
      <c r="N3393" s="26"/>
      <c r="O3393" s="26"/>
      <c r="P3393" s="26"/>
      <c r="Q3393" s="26"/>
      <c r="R3393" s="26"/>
    </row>
    <row r="3394" spans="9:18" x14ac:dyDescent="0.25">
      <c r="I3394" s="46"/>
      <c r="J3394" s="26"/>
      <c r="K3394" s="26"/>
      <c r="L3394" s="26"/>
      <c r="M3394" s="26"/>
      <c r="N3394" s="26"/>
      <c r="O3394" s="26"/>
      <c r="P3394" s="26"/>
      <c r="Q3394" s="26"/>
      <c r="R3394" s="26"/>
    </row>
    <row r="3395" spans="9:18" x14ac:dyDescent="0.25">
      <c r="I3395" s="46"/>
      <c r="J3395" s="26"/>
      <c r="K3395" s="26"/>
      <c r="L3395" s="26"/>
      <c r="M3395" s="26"/>
      <c r="N3395" s="26"/>
      <c r="O3395" s="26"/>
      <c r="P3395" s="26"/>
      <c r="Q3395" s="26"/>
      <c r="R3395" s="26"/>
    </row>
    <row r="3396" spans="9:18" x14ac:dyDescent="0.25">
      <c r="I3396" s="46"/>
      <c r="J3396" s="26"/>
      <c r="K3396" s="26"/>
      <c r="L3396" s="26"/>
      <c r="M3396" s="26"/>
      <c r="N3396" s="26"/>
      <c r="O3396" s="26"/>
      <c r="P3396" s="26"/>
      <c r="Q3396" s="26"/>
      <c r="R3396" s="26"/>
    </row>
    <row r="3397" spans="9:18" x14ac:dyDescent="0.25">
      <c r="I3397" s="46"/>
      <c r="J3397" s="26"/>
      <c r="K3397" s="26"/>
      <c r="L3397" s="26"/>
      <c r="M3397" s="26"/>
      <c r="N3397" s="26"/>
      <c r="O3397" s="26"/>
      <c r="P3397" s="26"/>
      <c r="Q3397" s="26"/>
      <c r="R3397" s="26"/>
    </row>
    <row r="3398" spans="9:18" x14ac:dyDescent="0.25">
      <c r="I3398" s="46"/>
      <c r="J3398" s="26"/>
      <c r="K3398" s="26"/>
      <c r="L3398" s="26"/>
      <c r="M3398" s="26"/>
      <c r="N3398" s="26"/>
      <c r="O3398" s="26"/>
      <c r="P3398" s="26"/>
      <c r="Q3398" s="26"/>
      <c r="R3398" s="26"/>
    </row>
    <row r="3399" spans="9:18" x14ac:dyDescent="0.25">
      <c r="I3399" s="46"/>
      <c r="J3399" s="26"/>
      <c r="K3399" s="26"/>
      <c r="L3399" s="26"/>
      <c r="M3399" s="26"/>
      <c r="N3399" s="26"/>
      <c r="O3399" s="26"/>
      <c r="P3399" s="26"/>
      <c r="Q3399" s="26"/>
      <c r="R3399" s="26"/>
    </row>
    <row r="3400" spans="9:18" x14ac:dyDescent="0.25">
      <c r="I3400" s="46"/>
      <c r="J3400" s="26"/>
      <c r="K3400" s="26"/>
      <c r="L3400" s="26"/>
      <c r="M3400" s="26"/>
      <c r="N3400" s="26"/>
      <c r="O3400" s="26"/>
      <c r="P3400" s="26"/>
      <c r="Q3400" s="26"/>
      <c r="R3400" s="26"/>
    </row>
    <row r="3401" spans="9:18" x14ac:dyDescent="0.25">
      <c r="I3401" s="46"/>
      <c r="J3401" s="26"/>
      <c r="K3401" s="26"/>
      <c r="L3401" s="26"/>
      <c r="M3401" s="26"/>
      <c r="N3401" s="26"/>
      <c r="O3401" s="26"/>
      <c r="P3401" s="26"/>
      <c r="Q3401" s="26"/>
      <c r="R3401" s="26"/>
    </row>
    <row r="3402" spans="9:18" x14ac:dyDescent="0.25">
      <c r="I3402" s="46"/>
      <c r="J3402" s="26"/>
      <c r="K3402" s="26"/>
      <c r="L3402" s="26"/>
      <c r="M3402" s="26"/>
      <c r="N3402" s="26"/>
      <c r="O3402" s="26"/>
      <c r="P3402" s="26"/>
      <c r="Q3402" s="26"/>
      <c r="R3402" s="26"/>
    </row>
    <row r="3403" spans="9:18" x14ac:dyDescent="0.25">
      <c r="I3403" s="46"/>
      <c r="J3403" s="26"/>
      <c r="K3403" s="26"/>
      <c r="L3403" s="26"/>
      <c r="M3403" s="26"/>
      <c r="N3403" s="26"/>
      <c r="O3403" s="26"/>
      <c r="P3403" s="26"/>
      <c r="Q3403" s="26"/>
      <c r="R3403" s="26"/>
    </row>
    <row r="3404" spans="9:18" x14ac:dyDescent="0.25">
      <c r="I3404" s="46"/>
      <c r="J3404" s="26"/>
      <c r="K3404" s="26"/>
      <c r="L3404" s="26"/>
      <c r="M3404" s="26"/>
      <c r="N3404" s="26"/>
      <c r="O3404" s="26"/>
      <c r="P3404" s="26"/>
      <c r="Q3404" s="26"/>
      <c r="R3404" s="26"/>
    </row>
    <row r="3405" spans="9:18" x14ac:dyDescent="0.25">
      <c r="I3405" s="46"/>
      <c r="J3405" s="26"/>
      <c r="K3405" s="26"/>
      <c r="L3405" s="26"/>
      <c r="M3405" s="26"/>
      <c r="N3405" s="26"/>
      <c r="O3405" s="26"/>
      <c r="P3405" s="26"/>
      <c r="Q3405" s="26"/>
      <c r="R3405" s="26"/>
    </row>
    <row r="3406" spans="9:18" x14ac:dyDescent="0.25">
      <c r="I3406" s="46"/>
      <c r="J3406" s="26"/>
      <c r="K3406" s="26"/>
      <c r="L3406" s="26"/>
      <c r="M3406" s="26"/>
      <c r="N3406" s="26"/>
      <c r="O3406" s="26"/>
      <c r="P3406" s="26"/>
      <c r="Q3406" s="26"/>
      <c r="R3406" s="26"/>
    </row>
    <row r="3407" spans="9:18" x14ac:dyDescent="0.25">
      <c r="I3407" s="46"/>
      <c r="J3407" s="26"/>
      <c r="K3407" s="26"/>
      <c r="L3407" s="26"/>
      <c r="M3407" s="26"/>
      <c r="N3407" s="26"/>
      <c r="O3407" s="26"/>
      <c r="P3407" s="26"/>
      <c r="Q3407" s="26"/>
      <c r="R3407" s="26"/>
    </row>
    <row r="3408" spans="9:18" x14ac:dyDescent="0.25">
      <c r="I3408" s="46"/>
      <c r="J3408" s="26"/>
      <c r="K3408" s="26"/>
      <c r="L3408" s="26"/>
      <c r="M3408" s="26"/>
      <c r="N3408" s="26"/>
      <c r="O3408" s="26"/>
      <c r="P3408" s="26"/>
      <c r="Q3408" s="26"/>
      <c r="R3408" s="26"/>
    </row>
    <row r="3409" spans="9:18" x14ac:dyDescent="0.25">
      <c r="I3409" s="46"/>
      <c r="J3409" s="26"/>
      <c r="K3409" s="26"/>
      <c r="L3409" s="26"/>
      <c r="M3409" s="26"/>
      <c r="N3409" s="26"/>
      <c r="O3409" s="26"/>
      <c r="P3409" s="26"/>
      <c r="Q3409" s="26"/>
      <c r="R3409" s="26"/>
    </row>
    <row r="3410" spans="9:18" x14ac:dyDescent="0.25">
      <c r="I3410" s="46"/>
      <c r="J3410" s="26"/>
      <c r="K3410" s="26"/>
      <c r="L3410" s="26"/>
      <c r="M3410" s="26"/>
      <c r="N3410" s="26"/>
      <c r="O3410" s="26"/>
      <c r="P3410" s="26"/>
      <c r="Q3410" s="26"/>
      <c r="R3410" s="26"/>
    </row>
    <row r="3411" spans="9:18" x14ac:dyDescent="0.25">
      <c r="I3411" s="46"/>
      <c r="J3411" s="26"/>
      <c r="K3411" s="26"/>
      <c r="L3411" s="26"/>
      <c r="M3411" s="26"/>
      <c r="N3411" s="26"/>
      <c r="O3411" s="26"/>
      <c r="P3411" s="26"/>
      <c r="Q3411" s="26"/>
      <c r="R3411" s="26"/>
    </row>
    <row r="3412" spans="9:18" x14ac:dyDescent="0.25">
      <c r="I3412" s="46"/>
      <c r="J3412" s="26"/>
      <c r="K3412" s="26"/>
      <c r="L3412" s="26"/>
      <c r="M3412" s="26"/>
      <c r="N3412" s="26"/>
      <c r="O3412" s="26"/>
      <c r="P3412" s="26"/>
      <c r="Q3412" s="26"/>
      <c r="R3412" s="26"/>
    </row>
    <row r="3413" spans="9:18" x14ac:dyDescent="0.25">
      <c r="I3413" s="46"/>
      <c r="J3413" s="26"/>
      <c r="K3413" s="26"/>
      <c r="L3413" s="26"/>
      <c r="M3413" s="26"/>
      <c r="N3413" s="26"/>
      <c r="O3413" s="26"/>
      <c r="P3413" s="26"/>
      <c r="Q3413" s="26"/>
      <c r="R3413" s="26"/>
    </row>
    <row r="3414" spans="9:18" x14ac:dyDescent="0.25">
      <c r="I3414" s="46"/>
      <c r="J3414" s="26"/>
      <c r="K3414" s="26"/>
      <c r="L3414" s="26"/>
      <c r="M3414" s="26"/>
      <c r="N3414" s="26"/>
      <c r="O3414" s="26"/>
      <c r="P3414" s="26"/>
      <c r="Q3414" s="26"/>
      <c r="R3414" s="26"/>
    </row>
    <row r="3415" spans="9:18" x14ac:dyDescent="0.25">
      <c r="I3415" s="46"/>
      <c r="J3415" s="26"/>
      <c r="K3415" s="26"/>
      <c r="L3415" s="26"/>
      <c r="M3415" s="26"/>
      <c r="N3415" s="26"/>
      <c r="O3415" s="26"/>
      <c r="P3415" s="26"/>
      <c r="Q3415" s="26"/>
      <c r="R3415" s="26"/>
    </row>
    <row r="3416" spans="9:18" x14ac:dyDescent="0.25">
      <c r="I3416" s="46"/>
      <c r="J3416" s="26"/>
      <c r="K3416" s="26"/>
      <c r="L3416" s="26"/>
      <c r="M3416" s="26"/>
      <c r="N3416" s="26"/>
      <c r="O3416" s="26"/>
      <c r="P3416" s="26"/>
      <c r="Q3416" s="26"/>
      <c r="R3416" s="26"/>
    </row>
    <row r="3417" spans="9:18" x14ac:dyDescent="0.25">
      <c r="I3417" s="46"/>
      <c r="J3417" s="26"/>
      <c r="K3417" s="26"/>
      <c r="L3417" s="26"/>
      <c r="M3417" s="26"/>
      <c r="N3417" s="26"/>
      <c r="O3417" s="26"/>
      <c r="P3417" s="26"/>
      <c r="Q3417" s="26"/>
      <c r="R3417" s="26"/>
    </row>
    <row r="3418" spans="9:18" x14ac:dyDescent="0.25">
      <c r="I3418" s="46"/>
      <c r="J3418" s="26"/>
      <c r="K3418" s="26"/>
      <c r="L3418" s="26"/>
      <c r="M3418" s="26"/>
      <c r="N3418" s="26"/>
      <c r="O3418" s="26"/>
      <c r="P3418" s="26"/>
      <c r="Q3418" s="26"/>
      <c r="R3418" s="26"/>
    </row>
    <row r="3419" spans="9:18" x14ac:dyDescent="0.25">
      <c r="I3419" s="46"/>
      <c r="J3419" s="26"/>
      <c r="K3419" s="26"/>
      <c r="L3419" s="26"/>
      <c r="M3419" s="26"/>
      <c r="N3419" s="26"/>
      <c r="O3419" s="26"/>
      <c r="P3419" s="26"/>
      <c r="Q3419" s="26"/>
      <c r="R3419" s="26"/>
    </row>
    <row r="3420" spans="9:18" x14ac:dyDescent="0.25">
      <c r="I3420" s="46"/>
      <c r="J3420" s="26"/>
      <c r="K3420" s="26"/>
      <c r="L3420" s="26"/>
      <c r="M3420" s="26"/>
      <c r="N3420" s="26"/>
      <c r="O3420" s="26"/>
      <c r="P3420" s="26"/>
      <c r="Q3420" s="26"/>
      <c r="R3420" s="26"/>
    </row>
    <row r="3421" spans="9:18" x14ac:dyDescent="0.25">
      <c r="I3421" s="46"/>
      <c r="J3421" s="26"/>
      <c r="K3421" s="26"/>
      <c r="L3421" s="26"/>
      <c r="M3421" s="26"/>
      <c r="N3421" s="26"/>
      <c r="O3421" s="26"/>
      <c r="P3421" s="26"/>
      <c r="Q3421" s="26"/>
      <c r="R3421" s="26"/>
    </row>
    <row r="3422" spans="9:18" x14ac:dyDescent="0.25">
      <c r="I3422" s="46"/>
      <c r="J3422" s="26"/>
      <c r="K3422" s="26"/>
      <c r="L3422" s="26"/>
      <c r="M3422" s="26"/>
      <c r="N3422" s="26"/>
      <c r="O3422" s="26"/>
      <c r="P3422" s="26"/>
      <c r="Q3422" s="26"/>
      <c r="R3422" s="26"/>
    </row>
    <row r="3423" spans="9:18" x14ac:dyDescent="0.25">
      <c r="I3423" s="46"/>
      <c r="J3423" s="26"/>
      <c r="K3423" s="26"/>
      <c r="L3423" s="26"/>
      <c r="M3423" s="26"/>
      <c r="N3423" s="26"/>
      <c r="O3423" s="26"/>
      <c r="P3423" s="26"/>
      <c r="Q3423" s="26"/>
      <c r="R3423" s="26"/>
    </row>
    <row r="3424" spans="9:18" x14ac:dyDescent="0.25">
      <c r="I3424" s="46"/>
      <c r="J3424" s="26"/>
      <c r="K3424" s="26"/>
      <c r="L3424" s="26"/>
      <c r="M3424" s="26"/>
      <c r="N3424" s="26"/>
      <c r="O3424" s="26"/>
      <c r="P3424" s="26"/>
      <c r="Q3424" s="26"/>
      <c r="R3424" s="26"/>
    </row>
    <row r="3425" spans="9:18" x14ac:dyDescent="0.25">
      <c r="I3425" s="46"/>
      <c r="J3425" s="26"/>
      <c r="K3425" s="26"/>
      <c r="L3425" s="26"/>
      <c r="M3425" s="26"/>
      <c r="N3425" s="26"/>
      <c r="O3425" s="26"/>
      <c r="P3425" s="26"/>
      <c r="Q3425" s="26"/>
      <c r="R3425" s="26"/>
    </row>
    <row r="3426" spans="9:18" x14ac:dyDescent="0.25">
      <c r="I3426" s="46"/>
      <c r="J3426" s="26"/>
      <c r="K3426" s="26"/>
      <c r="L3426" s="26"/>
      <c r="M3426" s="26"/>
      <c r="N3426" s="26"/>
      <c r="O3426" s="26"/>
      <c r="P3426" s="26"/>
      <c r="Q3426" s="26"/>
      <c r="R3426" s="26"/>
    </row>
    <row r="3427" spans="9:18" x14ac:dyDescent="0.25">
      <c r="I3427" s="46"/>
      <c r="J3427" s="26"/>
      <c r="K3427" s="26"/>
      <c r="L3427" s="26"/>
      <c r="M3427" s="26"/>
      <c r="N3427" s="26"/>
      <c r="O3427" s="26"/>
      <c r="P3427" s="26"/>
      <c r="Q3427" s="26"/>
      <c r="R3427" s="26"/>
    </row>
    <row r="3428" spans="9:18" x14ac:dyDescent="0.25">
      <c r="I3428" s="46"/>
      <c r="J3428" s="26"/>
      <c r="K3428" s="26"/>
      <c r="L3428" s="26"/>
      <c r="M3428" s="26"/>
      <c r="N3428" s="26"/>
      <c r="O3428" s="26"/>
      <c r="P3428" s="26"/>
      <c r="Q3428" s="26"/>
      <c r="R3428" s="26"/>
    </row>
    <row r="3429" spans="9:18" x14ac:dyDescent="0.25">
      <c r="I3429" s="46"/>
      <c r="J3429" s="26"/>
      <c r="K3429" s="26"/>
      <c r="L3429" s="26"/>
      <c r="M3429" s="26"/>
      <c r="N3429" s="26"/>
      <c r="O3429" s="26"/>
      <c r="P3429" s="26"/>
      <c r="Q3429" s="26"/>
      <c r="R3429" s="26"/>
    </row>
    <row r="3430" spans="9:18" x14ac:dyDescent="0.25">
      <c r="I3430" s="46"/>
      <c r="J3430" s="26"/>
      <c r="K3430" s="26"/>
      <c r="L3430" s="26"/>
      <c r="M3430" s="26"/>
      <c r="N3430" s="26"/>
      <c r="O3430" s="26"/>
      <c r="P3430" s="26"/>
      <c r="Q3430" s="26"/>
      <c r="R3430" s="26"/>
    </row>
    <row r="3431" spans="9:18" x14ac:dyDescent="0.25">
      <c r="I3431" s="46"/>
      <c r="J3431" s="26"/>
      <c r="K3431" s="26"/>
      <c r="L3431" s="26"/>
      <c r="M3431" s="26"/>
      <c r="N3431" s="26"/>
      <c r="O3431" s="26"/>
      <c r="P3431" s="26"/>
      <c r="Q3431" s="26"/>
      <c r="R3431" s="26"/>
    </row>
    <row r="3432" spans="9:18" x14ac:dyDescent="0.25">
      <c r="I3432" s="46"/>
      <c r="J3432" s="26"/>
      <c r="K3432" s="26"/>
      <c r="L3432" s="26"/>
      <c r="M3432" s="26"/>
      <c r="N3432" s="26"/>
      <c r="O3432" s="26"/>
      <c r="P3432" s="26"/>
      <c r="Q3432" s="26"/>
      <c r="R3432" s="26"/>
    </row>
    <row r="3433" spans="9:18" x14ac:dyDescent="0.25">
      <c r="I3433" s="46"/>
      <c r="J3433" s="26"/>
      <c r="K3433" s="26"/>
      <c r="L3433" s="26"/>
      <c r="M3433" s="26"/>
      <c r="N3433" s="26"/>
      <c r="O3433" s="26"/>
      <c r="P3433" s="26"/>
      <c r="Q3433" s="26"/>
      <c r="R3433" s="26"/>
    </row>
    <row r="3434" spans="9:18" x14ac:dyDescent="0.25">
      <c r="I3434" s="46"/>
      <c r="J3434" s="26"/>
      <c r="K3434" s="26"/>
      <c r="L3434" s="26"/>
      <c r="M3434" s="26"/>
      <c r="N3434" s="26"/>
      <c r="O3434" s="26"/>
      <c r="P3434" s="26"/>
      <c r="Q3434" s="26"/>
      <c r="R3434" s="26"/>
    </row>
    <row r="3435" spans="9:18" x14ac:dyDescent="0.25">
      <c r="I3435" s="46"/>
      <c r="J3435" s="26"/>
      <c r="K3435" s="26"/>
      <c r="L3435" s="26"/>
      <c r="M3435" s="26"/>
      <c r="N3435" s="26"/>
      <c r="O3435" s="26"/>
      <c r="P3435" s="26"/>
      <c r="Q3435" s="26"/>
      <c r="R3435" s="26"/>
    </row>
    <row r="3436" spans="9:18" x14ac:dyDescent="0.25">
      <c r="I3436" s="46"/>
      <c r="J3436" s="26"/>
      <c r="K3436" s="26"/>
      <c r="L3436" s="26"/>
      <c r="M3436" s="26"/>
      <c r="N3436" s="26"/>
      <c r="O3436" s="26"/>
      <c r="P3436" s="26"/>
      <c r="Q3436" s="26"/>
      <c r="R3436" s="26"/>
    </row>
    <row r="3437" spans="9:18" x14ac:dyDescent="0.25">
      <c r="I3437" s="46"/>
      <c r="J3437" s="26"/>
      <c r="K3437" s="26"/>
      <c r="L3437" s="26"/>
      <c r="M3437" s="26"/>
      <c r="N3437" s="26"/>
      <c r="O3437" s="26"/>
      <c r="P3437" s="26"/>
      <c r="Q3437" s="26"/>
      <c r="R3437" s="26"/>
    </row>
    <row r="3438" spans="9:18" x14ac:dyDescent="0.25">
      <c r="I3438" s="46"/>
      <c r="J3438" s="26"/>
      <c r="K3438" s="26"/>
      <c r="L3438" s="26"/>
      <c r="M3438" s="26"/>
      <c r="N3438" s="26"/>
      <c r="O3438" s="26"/>
      <c r="P3438" s="26"/>
      <c r="Q3438" s="26"/>
      <c r="R3438" s="26"/>
    </row>
    <row r="3439" spans="9:18" x14ac:dyDescent="0.25">
      <c r="I3439" s="46"/>
      <c r="J3439" s="26"/>
      <c r="K3439" s="26"/>
      <c r="L3439" s="26"/>
      <c r="M3439" s="26"/>
      <c r="N3439" s="26"/>
      <c r="O3439" s="26"/>
      <c r="P3439" s="26"/>
      <c r="Q3439" s="26"/>
      <c r="R3439" s="26"/>
    </row>
    <row r="3440" spans="9:18" x14ac:dyDescent="0.25">
      <c r="I3440" s="46"/>
      <c r="J3440" s="26"/>
      <c r="K3440" s="26"/>
      <c r="L3440" s="26"/>
      <c r="M3440" s="26"/>
      <c r="N3440" s="26"/>
      <c r="O3440" s="26"/>
      <c r="P3440" s="26"/>
      <c r="Q3440" s="26"/>
      <c r="R3440" s="26"/>
    </row>
    <row r="3441" spans="9:18" x14ac:dyDescent="0.25">
      <c r="I3441" s="46"/>
      <c r="J3441" s="26"/>
      <c r="K3441" s="26"/>
      <c r="L3441" s="26"/>
      <c r="M3441" s="26"/>
      <c r="N3441" s="26"/>
      <c r="O3441" s="26"/>
      <c r="P3441" s="26"/>
      <c r="Q3441" s="26"/>
      <c r="R3441" s="26"/>
    </row>
    <row r="3442" spans="9:18" x14ac:dyDescent="0.25">
      <c r="I3442" s="46"/>
      <c r="J3442" s="26"/>
      <c r="K3442" s="26"/>
      <c r="L3442" s="26"/>
      <c r="M3442" s="26"/>
      <c r="N3442" s="26"/>
      <c r="O3442" s="26"/>
      <c r="P3442" s="26"/>
      <c r="Q3442" s="26"/>
      <c r="R3442" s="26"/>
    </row>
    <row r="3443" spans="9:18" x14ac:dyDescent="0.25">
      <c r="I3443" s="46"/>
      <c r="J3443" s="26"/>
      <c r="K3443" s="26"/>
      <c r="L3443" s="26"/>
      <c r="M3443" s="26"/>
      <c r="N3443" s="26"/>
      <c r="O3443" s="26"/>
      <c r="P3443" s="26"/>
      <c r="Q3443" s="26"/>
      <c r="R3443" s="26"/>
    </row>
    <row r="3444" spans="9:18" x14ac:dyDescent="0.25">
      <c r="I3444" s="46"/>
      <c r="J3444" s="26"/>
      <c r="K3444" s="26"/>
      <c r="L3444" s="26"/>
      <c r="M3444" s="26"/>
      <c r="N3444" s="26"/>
      <c r="O3444" s="26"/>
      <c r="P3444" s="26"/>
      <c r="Q3444" s="26"/>
      <c r="R3444" s="26"/>
    </row>
    <row r="3445" spans="9:18" x14ac:dyDescent="0.25">
      <c r="I3445" s="46"/>
      <c r="J3445" s="26"/>
      <c r="K3445" s="26"/>
      <c r="L3445" s="26"/>
      <c r="M3445" s="26"/>
      <c r="N3445" s="26"/>
      <c r="O3445" s="26"/>
      <c r="P3445" s="26"/>
      <c r="Q3445" s="26"/>
      <c r="R3445" s="26"/>
    </row>
    <row r="3446" spans="9:18" x14ac:dyDescent="0.25">
      <c r="I3446" s="46"/>
      <c r="J3446" s="26"/>
      <c r="K3446" s="26"/>
      <c r="L3446" s="26"/>
      <c r="M3446" s="26"/>
      <c r="N3446" s="26"/>
      <c r="O3446" s="26"/>
      <c r="P3446" s="26"/>
      <c r="Q3446" s="26"/>
      <c r="R3446" s="26"/>
    </row>
    <row r="3447" spans="9:18" x14ac:dyDescent="0.25">
      <c r="I3447" s="46"/>
      <c r="J3447" s="26"/>
      <c r="K3447" s="26"/>
      <c r="L3447" s="26"/>
      <c r="M3447" s="26"/>
      <c r="N3447" s="26"/>
      <c r="O3447" s="26"/>
      <c r="P3447" s="26"/>
      <c r="Q3447" s="26"/>
      <c r="R3447" s="26"/>
    </row>
    <row r="3448" spans="9:18" x14ac:dyDescent="0.25">
      <c r="I3448" s="46"/>
      <c r="J3448" s="26"/>
      <c r="K3448" s="26"/>
      <c r="L3448" s="26"/>
      <c r="M3448" s="26"/>
      <c r="N3448" s="26"/>
      <c r="O3448" s="26"/>
      <c r="P3448" s="26"/>
      <c r="Q3448" s="26"/>
      <c r="R3448" s="26"/>
    </row>
    <row r="3449" spans="9:18" x14ac:dyDescent="0.25">
      <c r="I3449" s="46"/>
      <c r="J3449" s="26"/>
      <c r="K3449" s="26"/>
      <c r="L3449" s="26"/>
      <c r="M3449" s="26"/>
      <c r="N3449" s="26"/>
      <c r="O3449" s="26"/>
      <c r="P3449" s="26"/>
      <c r="Q3449" s="26"/>
      <c r="R3449" s="26"/>
    </row>
    <row r="3450" spans="9:18" x14ac:dyDescent="0.25">
      <c r="I3450" s="46"/>
      <c r="J3450" s="26"/>
      <c r="K3450" s="26"/>
      <c r="L3450" s="26"/>
      <c r="M3450" s="26"/>
      <c r="N3450" s="26"/>
      <c r="O3450" s="26"/>
      <c r="P3450" s="26"/>
      <c r="Q3450" s="26"/>
      <c r="R3450" s="26"/>
    </row>
    <row r="3451" spans="9:18" x14ac:dyDescent="0.25">
      <c r="I3451" s="46"/>
      <c r="J3451" s="26"/>
      <c r="K3451" s="26"/>
      <c r="L3451" s="26"/>
      <c r="M3451" s="26"/>
      <c r="N3451" s="26"/>
      <c r="O3451" s="26"/>
      <c r="P3451" s="26"/>
      <c r="Q3451" s="26"/>
      <c r="R3451" s="26"/>
    </row>
    <row r="3452" spans="9:18" x14ac:dyDescent="0.25">
      <c r="I3452" s="46"/>
      <c r="J3452" s="26"/>
      <c r="K3452" s="26"/>
      <c r="L3452" s="26"/>
      <c r="M3452" s="26"/>
      <c r="N3452" s="26"/>
      <c r="O3452" s="26"/>
      <c r="P3452" s="26"/>
      <c r="Q3452" s="26"/>
      <c r="R3452" s="26"/>
    </row>
    <row r="3453" spans="9:18" x14ac:dyDescent="0.25">
      <c r="I3453" s="46"/>
      <c r="J3453" s="26"/>
      <c r="K3453" s="26"/>
      <c r="L3453" s="26"/>
      <c r="M3453" s="26"/>
      <c r="N3453" s="26"/>
      <c r="O3453" s="26"/>
      <c r="P3453" s="26"/>
      <c r="Q3453" s="26"/>
      <c r="R3453" s="26"/>
    </row>
    <row r="3454" spans="9:18" x14ac:dyDescent="0.25">
      <c r="I3454" s="46"/>
      <c r="J3454" s="26"/>
      <c r="K3454" s="26"/>
      <c r="L3454" s="26"/>
      <c r="M3454" s="26"/>
      <c r="N3454" s="26"/>
      <c r="O3454" s="26"/>
      <c r="P3454" s="26"/>
      <c r="Q3454" s="26"/>
      <c r="R3454" s="26"/>
    </row>
    <row r="3455" spans="9:18" x14ac:dyDescent="0.25">
      <c r="I3455" s="46"/>
      <c r="J3455" s="26"/>
      <c r="K3455" s="26"/>
      <c r="L3455" s="26"/>
      <c r="M3455" s="26"/>
      <c r="N3455" s="26"/>
      <c r="O3455" s="26"/>
      <c r="P3455" s="26"/>
      <c r="Q3455" s="26"/>
      <c r="R3455" s="26"/>
    </row>
    <row r="3456" spans="9:18" x14ac:dyDescent="0.25">
      <c r="I3456" s="46"/>
      <c r="J3456" s="26"/>
      <c r="K3456" s="26"/>
      <c r="L3456" s="26"/>
      <c r="M3456" s="26"/>
      <c r="N3456" s="26"/>
      <c r="O3456" s="26"/>
      <c r="P3456" s="26"/>
      <c r="Q3456" s="26"/>
      <c r="R3456" s="26"/>
    </row>
    <row r="3457" spans="9:18" x14ac:dyDescent="0.25">
      <c r="I3457" s="46"/>
      <c r="J3457" s="26"/>
      <c r="K3457" s="26"/>
      <c r="L3457" s="26"/>
      <c r="M3457" s="26"/>
      <c r="N3457" s="26"/>
      <c r="O3457" s="26"/>
      <c r="P3457" s="26"/>
      <c r="Q3457" s="26"/>
      <c r="R3457" s="26"/>
    </row>
    <row r="3458" spans="9:18" x14ac:dyDescent="0.25">
      <c r="I3458" s="46"/>
      <c r="J3458" s="26"/>
      <c r="K3458" s="26"/>
      <c r="L3458" s="26"/>
      <c r="M3458" s="26"/>
      <c r="N3458" s="26"/>
      <c r="O3458" s="26"/>
      <c r="P3458" s="26"/>
      <c r="Q3458" s="26"/>
      <c r="R3458" s="26"/>
    </row>
    <row r="3459" spans="9:18" x14ac:dyDescent="0.25">
      <c r="I3459" s="46"/>
      <c r="J3459" s="26"/>
      <c r="K3459" s="26"/>
      <c r="L3459" s="26"/>
      <c r="M3459" s="26"/>
      <c r="N3459" s="26"/>
      <c r="O3459" s="26"/>
      <c r="P3459" s="26"/>
      <c r="Q3459" s="26"/>
      <c r="R3459" s="26"/>
    </row>
    <row r="3460" spans="9:18" x14ac:dyDescent="0.25">
      <c r="I3460" s="46"/>
      <c r="J3460" s="26"/>
      <c r="K3460" s="26"/>
      <c r="L3460" s="26"/>
      <c r="M3460" s="26"/>
      <c r="N3460" s="26"/>
      <c r="O3460" s="26"/>
      <c r="P3460" s="26"/>
      <c r="Q3460" s="26"/>
      <c r="R3460" s="26"/>
    </row>
    <row r="3461" spans="9:18" x14ac:dyDescent="0.25">
      <c r="I3461" s="46"/>
      <c r="J3461" s="26"/>
      <c r="K3461" s="26"/>
      <c r="L3461" s="26"/>
      <c r="M3461" s="26"/>
      <c r="N3461" s="26"/>
      <c r="O3461" s="26"/>
      <c r="P3461" s="26"/>
      <c r="Q3461" s="26"/>
      <c r="R3461" s="26"/>
    </row>
    <row r="3462" spans="9:18" x14ac:dyDescent="0.25">
      <c r="I3462" s="46"/>
      <c r="J3462" s="26"/>
      <c r="K3462" s="26"/>
      <c r="L3462" s="26"/>
      <c r="M3462" s="26"/>
      <c r="N3462" s="26"/>
      <c r="O3462" s="26"/>
      <c r="P3462" s="26"/>
      <c r="Q3462" s="26"/>
      <c r="R3462" s="26"/>
    </row>
    <row r="3463" spans="9:18" x14ac:dyDescent="0.25">
      <c r="I3463" s="46"/>
      <c r="J3463" s="26"/>
      <c r="K3463" s="26"/>
      <c r="L3463" s="26"/>
      <c r="M3463" s="26"/>
      <c r="N3463" s="26"/>
      <c r="O3463" s="26"/>
      <c r="P3463" s="26"/>
      <c r="Q3463" s="26"/>
      <c r="R3463" s="26"/>
    </row>
    <row r="3464" spans="9:18" x14ac:dyDescent="0.25">
      <c r="I3464" s="46"/>
      <c r="J3464" s="26"/>
      <c r="K3464" s="26"/>
      <c r="L3464" s="26"/>
      <c r="M3464" s="26"/>
      <c r="N3464" s="26"/>
      <c r="O3464" s="26"/>
      <c r="P3464" s="26"/>
      <c r="Q3464" s="26"/>
      <c r="R3464" s="26"/>
    </row>
    <row r="3465" spans="9:18" x14ac:dyDescent="0.25">
      <c r="I3465" s="46"/>
      <c r="J3465" s="26"/>
      <c r="K3465" s="26"/>
      <c r="L3465" s="26"/>
      <c r="M3465" s="26"/>
      <c r="N3465" s="26"/>
      <c r="O3465" s="26"/>
      <c r="P3465" s="26"/>
      <c r="Q3465" s="26"/>
      <c r="R3465" s="26"/>
    </row>
    <row r="3466" spans="9:18" x14ac:dyDescent="0.25">
      <c r="I3466" s="46"/>
      <c r="J3466" s="26"/>
      <c r="K3466" s="26"/>
      <c r="L3466" s="26"/>
      <c r="M3466" s="26"/>
      <c r="N3466" s="26"/>
      <c r="O3466" s="26"/>
      <c r="P3466" s="26"/>
      <c r="Q3466" s="26"/>
      <c r="R3466" s="26"/>
    </row>
    <row r="3467" spans="9:18" x14ac:dyDescent="0.25">
      <c r="I3467" s="46"/>
      <c r="J3467" s="26"/>
      <c r="K3467" s="26"/>
      <c r="L3467" s="26"/>
      <c r="M3467" s="26"/>
      <c r="N3467" s="26"/>
      <c r="O3467" s="26"/>
      <c r="P3467" s="26"/>
      <c r="Q3467" s="26"/>
      <c r="R3467" s="26"/>
    </row>
    <row r="3468" spans="9:18" x14ac:dyDescent="0.25">
      <c r="I3468" s="46"/>
      <c r="J3468" s="26"/>
      <c r="K3468" s="26"/>
      <c r="L3468" s="26"/>
      <c r="M3468" s="26"/>
      <c r="N3468" s="26"/>
      <c r="O3468" s="26"/>
      <c r="P3468" s="26"/>
      <c r="Q3468" s="26"/>
      <c r="R3468" s="26"/>
    </row>
    <row r="3469" spans="9:18" x14ac:dyDescent="0.25">
      <c r="I3469" s="46"/>
      <c r="J3469" s="26"/>
      <c r="K3469" s="26"/>
      <c r="L3469" s="26"/>
      <c r="M3469" s="26"/>
      <c r="N3469" s="26"/>
      <c r="O3469" s="26"/>
      <c r="P3469" s="26"/>
      <c r="Q3469" s="26"/>
      <c r="R3469" s="26"/>
    </row>
    <row r="3470" spans="9:18" x14ac:dyDescent="0.25">
      <c r="I3470" s="46"/>
      <c r="J3470" s="26"/>
      <c r="K3470" s="26"/>
      <c r="L3470" s="26"/>
      <c r="M3470" s="26"/>
      <c r="N3470" s="26"/>
      <c r="O3470" s="26"/>
      <c r="P3470" s="26"/>
      <c r="Q3470" s="26"/>
      <c r="R3470" s="26"/>
    </row>
    <row r="3471" spans="9:18" x14ac:dyDescent="0.25">
      <c r="I3471" s="46"/>
      <c r="J3471" s="26"/>
      <c r="K3471" s="26"/>
      <c r="L3471" s="26"/>
      <c r="M3471" s="26"/>
      <c r="N3471" s="26"/>
      <c r="O3471" s="26"/>
      <c r="P3471" s="26"/>
      <c r="Q3471" s="26"/>
      <c r="R3471" s="26"/>
    </row>
    <row r="3472" spans="9:18" x14ac:dyDescent="0.25">
      <c r="I3472" s="46"/>
      <c r="J3472" s="26"/>
      <c r="K3472" s="26"/>
      <c r="L3472" s="26"/>
      <c r="M3472" s="26"/>
      <c r="N3472" s="26"/>
      <c r="O3472" s="26"/>
      <c r="P3472" s="26"/>
      <c r="Q3472" s="26"/>
      <c r="R3472" s="26"/>
    </row>
    <row r="3473" spans="9:18" x14ac:dyDescent="0.25">
      <c r="I3473" s="46"/>
      <c r="J3473" s="26"/>
      <c r="K3473" s="26"/>
      <c r="L3473" s="26"/>
      <c r="M3473" s="26"/>
      <c r="N3473" s="26"/>
      <c r="O3473" s="26"/>
      <c r="P3473" s="26"/>
      <c r="Q3473" s="26"/>
      <c r="R3473" s="26"/>
    </row>
    <row r="3474" spans="9:18" x14ac:dyDescent="0.25">
      <c r="I3474" s="46"/>
      <c r="J3474" s="26"/>
      <c r="K3474" s="26"/>
      <c r="L3474" s="26"/>
      <c r="M3474" s="26"/>
      <c r="N3474" s="26"/>
      <c r="O3474" s="26"/>
      <c r="P3474" s="26"/>
      <c r="Q3474" s="26"/>
      <c r="R3474" s="26"/>
    </row>
    <row r="3475" spans="9:18" x14ac:dyDescent="0.25">
      <c r="I3475" s="46"/>
      <c r="J3475" s="26"/>
      <c r="K3475" s="26"/>
      <c r="L3475" s="26"/>
      <c r="M3475" s="26"/>
      <c r="N3475" s="26"/>
      <c r="O3475" s="26"/>
      <c r="P3475" s="26"/>
      <c r="Q3475" s="26"/>
      <c r="R3475" s="26"/>
    </row>
    <row r="3476" spans="9:18" x14ac:dyDescent="0.25">
      <c r="I3476" s="46"/>
      <c r="J3476" s="26"/>
      <c r="K3476" s="26"/>
      <c r="L3476" s="26"/>
      <c r="M3476" s="26"/>
      <c r="N3476" s="26"/>
      <c r="O3476" s="26"/>
      <c r="P3476" s="26"/>
      <c r="Q3476" s="26"/>
      <c r="R3476" s="26"/>
    </row>
    <row r="3477" spans="9:18" x14ac:dyDescent="0.25">
      <c r="I3477" s="46"/>
      <c r="J3477" s="26"/>
      <c r="K3477" s="26"/>
      <c r="L3477" s="26"/>
      <c r="M3477" s="26"/>
      <c r="N3477" s="26"/>
      <c r="O3477" s="26"/>
      <c r="P3477" s="26"/>
      <c r="Q3477" s="26"/>
      <c r="R3477" s="26"/>
    </row>
    <row r="3478" spans="9:18" x14ac:dyDescent="0.25">
      <c r="I3478" s="46"/>
      <c r="J3478" s="26"/>
      <c r="K3478" s="26"/>
      <c r="L3478" s="26"/>
      <c r="M3478" s="26"/>
      <c r="N3478" s="26"/>
      <c r="O3478" s="26"/>
      <c r="P3478" s="26"/>
      <c r="Q3478" s="26"/>
      <c r="R3478" s="26"/>
    </row>
    <row r="3479" spans="9:18" x14ac:dyDescent="0.25">
      <c r="I3479" s="46"/>
      <c r="J3479" s="26"/>
      <c r="K3479" s="26"/>
      <c r="L3479" s="26"/>
      <c r="M3479" s="26"/>
      <c r="N3479" s="26"/>
      <c r="O3479" s="26"/>
      <c r="P3479" s="26"/>
      <c r="Q3479" s="26"/>
      <c r="R3479" s="26"/>
    </row>
    <row r="3480" spans="9:18" x14ac:dyDescent="0.25">
      <c r="I3480" s="46"/>
      <c r="J3480" s="26"/>
      <c r="K3480" s="26"/>
      <c r="L3480" s="26"/>
      <c r="M3480" s="26"/>
      <c r="N3480" s="26"/>
      <c r="O3480" s="26"/>
      <c r="P3480" s="26"/>
      <c r="Q3480" s="26"/>
      <c r="R3480" s="26"/>
    </row>
    <row r="3481" spans="9:18" x14ac:dyDescent="0.25">
      <c r="I3481" s="46"/>
      <c r="J3481" s="26"/>
      <c r="K3481" s="26"/>
      <c r="L3481" s="26"/>
      <c r="M3481" s="26"/>
      <c r="N3481" s="26"/>
      <c r="O3481" s="26"/>
      <c r="P3481" s="26"/>
      <c r="Q3481" s="26"/>
      <c r="R3481" s="26"/>
    </row>
    <row r="3482" spans="9:18" x14ac:dyDescent="0.25">
      <c r="I3482" s="46"/>
      <c r="J3482" s="26"/>
      <c r="K3482" s="26"/>
      <c r="L3482" s="26"/>
      <c r="M3482" s="26"/>
      <c r="N3482" s="26"/>
      <c r="O3482" s="26"/>
      <c r="P3482" s="26"/>
      <c r="Q3482" s="26"/>
      <c r="R3482" s="26"/>
    </row>
    <row r="3483" spans="9:18" x14ac:dyDescent="0.25">
      <c r="I3483" s="46"/>
      <c r="J3483" s="26"/>
      <c r="K3483" s="26"/>
      <c r="L3483" s="26"/>
      <c r="M3483" s="26"/>
      <c r="N3483" s="26"/>
      <c r="O3483" s="26"/>
      <c r="P3483" s="26"/>
      <c r="Q3483" s="26"/>
      <c r="R3483" s="26"/>
    </row>
    <row r="3484" spans="9:18" x14ac:dyDescent="0.25">
      <c r="I3484" s="46"/>
      <c r="J3484" s="26"/>
      <c r="K3484" s="26"/>
      <c r="L3484" s="26"/>
      <c r="M3484" s="26"/>
      <c r="N3484" s="26"/>
      <c r="O3484" s="26"/>
      <c r="P3484" s="26"/>
      <c r="Q3484" s="26"/>
      <c r="R3484" s="26"/>
    </row>
    <row r="3485" spans="9:18" x14ac:dyDescent="0.25">
      <c r="I3485" s="46"/>
      <c r="J3485" s="26"/>
      <c r="K3485" s="26"/>
      <c r="L3485" s="26"/>
      <c r="M3485" s="26"/>
      <c r="N3485" s="26"/>
      <c r="O3485" s="26"/>
      <c r="P3485" s="26"/>
      <c r="Q3485" s="26"/>
      <c r="R3485" s="26"/>
    </row>
    <row r="3486" spans="9:18" x14ac:dyDescent="0.25">
      <c r="I3486" s="46"/>
      <c r="J3486" s="26"/>
      <c r="K3486" s="26"/>
      <c r="L3486" s="26"/>
      <c r="M3486" s="26"/>
      <c r="N3486" s="26"/>
      <c r="O3486" s="26"/>
      <c r="P3486" s="26"/>
      <c r="Q3486" s="26"/>
      <c r="R3486" s="26"/>
    </row>
    <row r="3487" spans="9:18" x14ac:dyDescent="0.25">
      <c r="I3487" s="46"/>
      <c r="J3487" s="26"/>
      <c r="K3487" s="26"/>
      <c r="L3487" s="26"/>
      <c r="M3487" s="26"/>
      <c r="N3487" s="26"/>
      <c r="O3487" s="26"/>
      <c r="P3487" s="26"/>
      <c r="Q3487" s="26"/>
      <c r="R3487" s="26"/>
    </row>
    <row r="3488" spans="9:18" x14ac:dyDescent="0.25">
      <c r="I3488" s="46"/>
      <c r="J3488" s="26"/>
      <c r="K3488" s="26"/>
      <c r="L3488" s="26"/>
      <c r="M3488" s="26"/>
      <c r="N3488" s="26"/>
      <c r="O3488" s="26"/>
      <c r="P3488" s="26"/>
      <c r="Q3488" s="26"/>
      <c r="R3488" s="26"/>
    </row>
    <row r="3489" spans="9:18" x14ac:dyDescent="0.25">
      <c r="I3489" s="46"/>
      <c r="J3489" s="26"/>
      <c r="K3489" s="26"/>
      <c r="L3489" s="26"/>
      <c r="M3489" s="26"/>
      <c r="N3489" s="26"/>
      <c r="O3489" s="26"/>
      <c r="P3489" s="26"/>
      <c r="Q3489" s="26"/>
      <c r="R3489" s="26"/>
    </row>
    <row r="3490" spans="9:18" x14ac:dyDescent="0.25">
      <c r="I3490" s="46"/>
      <c r="J3490" s="26"/>
      <c r="K3490" s="26"/>
      <c r="L3490" s="26"/>
      <c r="M3490" s="26"/>
      <c r="N3490" s="26"/>
      <c r="O3490" s="26"/>
      <c r="P3490" s="26"/>
      <c r="Q3490" s="26"/>
      <c r="R3490" s="26"/>
    </row>
    <row r="3491" spans="9:18" x14ac:dyDescent="0.25">
      <c r="I3491" s="46"/>
      <c r="J3491" s="26"/>
      <c r="K3491" s="26"/>
      <c r="L3491" s="26"/>
      <c r="M3491" s="26"/>
      <c r="N3491" s="26"/>
      <c r="O3491" s="26"/>
      <c r="P3491" s="26"/>
      <c r="Q3491" s="26"/>
      <c r="R3491" s="26"/>
    </row>
    <row r="3492" spans="9:18" x14ac:dyDescent="0.25">
      <c r="I3492" s="46"/>
      <c r="J3492" s="26"/>
      <c r="K3492" s="26"/>
      <c r="L3492" s="26"/>
      <c r="M3492" s="26"/>
      <c r="N3492" s="26"/>
      <c r="O3492" s="26"/>
      <c r="P3492" s="26"/>
      <c r="Q3492" s="26"/>
      <c r="R3492" s="26"/>
    </row>
    <row r="3493" spans="9:18" x14ac:dyDescent="0.25">
      <c r="I3493" s="46"/>
      <c r="J3493" s="26"/>
      <c r="K3493" s="26"/>
      <c r="L3493" s="26"/>
      <c r="M3493" s="26"/>
      <c r="N3493" s="26"/>
      <c r="O3493" s="26"/>
      <c r="P3493" s="26"/>
      <c r="Q3493" s="26"/>
      <c r="R3493" s="26"/>
    </row>
    <row r="3494" spans="9:18" x14ac:dyDescent="0.25">
      <c r="I3494" s="46"/>
      <c r="J3494" s="26"/>
      <c r="K3494" s="26"/>
      <c r="L3494" s="26"/>
      <c r="M3494" s="26"/>
      <c r="N3494" s="26"/>
      <c r="O3494" s="26"/>
      <c r="P3494" s="26"/>
      <c r="Q3494" s="26"/>
      <c r="R3494" s="26"/>
    </row>
    <row r="3495" spans="9:18" x14ac:dyDescent="0.25">
      <c r="I3495" s="46"/>
      <c r="J3495" s="26"/>
      <c r="K3495" s="26"/>
      <c r="L3495" s="26"/>
      <c r="M3495" s="26"/>
      <c r="N3495" s="26"/>
      <c r="O3495" s="26"/>
      <c r="P3495" s="26"/>
      <c r="Q3495" s="26"/>
      <c r="R3495" s="26"/>
    </row>
    <row r="3496" spans="9:18" x14ac:dyDescent="0.25">
      <c r="I3496" s="46"/>
      <c r="J3496" s="26"/>
      <c r="K3496" s="26"/>
      <c r="L3496" s="26"/>
      <c r="M3496" s="26"/>
      <c r="N3496" s="26"/>
      <c r="O3496" s="26"/>
      <c r="P3496" s="26"/>
      <c r="Q3496" s="26"/>
      <c r="R3496" s="26"/>
    </row>
    <row r="3497" spans="9:18" x14ac:dyDescent="0.25">
      <c r="I3497" s="46"/>
      <c r="J3497" s="26"/>
      <c r="K3497" s="26"/>
      <c r="L3497" s="26"/>
      <c r="M3497" s="26"/>
      <c r="N3497" s="26"/>
      <c r="O3497" s="26"/>
      <c r="P3497" s="26"/>
      <c r="Q3497" s="26"/>
      <c r="R3497" s="26"/>
    </row>
    <row r="3498" spans="9:18" x14ac:dyDescent="0.25">
      <c r="I3498" s="46"/>
      <c r="J3498" s="26"/>
      <c r="K3498" s="26"/>
      <c r="L3498" s="26"/>
      <c r="M3498" s="26"/>
      <c r="N3498" s="26"/>
      <c r="O3498" s="26"/>
      <c r="P3498" s="26"/>
      <c r="Q3498" s="26"/>
      <c r="R3498" s="26"/>
    </row>
    <row r="3499" spans="9:18" x14ac:dyDescent="0.25">
      <c r="I3499" s="46"/>
      <c r="J3499" s="26"/>
      <c r="K3499" s="26"/>
      <c r="L3499" s="26"/>
      <c r="M3499" s="26"/>
      <c r="N3499" s="26"/>
      <c r="O3499" s="26"/>
      <c r="P3499" s="26"/>
      <c r="Q3499" s="26"/>
      <c r="R3499" s="26"/>
    </row>
    <row r="3500" spans="9:18" x14ac:dyDescent="0.25">
      <c r="I3500" s="46"/>
      <c r="J3500" s="26"/>
      <c r="K3500" s="26"/>
      <c r="L3500" s="26"/>
      <c r="M3500" s="26"/>
      <c r="N3500" s="26"/>
      <c r="O3500" s="26"/>
      <c r="P3500" s="26"/>
      <c r="Q3500" s="26"/>
      <c r="R3500" s="26"/>
    </row>
    <row r="3501" spans="9:18" x14ac:dyDescent="0.25">
      <c r="I3501" s="46"/>
      <c r="J3501" s="26"/>
      <c r="K3501" s="26"/>
      <c r="L3501" s="26"/>
      <c r="M3501" s="26"/>
      <c r="N3501" s="26"/>
      <c r="O3501" s="26"/>
      <c r="P3501" s="26"/>
      <c r="Q3501" s="26"/>
      <c r="R3501" s="26"/>
    </row>
    <row r="3502" spans="9:18" x14ac:dyDescent="0.25">
      <c r="I3502" s="46"/>
      <c r="J3502" s="26"/>
      <c r="K3502" s="26"/>
      <c r="L3502" s="26"/>
      <c r="M3502" s="26"/>
      <c r="N3502" s="26"/>
      <c r="O3502" s="26"/>
      <c r="P3502" s="26"/>
      <c r="Q3502" s="26"/>
      <c r="R3502" s="26"/>
    </row>
    <row r="3503" spans="9:18" x14ac:dyDescent="0.25">
      <c r="I3503" s="46"/>
      <c r="J3503" s="26"/>
      <c r="K3503" s="26"/>
      <c r="L3503" s="26"/>
      <c r="M3503" s="26"/>
      <c r="N3503" s="26"/>
      <c r="O3503" s="26"/>
      <c r="P3503" s="26"/>
      <c r="Q3503" s="26"/>
      <c r="R3503" s="26"/>
    </row>
    <row r="3504" spans="9:18" x14ac:dyDescent="0.25">
      <c r="I3504" s="46"/>
      <c r="J3504" s="26"/>
      <c r="K3504" s="26"/>
      <c r="L3504" s="26"/>
      <c r="M3504" s="26"/>
      <c r="N3504" s="26"/>
      <c r="O3504" s="26"/>
      <c r="P3504" s="26"/>
      <c r="Q3504" s="26"/>
      <c r="R3504" s="26"/>
    </row>
    <row r="3505" spans="9:18" x14ac:dyDescent="0.25">
      <c r="I3505" s="46"/>
      <c r="J3505" s="26"/>
      <c r="K3505" s="26"/>
      <c r="L3505" s="26"/>
      <c r="M3505" s="26"/>
      <c r="N3505" s="26"/>
      <c r="O3505" s="26"/>
      <c r="P3505" s="26"/>
      <c r="Q3505" s="26"/>
      <c r="R3505" s="26"/>
    </row>
    <row r="3506" spans="9:18" x14ac:dyDescent="0.25">
      <c r="I3506" s="46"/>
      <c r="J3506" s="26"/>
      <c r="K3506" s="26"/>
      <c r="L3506" s="26"/>
      <c r="M3506" s="26"/>
      <c r="N3506" s="26"/>
      <c r="O3506" s="26"/>
      <c r="P3506" s="26"/>
      <c r="Q3506" s="26"/>
      <c r="R3506" s="26"/>
    </row>
    <row r="3507" spans="9:18" x14ac:dyDescent="0.25">
      <c r="I3507" s="46"/>
      <c r="J3507" s="26"/>
      <c r="K3507" s="26"/>
      <c r="L3507" s="26"/>
      <c r="M3507" s="26"/>
      <c r="N3507" s="26"/>
      <c r="O3507" s="26"/>
      <c r="P3507" s="26"/>
      <c r="Q3507" s="26"/>
      <c r="R3507" s="26"/>
    </row>
    <row r="3508" spans="9:18" x14ac:dyDescent="0.25">
      <c r="I3508" s="46"/>
      <c r="J3508" s="26"/>
      <c r="K3508" s="26"/>
      <c r="L3508" s="26"/>
      <c r="M3508" s="26"/>
      <c r="N3508" s="26"/>
      <c r="O3508" s="26"/>
      <c r="P3508" s="26"/>
      <c r="Q3508" s="26"/>
      <c r="R3508" s="26"/>
    </row>
    <row r="3509" spans="9:18" x14ac:dyDescent="0.25">
      <c r="I3509" s="46"/>
      <c r="J3509" s="26"/>
      <c r="K3509" s="26"/>
      <c r="L3509" s="26"/>
      <c r="M3509" s="26"/>
      <c r="N3509" s="26"/>
      <c r="O3509" s="26"/>
      <c r="P3509" s="26"/>
      <c r="Q3509" s="26"/>
      <c r="R3509" s="26"/>
    </row>
    <row r="3510" spans="9:18" x14ac:dyDescent="0.25">
      <c r="I3510" s="46"/>
      <c r="J3510" s="26"/>
      <c r="K3510" s="26"/>
      <c r="L3510" s="26"/>
      <c r="M3510" s="26"/>
      <c r="N3510" s="26"/>
      <c r="O3510" s="26"/>
      <c r="P3510" s="26"/>
      <c r="Q3510" s="26"/>
      <c r="R3510" s="26"/>
    </row>
    <row r="3511" spans="9:18" x14ac:dyDescent="0.25">
      <c r="I3511" s="46"/>
      <c r="J3511" s="26"/>
      <c r="K3511" s="26"/>
      <c r="L3511" s="26"/>
      <c r="M3511" s="26"/>
      <c r="N3511" s="26"/>
      <c r="O3511" s="26"/>
      <c r="P3511" s="26"/>
      <c r="Q3511" s="26"/>
      <c r="R3511" s="26"/>
    </row>
    <row r="3512" spans="9:18" x14ac:dyDescent="0.25">
      <c r="I3512" s="46"/>
      <c r="J3512" s="26"/>
      <c r="K3512" s="26"/>
      <c r="L3512" s="26"/>
      <c r="M3512" s="26"/>
      <c r="N3512" s="26"/>
      <c r="O3512" s="26"/>
      <c r="P3512" s="26"/>
      <c r="Q3512" s="26"/>
      <c r="R3512" s="26"/>
    </row>
    <row r="3513" spans="9:18" x14ac:dyDescent="0.25">
      <c r="I3513" s="46"/>
      <c r="J3513" s="26"/>
      <c r="K3513" s="26"/>
      <c r="L3513" s="26"/>
      <c r="M3513" s="26"/>
      <c r="N3513" s="26"/>
      <c r="O3513" s="26"/>
      <c r="P3513" s="26"/>
      <c r="Q3513" s="26"/>
      <c r="R3513" s="26"/>
    </row>
    <row r="3514" spans="9:18" x14ac:dyDescent="0.25">
      <c r="I3514" s="46"/>
      <c r="J3514" s="26"/>
      <c r="K3514" s="26"/>
      <c r="L3514" s="26"/>
      <c r="M3514" s="26"/>
      <c r="N3514" s="26"/>
      <c r="O3514" s="26"/>
      <c r="P3514" s="26"/>
      <c r="Q3514" s="26"/>
      <c r="R3514" s="26"/>
    </row>
    <row r="3515" spans="9:18" x14ac:dyDescent="0.25">
      <c r="I3515" s="46"/>
      <c r="J3515" s="26"/>
      <c r="K3515" s="26"/>
      <c r="L3515" s="26"/>
      <c r="M3515" s="26"/>
      <c r="N3515" s="26"/>
      <c r="O3515" s="26"/>
      <c r="P3515" s="26"/>
      <c r="Q3515" s="26"/>
      <c r="R3515" s="26"/>
    </row>
    <row r="3516" spans="9:18" x14ac:dyDescent="0.25">
      <c r="I3516" s="46"/>
      <c r="J3516" s="26"/>
      <c r="K3516" s="26"/>
      <c r="L3516" s="26"/>
      <c r="M3516" s="26"/>
      <c r="N3516" s="26"/>
      <c r="O3516" s="26"/>
      <c r="P3516" s="26"/>
      <c r="Q3516" s="26"/>
      <c r="R3516" s="26"/>
    </row>
    <row r="3517" spans="9:18" x14ac:dyDescent="0.25">
      <c r="I3517" s="46"/>
      <c r="J3517" s="26"/>
      <c r="K3517" s="26"/>
      <c r="L3517" s="26"/>
      <c r="M3517" s="26"/>
      <c r="N3517" s="26"/>
      <c r="O3517" s="26"/>
      <c r="P3517" s="26"/>
      <c r="Q3517" s="26"/>
      <c r="R3517" s="26"/>
    </row>
    <row r="3518" spans="9:18" x14ac:dyDescent="0.25">
      <c r="I3518" s="46"/>
      <c r="J3518" s="26"/>
      <c r="K3518" s="26"/>
      <c r="L3518" s="26"/>
      <c r="M3518" s="26"/>
      <c r="N3518" s="26"/>
      <c r="O3518" s="26"/>
      <c r="P3518" s="26"/>
      <c r="Q3518" s="26"/>
      <c r="R3518" s="26"/>
    </row>
    <row r="3519" spans="9:18" x14ac:dyDescent="0.25">
      <c r="I3519" s="46"/>
      <c r="J3519" s="26"/>
      <c r="K3519" s="26"/>
      <c r="L3519" s="26"/>
      <c r="M3519" s="26"/>
      <c r="N3519" s="26"/>
      <c r="O3519" s="26"/>
      <c r="P3519" s="26"/>
      <c r="Q3519" s="26"/>
      <c r="R3519" s="26"/>
    </row>
    <row r="3520" spans="9:18" x14ac:dyDescent="0.25">
      <c r="I3520" s="46"/>
      <c r="J3520" s="26"/>
      <c r="K3520" s="26"/>
      <c r="L3520" s="26"/>
      <c r="M3520" s="26"/>
      <c r="N3520" s="26"/>
      <c r="O3520" s="26"/>
      <c r="P3520" s="26"/>
      <c r="Q3520" s="26"/>
      <c r="R3520" s="26"/>
    </row>
    <row r="3521" spans="9:18" x14ac:dyDescent="0.25">
      <c r="I3521" s="46"/>
      <c r="J3521" s="26"/>
      <c r="K3521" s="26"/>
      <c r="L3521" s="26"/>
      <c r="M3521" s="26"/>
      <c r="N3521" s="26"/>
      <c r="O3521" s="26"/>
      <c r="P3521" s="26"/>
      <c r="Q3521" s="26"/>
      <c r="R3521" s="26"/>
    </row>
    <row r="3522" spans="9:18" x14ac:dyDescent="0.25">
      <c r="I3522" s="46"/>
      <c r="J3522" s="26"/>
      <c r="K3522" s="26"/>
      <c r="L3522" s="26"/>
      <c r="M3522" s="26"/>
      <c r="N3522" s="26"/>
      <c r="O3522" s="26"/>
      <c r="P3522" s="26"/>
      <c r="Q3522" s="26"/>
      <c r="R3522" s="26"/>
    </row>
    <row r="3523" spans="9:18" x14ac:dyDescent="0.25">
      <c r="I3523" s="46"/>
      <c r="J3523" s="26"/>
      <c r="K3523" s="26"/>
      <c r="L3523" s="26"/>
      <c r="M3523" s="26"/>
      <c r="N3523" s="26"/>
      <c r="O3523" s="26"/>
      <c r="P3523" s="26"/>
      <c r="Q3523" s="26"/>
      <c r="R3523" s="26"/>
    </row>
    <row r="3524" spans="9:18" x14ac:dyDescent="0.25">
      <c r="I3524" s="46"/>
      <c r="J3524" s="26"/>
      <c r="K3524" s="26"/>
      <c r="L3524" s="26"/>
      <c r="M3524" s="26"/>
      <c r="N3524" s="26"/>
      <c r="O3524" s="26"/>
      <c r="P3524" s="26"/>
      <c r="Q3524" s="26"/>
      <c r="R3524" s="26"/>
    </row>
    <row r="3525" spans="9:18" x14ac:dyDescent="0.25">
      <c r="I3525" s="46"/>
      <c r="J3525" s="26"/>
      <c r="K3525" s="26"/>
      <c r="L3525" s="26"/>
      <c r="M3525" s="26"/>
      <c r="N3525" s="26"/>
      <c r="O3525" s="26"/>
      <c r="P3525" s="26"/>
      <c r="Q3525" s="26"/>
      <c r="R3525" s="26"/>
    </row>
    <row r="3526" spans="9:18" x14ac:dyDescent="0.25">
      <c r="I3526" s="46"/>
      <c r="J3526" s="26"/>
      <c r="K3526" s="26"/>
      <c r="L3526" s="26"/>
      <c r="M3526" s="26"/>
      <c r="N3526" s="26"/>
      <c r="O3526" s="26"/>
      <c r="P3526" s="26"/>
      <c r="Q3526" s="26"/>
      <c r="R3526" s="26"/>
    </row>
    <row r="3527" spans="9:18" x14ac:dyDescent="0.25">
      <c r="I3527" s="46"/>
      <c r="J3527" s="26"/>
      <c r="K3527" s="26"/>
      <c r="L3527" s="26"/>
      <c r="M3527" s="26"/>
      <c r="N3527" s="26"/>
      <c r="O3527" s="26"/>
      <c r="P3527" s="26"/>
      <c r="Q3527" s="26"/>
      <c r="R3527" s="26"/>
    </row>
    <row r="3528" spans="9:18" x14ac:dyDescent="0.25">
      <c r="I3528" s="46"/>
      <c r="J3528" s="26"/>
      <c r="K3528" s="26"/>
      <c r="L3528" s="26"/>
      <c r="M3528" s="26"/>
      <c r="N3528" s="26"/>
      <c r="O3528" s="26"/>
      <c r="P3528" s="26"/>
      <c r="Q3528" s="26"/>
      <c r="R3528" s="26"/>
    </row>
    <row r="3529" spans="9:18" x14ac:dyDescent="0.25">
      <c r="I3529" s="46"/>
      <c r="J3529" s="26"/>
      <c r="K3529" s="26"/>
      <c r="L3529" s="26"/>
      <c r="M3529" s="26"/>
      <c r="N3529" s="26"/>
      <c r="O3529" s="26"/>
      <c r="P3529" s="26"/>
      <c r="Q3529" s="26"/>
      <c r="R3529" s="26"/>
    </row>
    <row r="3530" spans="9:18" x14ac:dyDescent="0.25">
      <c r="I3530" s="46"/>
      <c r="J3530" s="26"/>
      <c r="K3530" s="26"/>
      <c r="L3530" s="26"/>
      <c r="M3530" s="26"/>
      <c r="N3530" s="26"/>
      <c r="O3530" s="26"/>
      <c r="P3530" s="26"/>
      <c r="Q3530" s="26"/>
      <c r="R3530" s="26"/>
    </row>
    <row r="3531" spans="9:18" x14ac:dyDescent="0.25">
      <c r="I3531" s="46"/>
      <c r="J3531" s="26"/>
      <c r="K3531" s="26"/>
      <c r="L3531" s="26"/>
      <c r="M3531" s="26"/>
      <c r="N3531" s="26"/>
      <c r="O3531" s="26"/>
      <c r="P3531" s="26"/>
      <c r="Q3531" s="26"/>
      <c r="R3531" s="26"/>
    </row>
    <row r="3532" spans="9:18" x14ac:dyDescent="0.25">
      <c r="I3532" s="46"/>
      <c r="J3532" s="26"/>
      <c r="K3532" s="26"/>
      <c r="L3532" s="26"/>
      <c r="M3532" s="26"/>
      <c r="N3532" s="26"/>
      <c r="O3532" s="26"/>
      <c r="P3532" s="26"/>
      <c r="Q3532" s="26"/>
      <c r="R3532" s="26"/>
    </row>
    <row r="3533" spans="9:18" x14ac:dyDescent="0.25">
      <c r="I3533" s="46"/>
      <c r="J3533" s="26"/>
      <c r="K3533" s="26"/>
      <c r="L3533" s="26"/>
      <c r="M3533" s="26"/>
      <c r="N3533" s="26"/>
      <c r="O3533" s="26"/>
      <c r="P3533" s="26"/>
      <c r="Q3533" s="26"/>
      <c r="R3533" s="26"/>
    </row>
    <row r="3534" spans="9:18" x14ac:dyDescent="0.25">
      <c r="I3534" s="46"/>
      <c r="J3534" s="26"/>
      <c r="K3534" s="26"/>
      <c r="L3534" s="26"/>
      <c r="M3534" s="26"/>
      <c r="N3534" s="26"/>
      <c r="O3534" s="26"/>
      <c r="P3534" s="26"/>
      <c r="Q3534" s="26"/>
      <c r="R3534" s="26"/>
    </row>
    <row r="3535" spans="9:18" x14ac:dyDescent="0.25">
      <c r="I3535" s="46"/>
      <c r="J3535" s="26"/>
      <c r="K3535" s="26"/>
      <c r="L3535" s="26"/>
      <c r="M3535" s="26"/>
      <c r="N3535" s="26"/>
      <c r="O3535" s="26"/>
      <c r="P3535" s="26"/>
      <c r="Q3535" s="26"/>
      <c r="R3535" s="26"/>
    </row>
    <row r="3536" spans="9:18" x14ac:dyDescent="0.25">
      <c r="I3536" s="46"/>
      <c r="J3536" s="26"/>
      <c r="K3536" s="26"/>
      <c r="L3536" s="26"/>
      <c r="M3536" s="26"/>
      <c r="N3536" s="26"/>
      <c r="O3536" s="26"/>
      <c r="P3536" s="26"/>
      <c r="Q3536" s="26"/>
      <c r="R3536" s="26"/>
    </row>
    <row r="3537" spans="9:18" x14ac:dyDescent="0.25">
      <c r="I3537" s="46"/>
      <c r="J3537" s="26"/>
      <c r="K3537" s="26"/>
      <c r="L3537" s="26"/>
      <c r="M3537" s="26"/>
      <c r="N3537" s="26"/>
      <c r="O3537" s="26"/>
      <c r="P3537" s="26"/>
      <c r="Q3537" s="26"/>
      <c r="R3537" s="26"/>
    </row>
    <row r="3538" spans="9:18" x14ac:dyDescent="0.25">
      <c r="I3538" s="46"/>
      <c r="J3538" s="26"/>
      <c r="K3538" s="26"/>
      <c r="L3538" s="26"/>
      <c r="M3538" s="26"/>
      <c r="N3538" s="26"/>
      <c r="O3538" s="26"/>
      <c r="P3538" s="26"/>
      <c r="Q3538" s="26"/>
      <c r="R3538" s="26"/>
    </row>
    <row r="3539" spans="9:18" x14ac:dyDescent="0.25">
      <c r="I3539" s="46"/>
      <c r="J3539" s="26"/>
      <c r="K3539" s="26"/>
      <c r="L3539" s="26"/>
      <c r="M3539" s="26"/>
      <c r="N3539" s="26"/>
      <c r="O3539" s="26"/>
      <c r="P3539" s="26"/>
      <c r="Q3539" s="26"/>
      <c r="R3539" s="26"/>
    </row>
    <row r="3540" spans="9:18" x14ac:dyDescent="0.25">
      <c r="I3540" s="46"/>
      <c r="J3540" s="26"/>
      <c r="K3540" s="26"/>
      <c r="L3540" s="26"/>
      <c r="M3540" s="26"/>
      <c r="N3540" s="26"/>
      <c r="O3540" s="26"/>
      <c r="P3540" s="26"/>
      <c r="Q3540" s="26"/>
      <c r="R3540" s="26"/>
    </row>
    <row r="3541" spans="9:18" x14ac:dyDescent="0.25">
      <c r="I3541" s="46"/>
      <c r="J3541" s="26"/>
      <c r="K3541" s="26"/>
      <c r="L3541" s="26"/>
      <c r="M3541" s="26"/>
      <c r="N3541" s="26"/>
      <c r="O3541" s="26"/>
      <c r="P3541" s="26"/>
      <c r="Q3541" s="26"/>
      <c r="R3541" s="26"/>
    </row>
    <row r="3542" spans="9:18" x14ac:dyDescent="0.25">
      <c r="I3542" s="46"/>
      <c r="J3542" s="26"/>
      <c r="K3542" s="26"/>
      <c r="L3542" s="26"/>
      <c r="M3542" s="26"/>
      <c r="N3542" s="26"/>
      <c r="O3542" s="26"/>
      <c r="P3542" s="26"/>
      <c r="Q3542" s="26"/>
      <c r="R3542" s="26"/>
    </row>
    <row r="3543" spans="9:18" x14ac:dyDescent="0.25">
      <c r="I3543" s="46"/>
      <c r="J3543" s="26"/>
      <c r="K3543" s="26"/>
      <c r="L3543" s="26"/>
      <c r="M3543" s="26"/>
      <c r="N3543" s="26"/>
      <c r="O3543" s="26"/>
      <c r="P3543" s="26"/>
      <c r="Q3543" s="26"/>
      <c r="R3543" s="26"/>
    </row>
    <row r="3544" spans="9:18" x14ac:dyDescent="0.25">
      <c r="I3544" s="46"/>
      <c r="J3544" s="26"/>
      <c r="K3544" s="26"/>
      <c r="L3544" s="26"/>
      <c r="M3544" s="26"/>
      <c r="N3544" s="26"/>
      <c r="O3544" s="26"/>
      <c r="P3544" s="26"/>
      <c r="Q3544" s="26"/>
      <c r="R3544" s="26"/>
    </row>
    <row r="3545" spans="9:18" x14ac:dyDescent="0.25">
      <c r="I3545" s="46"/>
      <c r="J3545" s="26"/>
      <c r="K3545" s="26"/>
      <c r="L3545" s="26"/>
      <c r="M3545" s="26"/>
      <c r="N3545" s="26"/>
      <c r="O3545" s="26"/>
      <c r="P3545" s="26"/>
      <c r="Q3545" s="26"/>
      <c r="R3545" s="26"/>
    </row>
    <row r="3546" spans="9:18" x14ac:dyDescent="0.25">
      <c r="I3546" s="46"/>
      <c r="J3546" s="26"/>
      <c r="K3546" s="26"/>
      <c r="L3546" s="26"/>
      <c r="M3546" s="26"/>
      <c r="N3546" s="26"/>
      <c r="O3546" s="26"/>
      <c r="P3546" s="26"/>
      <c r="Q3546" s="26"/>
      <c r="R3546" s="26"/>
    </row>
    <row r="3547" spans="9:18" x14ac:dyDescent="0.25">
      <c r="I3547" s="46"/>
      <c r="J3547" s="26"/>
      <c r="K3547" s="26"/>
      <c r="L3547" s="26"/>
      <c r="M3547" s="26"/>
      <c r="N3547" s="26"/>
      <c r="O3547" s="26"/>
      <c r="P3547" s="26"/>
      <c r="Q3547" s="26"/>
      <c r="R3547" s="26"/>
    </row>
    <row r="3548" spans="9:18" x14ac:dyDescent="0.25">
      <c r="I3548" s="46"/>
      <c r="J3548" s="26"/>
      <c r="K3548" s="26"/>
      <c r="L3548" s="26"/>
      <c r="M3548" s="26"/>
      <c r="N3548" s="26"/>
      <c r="O3548" s="26"/>
      <c r="P3548" s="26"/>
      <c r="Q3548" s="26"/>
      <c r="R3548" s="26"/>
    </row>
    <row r="3549" spans="9:18" x14ac:dyDescent="0.25">
      <c r="I3549" s="46"/>
      <c r="J3549" s="26"/>
      <c r="K3549" s="26"/>
      <c r="L3549" s="26"/>
      <c r="M3549" s="26"/>
      <c r="N3549" s="26"/>
      <c r="O3549" s="26"/>
      <c r="P3549" s="26"/>
      <c r="Q3549" s="26"/>
      <c r="R3549" s="26"/>
    </row>
    <row r="3550" spans="9:18" x14ac:dyDescent="0.25">
      <c r="I3550" s="46"/>
      <c r="J3550" s="26"/>
      <c r="K3550" s="26"/>
      <c r="L3550" s="26"/>
      <c r="M3550" s="26"/>
      <c r="N3550" s="26"/>
      <c r="O3550" s="26"/>
      <c r="P3550" s="26"/>
      <c r="Q3550" s="26"/>
      <c r="R3550" s="26"/>
    </row>
    <row r="3551" spans="9:18" x14ac:dyDescent="0.25">
      <c r="I3551" s="46"/>
      <c r="J3551" s="26"/>
      <c r="K3551" s="26"/>
      <c r="L3551" s="26"/>
      <c r="M3551" s="26"/>
      <c r="N3551" s="26"/>
      <c r="O3551" s="26"/>
      <c r="P3551" s="26"/>
      <c r="Q3551" s="26"/>
      <c r="R3551" s="26"/>
    </row>
    <row r="3552" spans="9:18" x14ac:dyDescent="0.25">
      <c r="I3552" s="46"/>
      <c r="J3552" s="26"/>
      <c r="K3552" s="26"/>
      <c r="L3552" s="26"/>
      <c r="M3552" s="26"/>
      <c r="N3552" s="26"/>
      <c r="O3552" s="26"/>
      <c r="P3552" s="26"/>
      <c r="Q3552" s="26"/>
      <c r="R3552" s="26"/>
    </row>
    <row r="3553" spans="9:18" x14ac:dyDescent="0.25">
      <c r="I3553" s="46"/>
      <c r="J3553" s="26"/>
      <c r="K3553" s="26"/>
      <c r="L3553" s="26"/>
      <c r="M3553" s="26"/>
      <c r="N3553" s="26"/>
      <c r="O3553" s="26"/>
      <c r="P3553" s="26"/>
      <c r="Q3553" s="26"/>
      <c r="R3553" s="26"/>
    </row>
    <row r="3554" spans="9:18" x14ac:dyDescent="0.25">
      <c r="I3554" s="46"/>
      <c r="J3554" s="26"/>
      <c r="K3554" s="26"/>
      <c r="L3554" s="26"/>
      <c r="M3554" s="26"/>
      <c r="N3554" s="26"/>
      <c r="O3554" s="26"/>
      <c r="P3554" s="26"/>
      <c r="Q3554" s="26"/>
      <c r="R3554" s="26"/>
    </row>
    <row r="3555" spans="9:18" x14ac:dyDescent="0.25">
      <c r="I3555" s="46"/>
      <c r="J3555" s="26"/>
      <c r="K3555" s="26"/>
      <c r="L3555" s="26"/>
      <c r="M3555" s="26"/>
      <c r="N3555" s="26"/>
      <c r="O3555" s="26"/>
      <c r="P3555" s="26"/>
      <c r="Q3555" s="26"/>
      <c r="R3555" s="26"/>
    </row>
    <row r="3556" spans="9:18" x14ac:dyDescent="0.25">
      <c r="I3556" s="46"/>
      <c r="J3556" s="26"/>
      <c r="K3556" s="26"/>
      <c r="L3556" s="26"/>
      <c r="M3556" s="26"/>
      <c r="N3556" s="26"/>
      <c r="O3556" s="26"/>
      <c r="P3556" s="26"/>
      <c r="Q3556" s="26"/>
      <c r="R3556" s="26"/>
    </row>
    <row r="3557" spans="9:18" x14ac:dyDescent="0.25">
      <c r="I3557" s="46"/>
      <c r="J3557" s="26"/>
      <c r="K3557" s="26"/>
      <c r="L3557" s="26"/>
      <c r="M3557" s="26"/>
      <c r="N3557" s="26"/>
      <c r="O3557" s="26"/>
      <c r="P3557" s="26"/>
      <c r="Q3557" s="26"/>
      <c r="R3557" s="26"/>
    </row>
    <row r="3558" spans="9:18" x14ac:dyDescent="0.25">
      <c r="I3558" s="46"/>
      <c r="J3558" s="26"/>
      <c r="K3558" s="26"/>
      <c r="L3558" s="26"/>
      <c r="M3558" s="26"/>
      <c r="N3558" s="26"/>
      <c r="O3558" s="26"/>
      <c r="P3558" s="26"/>
      <c r="Q3558" s="26"/>
      <c r="R3558" s="26"/>
    </row>
    <row r="3559" spans="9:18" x14ac:dyDescent="0.25">
      <c r="I3559" s="46"/>
      <c r="J3559" s="26"/>
      <c r="K3559" s="26"/>
      <c r="L3559" s="26"/>
      <c r="M3559" s="26"/>
      <c r="N3559" s="26"/>
      <c r="O3559" s="26"/>
      <c r="P3559" s="26"/>
      <c r="Q3559" s="26"/>
      <c r="R3559" s="26"/>
    </row>
    <row r="3560" spans="9:18" x14ac:dyDescent="0.25">
      <c r="I3560" s="46"/>
      <c r="J3560" s="26"/>
      <c r="K3560" s="26"/>
      <c r="L3560" s="26"/>
      <c r="M3560" s="26"/>
      <c r="N3560" s="26"/>
      <c r="O3560" s="26"/>
      <c r="P3560" s="26"/>
      <c r="Q3560" s="26"/>
      <c r="R3560" s="26"/>
    </row>
    <row r="3561" spans="9:18" x14ac:dyDescent="0.25">
      <c r="I3561" s="46"/>
      <c r="J3561" s="26"/>
      <c r="K3561" s="26"/>
      <c r="L3561" s="26"/>
      <c r="M3561" s="26"/>
      <c r="N3561" s="26"/>
      <c r="O3561" s="26"/>
      <c r="P3561" s="26"/>
      <c r="Q3561" s="26"/>
      <c r="R3561" s="26"/>
    </row>
    <row r="3562" spans="9:18" x14ac:dyDescent="0.25">
      <c r="I3562" s="46"/>
      <c r="J3562" s="26"/>
      <c r="K3562" s="26"/>
      <c r="L3562" s="26"/>
      <c r="M3562" s="26"/>
      <c r="N3562" s="26"/>
      <c r="O3562" s="26"/>
      <c r="P3562" s="26"/>
      <c r="Q3562" s="26"/>
      <c r="R3562" s="26"/>
    </row>
    <row r="3563" spans="9:18" x14ac:dyDescent="0.25">
      <c r="I3563" s="46"/>
      <c r="J3563" s="26"/>
      <c r="K3563" s="26"/>
      <c r="L3563" s="26"/>
      <c r="M3563" s="26"/>
      <c r="N3563" s="26"/>
      <c r="O3563" s="26"/>
      <c r="P3563" s="26"/>
      <c r="Q3563" s="26"/>
      <c r="R3563" s="26"/>
    </row>
    <row r="3564" spans="9:18" x14ac:dyDescent="0.25">
      <c r="I3564" s="46"/>
      <c r="J3564" s="26"/>
      <c r="K3564" s="26"/>
      <c r="L3564" s="26"/>
      <c r="M3564" s="26"/>
      <c r="N3564" s="26"/>
      <c r="O3564" s="26"/>
      <c r="P3564" s="26"/>
      <c r="Q3564" s="26"/>
      <c r="R3564" s="26"/>
    </row>
    <row r="3565" spans="9:18" x14ac:dyDescent="0.25">
      <c r="I3565" s="46"/>
      <c r="J3565" s="26"/>
      <c r="K3565" s="26"/>
      <c r="L3565" s="26"/>
      <c r="M3565" s="26"/>
      <c r="N3565" s="26"/>
      <c r="O3565" s="26"/>
      <c r="P3565" s="26"/>
      <c r="Q3565" s="26"/>
      <c r="R3565" s="26"/>
    </row>
    <row r="3566" spans="9:18" x14ac:dyDescent="0.25">
      <c r="I3566" s="46"/>
      <c r="J3566" s="26"/>
      <c r="K3566" s="26"/>
      <c r="L3566" s="26"/>
      <c r="M3566" s="26"/>
      <c r="N3566" s="26"/>
      <c r="O3566" s="26"/>
      <c r="P3566" s="26"/>
      <c r="Q3566" s="26"/>
      <c r="R3566" s="26"/>
    </row>
    <row r="3567" spans="9:18" x14ac:dyDescent="0.25">
      <c r="I3567" s="46"/>
      <c r="J3567" s="26"/>
      <c r="K3567" s="26"/>
      <c r="L3567" s="26"/>
      <c r="M3567" s="26"/>
      <c r="N3567" s="26"/>
      <c r="O3567" s="26"/>
      <c r="P3567" s="26"/>
      <c r="Q3567" s="26"/>
      <c r="R3567" s="26"/>
    </row>
    <row r="3568" spans="9:18" x14ac:dyDescent="0.25">
      <c r="I3568" s="46"/>
      <c r="J3568" s="26"/>
      <c r="K3568" s="26"/>
      <c r="L3568" s="26"/>
      <c r="M3568" s="26"/>
      <c r="N3568" s="26"/>
      <c r="O3568" s="26"/>
      <c r="P3568" s="26"/>
      <c r="Q3568" s="26"/>
      <c r="R3568" s="26"/>
    </row>
    <row r="3569" spans="9:18" x14ac:dyDescent="0.25">
      <c r="I3569" s="46"/>
      <c r="J3569" s="26"/>
      <c r="K3569" s="26"/>
      <c r="L3569" s="26"/>
      <c r="M3569" s="26"/>
      <c r="N3569" s="26"/>
      <c r="O3569" s="26"/>
      <c r="P3569" s="26"/>
      <c r="Q3569" s="26"/>
      <c r="R3569" s="26"/>
    </row>
    <row r="3570" spans="9:18" x14ac:dyDescent="0.25">
      <c r="I3570" s="46"/>
      <c r="J3570" s="26"/>
      <c r="K3570" s="26"/>
      <c r="L3570" s="26"/>
      <c r="M3570" s="26"/>
      <c r="N3570" s="26"/>
      <c r="O3570" s="26"/>
      <c r="P3570" s="26"/>
      <c r="Q3570" s="26"/>
      <c r="R3570" s="26"/>
    </row>
    <row r="3571" spans="9:18" x14ac:dyDescent="0.25">
      <c r="I3571" s="46"/>
      <c r="J3571" s="26"/>
      <c r="K3571" s="26"/>
      <c r="L3571" s="26"/>
      <c r="M3571" s="26"/>
      <c r="N3571" s="26"/>
      <c r="O3571" s="26"/>
      <c r="P3571" s="26"/>
      <c r="Q3571" s="26"/>
      <c r="R3571" s="26"/>
    </row>
    <row r="3572" spans="9:18" x14ac:dyDescent="0.25">
      <c r="I3572" s="46"/>
      <c r="J3572" s="26"/>
      <c r="K3572" s="26"/>
      <c r="L3572" s="26"/>
      <c r="M3572" s="26"/>
      <c r="N3572" s="26"/>
      <c r="O3572" s="26"/>
      <c r="P3572" s="26"/>
      <c r="Q3572" s="26"/>
      <c r="R3572" s="26"/>
    </row>
    <row r="3573" spans="9:18" x14ac:dyDescent="0.25">
      <c r="I3573" s="46"/>
      <c r="J3573" s="26"/>
      <c r="K3573" s="26"/>
      <c r="L3573" s="26"/>
      <c r="M3573" s="26"/>
      <c r="N3573" s="26"/>
      <c r="O3573" s="26"/>
      <c r="P3573" s="26"/>
      <c r="Q3573" s="26"/>
      <c r="R3573" s="26"/>
    </row>
    <row r="3574" spans="9:18" x14ac:dyDescent="0.25">
      <c r="I3574" s="46"/>
      <c r="J3574" s="26"/>
      <c r="K3574" s="26"/>
      <c r="L3574" s="26"/>
      <c r="M3574" s="26"/>
      <c r="N3574" s="26"/>
      <c r="O3574" s="26"/>
      <c r="P3574" s="26"/>
      <c r="Q3574" s="26"/>
      <c r="R3574" s="26"/>
    </row>
    <row r="3575" spans="9:18" x14ac:dyDescent="0.25">
      <c r="I3575" s="46"/>
      <c r="J3575" s="26"/>
      <c r="K3575" s="26"/>
      <c r="L3575" s="26"/>
      <c r="M3575" s="26"/>
      <c r="N3575" s="26"/>
      <c r="O3575" s="26"/>
      <c r="P3575" s="26"/>
      <c r="Q3575" s="26"/>
      <c r="R3575" s="26"/>
    </row>
    <row r="3576" spans="9:18" x14ac:dyDescent="0.25">
      <c r="I3576" s="46"/>
      <c r="J3576" s="26"/>
      <c r="K3576" s="26"/>
      <c r="L3576" s="26"/>
      <c r="M3576" s="26"/>
      <c r="N3576" s="26"/>
      <c r="O3576" s="26"/>
      <c r="P3576" s="26"/>
      <c r="Q3576" s="26"/>
      <c r="R3576" s="26"/>
    </row>
    <row r="3577" spans="9:18" x14ac:dyDescent="0.25">
      <c r="I3577" s="46"/>
      <c r="J3577" s="26"/>
      <c r="K3577" s="26"/>
      <c r="L3577" s="26"/>
      <c r="M3577" s="26"/>
      <c r="N3577" s="26"/>
      <c r="O3577" s="26"/>
      <c r="P3577" s="26"/>
      <c r="Q3577" s="26"/>
      <c r="R3577" s="26"/>
    </row>
    <row r="3578" spans="9:18" x14ac:dyDescent="0.25">
      <c r="I3578" s="46"/>
      <c r="J3578" s="26"/>
      <c r="K3578" s="26"/>
      <c r="L3578" s="26"/>
      <c r="M3578" s="26"/>
      <c r="N3578" s="26"/>
      <c r="O3578" s="26"/>
      <c r="P3578" s="26"/>
      <c r="Q3578" s="26"/>
      <c r="R3578" s="26"/>
    </row>
    <row r="3579" spans="9:18" x14ac:dyDescent="0.25">
      <c r="I3579" s="46"/>
      <c r="J3579" s="26"/>
      <c r="K3579" s="26"/>
      <c r="L3579" s="26"/>
      <c r="M3579" s="26"/>
      <c r="N3579" s="26"/>
      <c r="O3579" s="26"/>
      <c r="P3579" s="26"/>
      <c r="Q3579" s="26"/>
      <c r="R3579" s="26"/>
    </row>
    <row r="3580" spans="9:18" x14ac:dyDescent="0.25">
      <c r="I3580" s="46"/>
      <c r="J3580" s="26"/>
      <c r="K3580" s="26"/>
      <c r="L3580" s="26"/>
      <c r="M3580" s="26"/>
      <c r="N3580" s="26"/>
      <c r="O3580" s="26"/>
      <c r="P3580" s="26"/>
      <c r="Q3580" s="26"/>
      <c r="R3580" s="26"/>
    </row>
    <row r="3581" spans="9:18" x14ac:dyDescent="0.25">
      <c r="I3581" s="46"/>
      <c r="J3581" s="26"/>
      <c r="K3581" s="26"/>
      <c r="L3581" s="26"/>
      <c r="M3581" s="26"/>
      <c r="N3581" s="26"/>
      <c r="O3581" s="26"/>
      <c r="P3581" s="26"/>
      <c r="Q3581" s="26"/>
      <c r="R3581" s="26"/>
    </row>
    <row r="3582" spans="9:18" x14ac:dyDescent="0.25">
      <c r="I3582" s="46"/>
      <c r="J3582" s="26"/>
      <c r="K3582" s="26"/>
      <c r="L3582" s="26"/>
      <c r="M3582" s="26"/>
      <c r="N3582" s="26"/>
      <c r="O3582" s="26"/>
      <c r="P3582" s="26"/>
      <c r="Q3582" s="26"/>
      <c r="R3582" s="26"/>
    </row>
    <row r="3583" spans="9:18" x14ac:dyDescent="0.25">
      <c r="I3583" s="46"/>
      <c r="J3583" s="26"/>
      <c r="K3583" s="26"/>
      <c r="L3583" s="26"/>
      <c r="M3583" s="26"/>
      <c r="N3583" s="26"/>
      <c r="O3583" s="26"/>
      <c r="P3583" s="26"/>
      <c r="Q3583" s="26"/>
      <c r="R3583" s="26"/>
    </row>
    <row r="3584" spans="9:18" x14ac:dyDescent="0.25">
      <c r="I3584" s="46"/>
      <c r="J3584" s="26"/>
      <c r="K3584" s="26"/>
      <c r="L3584" s="26"/>
      <c r="M3584" s="26"/>
      <c r="N3584" s="26"/>
      <c r="O3584" s="26"/>
      <c r="P3584" s="26"/>
      <c r="Q3584" s="26"/>
      <c r="R3584" s="26"/>
    </row>
    <row r="3585" spans="9:18" x14ac:dyDescent="0.25">
      <c r="I3585" s="46"/>
      <c r="J3585" s="26"/>
      <c r="K3585" s="26"/>
      <c r="L3585" s="26"/>
      <c r="M3585" s="26"/>
      <c r="N3585" s="26"/>
      <c r="O3585" s="26"/>
      <c r="P3585" s="26"/>
      <c r="Q3585" s="26"/>
      <c r="R3585" s="26"/>
    </row>
    <row r="3586" spans="9:18" x14ac:dyDescent="0.25">
      <c r="I3586" s="46"/>
      <c r="J3586" s="26"/>
      <c r="K3586" s="26"/>
      <c r="L3586" s="26"/>
      <c r="M3586" s="26"/>
      <c r="N3586" s="26"/>
      <c r="O3586" s="26"/>
      <c r="P3586" s="26"/>
      <c r="Q3586" s="26"/>
      <c r="R3586" s="26"/>
    </row>
    <row r="3587" spans="9:18" x14ac:dyDescent="0.25">
      <c r="I3587" s="46"/>
      <c r="J3587" s="26"/>
      <c r="K3587" s="26"/>
      <c r="L3587" s="26"/>
      <c r="M3587" s="26"/>
      <c r="N3587" s="26"/>
      <c r="O3587" s="26"/>
      <c r="P3587" s="26"/>
      <c r="Q3587" s="26"/>
      <c r="R3587" s="26"/>
    </row>
    <row r="3588" spans="9:18" x14ac:dyDescent="0.25">
      <c r="I3588" s="46"/>
      <c r="J3588" s="26"/>
      <c r="K3588" s="26"/>
      <c r="L3588" s="26"/>
      <c r="M3588" s="26"/>
      <c r="N3588" s="26"/>
      <c r="O3588" s="26"/>
      <c r="P3588" s="26"/>
      <c r="Q3588" s="26"/>
      <c r="R3588" s="26"/>
    </row>
    <row r="3589" spans="9:18" x14ac:dyDescent="0.25">
      <c r="I3589" s="46"/>
      <c r="J3589" s="26"/>
      <c r="K3589" s="26"/>
      <c r="L3589" s="26"/>
      <c r="M3589" s="26"/>
      <c r="N3589" s="26"/>
      <c r="O3589" s="26"/>
      <c r="P3589" s="26"/>
      <c r="Q3589" s="26"/>
      <c r="R3589" s="26"/>
    </row>
    <row r="3590" spans="9:18" x14ac:dyDescent="0.25">
      <c r="I3590" s="46"/>
      <c r="J3590" s="26"/>
      <c r="K3590" s="26"/>
      <c r="L3590" s="26"/>
      <c r="M3590" s="26"/>
      <c r="N3590" s="26"/>
      <c r="O3590" s="26"/>
      <c r="P3590" s="26"/>
      <c r="Q3590" s="26"/>
      <c r="R3590" s="26"/>
    </row>
    <row r="3591" spans="9:18" x14ac:dyDescent="0.25">
      <c r="I3591" s="46"/>
      <c r="J3591" s="26"/>
      <c r="K3591" s="26"/>
      <c r="L3591" s="26"/>
      <c r="M3591" s="26"/>
      <c r="N3591" s="26"/>
      <c r="O3591" s="26"/>
      <c r="P3591" s="26"/>
      <c r="Q3591" s="26"/>
      <c r="R3591" s="26"/>
    </row>
    <row r="3592" spans="9:18" x14ac:dyDescent="0.25">
      <c r="I3592" s="46"/>
      <c r="J3592" s="26"/>
      <c r="K3592" s="26"/>
      <c r="L3592" s="26"/>
      <c r="M3592" s="26"/>
      <c r="N3592" s="26"/>
      <c r="O3592" s="26"/>
      <c r="P3592" s="26"/>
      <c r="Q3592" s="26"/>
      <c r="R3592" s="26"/>
    </row>
    <row r="3593" spans="9:18" x14ac:dyDescent="0.25">
      <c r="I3593" s="46"/>
      <c r="J3593" s="26"/>
      <c r="K3593" s="26"/>
      <c r="L3593" s="26"/>
      <c r="M3593" s="26"/>
      <c r="N3593" s="26"/>
      <c r="O3593" s="26"/>
      <c r="P3593" s="26"/>
      <c r="Q3593" s="26"/>
      <c r="R3593" s="26"/>
    </row>
    <row r="3594" spans="9:18" x14ac:dyDescent="0.25">
      <c r="I3594" s="46"/>
      <c r="J3594" s="26"/>
      <c r="K3594" s="26"/>
      <c r="L3594" s="26"/>
      <c r="M3594" s="26"/>
      <c r="N3594" s="26"/>
      <c r="O3594" s="26"/>
      <c r="P3594" s="26"/>
      <c r="Q3594" s="26"/>
      <c r="R3594" s="26"/>
    </row>
    <row r="3595" spans="9:18" x14ac:dyDescent="0.25">
      <c r="I3595" s="46"/>
      <c r="J3595" s="26"/>
      <c r="K3595" s="26"/>
      <c r="L3595" s="26"/>
      <c r="M3595" s="26"/>
      <c r="N3595" s="26"/>
      <c r="O3595" s="26"/>
      <c r="P3595" s="26"/>
      <c r="Q3595" s="26"/>
      <c r="R3595" s="26"/>
    </row>
    <row r="3596" spans="9:18" x14ac:dyDescent="0.25">
      <c r="I3596" s="46"/>
      <c r="J3596" s="26"/>
      <c r="K3596" s="26"/>
      <c r="L3596" s="26"/>
      <c r="M3596" s="26"/>
      <c r="N3596" s="26"/>
      <c r="O3596" s="26"/>
      <c r="P3596" s="26"/>
      <c r="Q3596" s="26"/>
      <c r="R3596" s="26"/>
    </row>
    <row r="3597" spans="9:18" x14ac:dyDescent="0.25">
      <c r="I3597" s="46"/>
      <c r="J3597" s="26"/>
      <c r="K3597" s="26"/>
      <c r="L3597" s="26"/>
      <c r="M3597" s="26"/>
      <c r="N3597" s="26"/>
      <c r="O3597" s="26"/>
      <c r="P3597" s="26"/>
      <c r="Q3597" s="26"/>
      <c r="R3597" s="26"/>
    </row>
    <row r="3598" spans="9:18" x14ac:dyDescent="0.25">
      <c r="I3598" s="46"/>
      <c r="J3598" s="26"/>
      <c r="K3598" s="26"/>
      <c r="L3598" s="26"/>
      <c r="M3598" s="26"/>
      <c r="N3598" s="26"/>
      <c r="O3598" s="26"/>
      <c r="P3598" s="26"/>
      <c r="Q3598" s="26"/>
      <c r="R3598" s="26"/>
    </row>
    <row r="3599" spans="9:18" x14ac:dyDescent="0.25">
      <c r="I3599" s="46"/>
      <c r="J3599" s="26"/>
      <c r="K3599" s="26"/>
      <c r="L3599" s="26"/>
      <c r="M3599" s="26"/>
      <c r="N3599" s="26"/>
      <c r="O3599" s="26"/>
      <c r="P3599" s="26"/>
      <c r="Q3599" s="26"/>
      <c r="R3599" s="26"/>
    </row>
    <row r="3600" spans="9:18" x14ac:dyDescent="0.25">
      <c r="I3600" s="46"/>
      <c r="J3600" s="26"/>
      <c r="K3600" s="26"/>
      <c r="L3600" s="26"/>
      <c r="M3600" s="26"/>
      <c r="N3600" s="26"/>
      <c r="O3600" s="26"/>
      <c r="P3600" s="26"/>
      <c r="Q3600" s="26"/>
      <c r="R3600" s="26"/>
    </row>
    <row r="3601" spans="9:18" x14ac:dyDescent="0.25">
      <c r="I3601" s="46"/>
      <c r="J3601" s="26"/>
      <c r="K3601" s="26"/>
      <c r="L3601" s="26"/>
      <c r="M3601" s="26"/>
      <c r="N3601" s="26"/>
      <c r="O3601" s="26"/>
      <c r="P3601" s="26"/>
      <c r="Q3601" s="26"/>
      <c r="R3601" s="26"/>
    </row>
    <row r="3602" spans="9:18" x14ac:dyDescent="0.25">
      <c r="I3602" s="46"/>
      <c r="J3602" s="26"/>
      <c r="K3602" s="26"/>
      <c r="L3602" s="26"/>
      <c r="M3602" s="26"/>
      <c r="N3602" s="26"/>
      <c r="O3602" s="26"/>
      <c r="P3602" s="26"/>
      <c r="Q3602" s="26"/>
      <c r="R3602" s="26"/>
    </row>
    <row r="3603" spans="9:18" x14ac:dyDescent="0.25">
      <c r="I3603" s="46"/>
      <c r="J3603" s="26"/>
      <c r="K3603" s="26"/>
      <c r="L3603" s="26"/>
      <c r="M3603" s="26"/>
      <c r="N3603" s="26"/>
      <c r="O3603" s="26"/>
      <c r="P3603" s="26"/>
      <c r="Q3603" s="26"/>
      <c r="R3603" s="26"/>
    </row>
    <row r="3604" spans="9:18" x14ac:dyDescent="0.25">
      <c r="I3604" s="46"/>
      <c r="J3604" s="26"/>
      <c r="K3604" s="26"/>
      <c r="L3604" s="26"/>
      <c r="M3604" s="26"/>
      <c r="N3604" s="26"/>
      <c r="O3604" s="26"/>
      <c r="P3604" s="26"/>
      <c r="Q3604" s="26"/>
      <c r="R3604" s="26"/>
    </row>
    <row r="3605" spans="9:18" x14ac:dyDescent="0.25">
      <c r="I3605" s="46"/>
      <c r="J3605" s="26"/>
      <c r="K3605" s="26"/>
      <c r="L3605" s="26"/>
      <c r="M3605" s="26"/>
      <c r="N3605" s="26"/>
      <c r="O3605" s="26"/>
      <c r="P3605" s="26"/>
      <c r="Q3605" s="26"/>
      <c r="R3605" s="26"/>
    </row>
    <row r="3606" spans="9:18" x14ac:dyDescent="0.25">
      <c r="I3606" s="46"/>
      <c r="J3606" s="26"/>
      <c r="K3606" s="26"/>
      <c r="L3606" s="26"/>
      <c r="M3606" s="26"/>
      <c r="N3606" s="26"/>
      <c r="O3606" s="26"/>
      <c r="P3606" s="26"/>
      <c r="Q3606" s="26"/>
      <c r="R3606" s="26"/>
    </row>
    <row r="3607" spans="9:18" x14ac:dyDescent="0.25">
      <c r="I3607" s="46"/>
      <c r="J3607" s="26"/>
      <c r="K3607" s="26"/>
      <c r="L3607" s="26"/>
      <c r="M3607" s="26"/>
      <c r="N3607" s="26"/>
      <c r="O3607" s="26"/>
      <c r="P3607" s="26"/>
      <c r="Q3607" s="26"/>
      <c r="R3607" s="26"/>
    </row>
    <row r="3608" spans="9:18" x14ac:dyDescent="0.25">
      <c r="I3608" s="46"/>
      <c r="J3608" s="26"/>
      <c r="K3608" s="26"/>
      <c r="L3608" s="26"/>
      <c r="M3608" s="26"/>
      <c r="N3608" s="26"/>
      <c r="O3608" s="26"/>
      <c r="P3608" s="26"/>
      <c r="Q3608" s="26"/>
      <c r="R3608" s="26"/>
    </row>
    <row r="3609" spans="9:18" x14ac:dyDescent="0.25">
      <c r="I3609" s="46"/>
      <c r="J3609" s="26"/>
      <c r="K3609" s="26"/>
      <c r="L3609" s="26"/>
      <c r="M3609" s="26"/>
      <c r="N3609" s="26"/>
      <c r="O3609" s="26"/>
      <c r="P3609" s="26"/>
      <c r="Q3609" s="26"/>
      <c r="R3609" s="26"/>
    </row>
    <row r="3610" spans="9:18" x14ac:dyDescent="0.25">
      <c r="I3610" s="46"/>
      <c r="J3610" s="26"/>
      <c r="K3610" s="26"/>
      <c r="L3610" s="26"/>
      <c r="M3610" s="26"/>
      <c r="N3610" s="26"/>
      <c r="O3610" s="26"/>
      <c r="P3610" s="26"/>
      <c r="Q3610" s="26"/>
      <c r="R3610" s="26"/>
    </row>
    <row r="3611" spans="9:18" x14ac:dyDescent="0.25">
      <c r="I3611" s="46"/>
      <c r="J3611" s="26"/>
      <c r="K3611" s="26"/>
      <c r="L3611" s="26"/>
      <c r="M3611" s="26"/>
      <c r="N3611" s="26"/>
      <c r="O3611" s="26"/>
      <c r="P3611" s="26"/>
      <c r="Q3611" s="26"/>
      <c r="R3611" s="26"/>
    </row>
    <row r="3612" spans="9:18" x14ac:dyDescent="0.25">
      <c r="I3612" s="46"/>
      <c r="J3612" s="26"/>
      <c r="K3612" s="26"/>
      <c r="L3612" s="26"/>
      <c r="M3612" s="26"/>
      <c r="N3612" s="26"/>
      <c r="O3612" s="26"/>
      <c r="P3612" s="26"/>
      <c r="Q3612" s="26"/>
      <c r="R3612" s="26"/>
    </row>
    <row r="3613" spans="9:18" x14ac:dyDescent="0.25">
      <c r="I3613" s="46"/>
      <c r="J3613" s="26"/>
      <c r="K3613" s="26"/>
      <c r="L3613" s="26"/>
      <c r="M3613" s="26"/>
      <c r="N3613" s="26"/>
      <c r="O3613" s="26"/>
      <c r="P3613" s="26"/>
      <c r="Q3613" s="26"/>
      <c r="R3613" s="26"/>
    </row>
    <row r="3614" spans="9:18" x14ac:dyDescent="0.25">
      <c r="I3614" s="46"/>
      <c r="J3614" s="26"/>
      <c r="K3614" s="26"/>
      <c r="L3614" s="26"/>
      <c r="M3614" s="26"/>
      <c r="N3614" s="26"/>
      <c r="O3614" s="26"/>
      <c r="P3614" s="26"/>
      <c r="Q3614" s="26"/>
      <c r="R3614" s="26"/>
    </row>
    <row r="3615" spans="9:18" x14ac:dyDescent="0.25">
      <c r="I3615" s="46"/>
      <c r="J3615" s="26"/>
      <c r="K3615" s="26"/>
      <c r="L3615" s="26"/>
      <c r="M3615" s="26"/>
      <c r="N3615" s="26"/>
      <c r="O3615" s="26"/>
      <c r="P3615" s="26"/>
      <c r="Q3615" s="26"/>
      <c r="R3615" s="26"/>
    </row>
    <row r="3616" spans="9:18" x14ac:dyDescent="0.25">
      <c r="I3616" s="46"/>
      <c r="J3616" s="26"/>
      <c r="K3616" s="26"/>
      <c r="L3616" s="26"/>
      <c r="M3616" s="26"/>
      <c r="N3616" s="26"/>
      <c r="O3616" s="26"/>
      <c r="P3616" s="26"/>
      <c r="Q3616" s="26"/>
      <c r="R3616" s="26"/>
    </row>
    <row r="3617" spans="9:18" x14ac:dyDescent="0.25">
      <c r="I3617" s="46"/>
      <c r="J3617" s="26"/>
      <c r="K3617" s="26"/>
      <c r="L3617" s="26"/>
      <c r="M3617" s="26"/>
      <c r="N3617" s="26"/>
      <c r="O3617" s="26"/>
      <c r="P3617" s="26"/>
      <c r="Q3617" s="26"/>
      <c r="R3617" s="26"/>
    </row>
    <row r="3618" spans="9:18" x14ac:dyDescent="0.25">
      <c r="I3618" s="46"/>
      <c r="J3618" s="26"/>
      <c r="K3618" s="26"/>
      <c r="L3618" s="26"/>
      <c r="M3618" s="26"/>
      <c r="N3618" s="26"/>
      <c r="O3618" s="26"/>
      <c r="P3618" s="26"/>
      <c r="Q3618" s="26"/>
      <c r="R3618" s="26"/>
    </row>
    <row r="3619" spans="9:18" x14ac:dyDescent="0.25">
      <c r="I3619" s="46"/>
      <c r="J3619" s="26"/>
      <c r="K3619" s="26"/>
      <c r="L3619" s="26"/>
      <c r="M3619" s="26"/>
      <c r="N3619" s="26"/>
      <c r="O3619" s="26"/>
      <c r="P3619" s="26"/>
      <c r="Q3619" s="26"/>
      <c r="R3619" s="26"/>
    </row>
    <row r="3620" spans="9:18" x14ac:dyDescent="0.25">
      <c r="I3620" s="46"/>
      <c r="J3620" s="26"/>
      <c r="K3620" s="26"/>
      <c r="L3620" s="26"/>
      <c r="M3620" s="26"/>
      <c r="N3620" s="26"/>
      <c r="O3620" s="26"/>
      <c r="P3620" s="26"/>
      <c r="Q3620" s="26"/>
      <c r="R3620" s="26"/>
    </row>
    <row r="3621" spans="9:18" x14ac:dyDescent="0.25">
      <c r="I3621" s="46"/>
      <c r="J3621" s="26"/>
      <c r="K3621" s="26"/>
      <c r="L3621" s="26"/>
      <c r="M3621" s="26"/>
      <c r="N3621" s="26"/>
      <c r="O3621" s="26"/>
      <c r="P3621" s="26"/>
      <c r="Q3621" s="26"/>
      <c r="R3621" s="26"/>
    </row>
    <row r="3622" spans="9:18" x14ac:dyDescent="0.25">
      <c r="I3622" s="46"/>
      <c r="J3622" s="26"/>
      <c r="K3622" s="26"/>
      <c r="L3622" s="26"/>
      <c r="M3622" s="26"/>
      <c r="N3622" s="26"/>
      <c r="O3622" s="26"/>
      <c r="P3622" s="26"/>
      <c r="Q3622" s="26"/>
      <c r="R3622" s="26"/>
    </row>
    <row r="3623" spans="9:18" x14ac:dyDescent="0.25">
      <c r="I3623" s="46"/>
      <c r="J3623" s="26"/>
      <c r="K3623" s="26"/>
      <c r="L3623" s="26"/>
      <c r="M3623" s="26"/>
      <c r="N3623" s="26"/>
      <c r="O3623" s="26"/>
      <c r="P3623" s="26"/>
      <c r="Q3623" s="26"/>
      <c r="R3623" s="26"/>
    </row>
    <row r="3624" spans="9:18" x14ac:dyDescent="0.25">
      <c r="I3624" s="46"/>
      <c r="J3624" s="26"/>
      <c r="K3624" s="26"/>
      <c r="L3624" s="26"/>
      <c r="M3624" s="26"/>
      <c r="N3624" s="26"/>
      <c r="O3624" s="26"/>
      <c r="P3624" s="26"/>
      <c r="Q3624" s="26"/>
      <c r="R3624" s="26"/>
    </row>
    <row r="3625" spans="9:18" x14ac:dyDescent="0.25">
      <c r="I3625" s="46"/>
      <c r="J3625" s="26"/>
      <c r="K3625" s="26"/>
      <c r="L3625" s="26"/>
      <c r="M3625" s="26"/>
      <c r="N3625" s="26"/>
      <c r="O3625" s="26"/>
      <c r="P3625" s="26"/>
      <c r="Q3625" s="26"/>
      <c r="R3625" s="26"/>
    </row>
    <row r="3626" spans="9:18" x14ac:dyDescent="0.25">
      <c r="I3626" s="46"/>
      <c r="J3626" s="26"/>
      <c r="K3626" s="26"/>
      <c r="L3626" s="26"/>
      <c r="M3626" s="26"/>
      <c r="N3626" s="26"/>
      <c r="O3626" s="26"/>
      <c r="P3626" s="26"/>
      <c r="Q3626" s="26"/>
      <c r="R3626" s="26"/>
    </row>
    <row r="3627" spans="9:18" x14ac:dyDescent="0.25">
      <c r="I3627" s="46"/>
      <c r="J3627" s="26"/>
      <c r="K3627" s="26"/>
      <c r="L3627" s="26"/>
      <c r="M3627" s="26"/>
      <c r="N3627" s="26"/>
      <c r="O3627" s="26"/>
      <c r="P3627" s="26"/>
      <c r="Q3627" s="26"/>
      <c r="R3627" s="26"/>
    </row>
    <row r="3628" spans="9:18" x14ac:dyDescent="0.25">
      <c r="I3628" s="46"/>
      <c r="J3628" s="26"/>
      <c r="K3628" s="26"/>
      <c r="L3628" s="26"/>
      <c r="M3628" s="26"/>
      <c r="N3628" s="26"/>
      <c r="O3628" s="26"/>
      <c r="P3628" s="26"/>
      <c r="Q3628" s="26"/>
      <c r="R3628" s="26"/>
    </row>
    <row r="3629" spans="9:18" x14ac:dyDescent="0.25">
      <c r="I3629" s="46"/>
      <c r="J3629" s="26"/>
      <c r="K3629" s="26"/>
      <c r="L3629" s="26"/>
      <c r="M3629" s="26"/>
      <c r="N3629" s="26"/>
      <c r="O3629" s="26"/>
      <c r="P3629" s="26"/>
      <c r="Q3629" s="26"/>
      <c r="R3629" s="26"/>
    </row>
    <row r="3630" spans="9:18" x14ac:dyDescent="0.25">
      <c r="I3630" s="46"/>
      <c r="J3630" s="26"/>
      <c r="K3630" s="26"/>
      <c r="L3630" s="26"/>
      <c r="M3630" s="26"/>
      <c r="N3630" s="26"/>
      <c r="O3630" s="26"/>
      <c r="P3630" s="26"/>
      <c r="Q3630" s="26"/>
      <c r="R3630" s="26"/>
    </row>
    <row r="3631" spans="9:18" x14ac:dyDescent="0.25">
      <c r="I3631" s="46"/>
      <c r="J3631" s="26"/>
      <c r="K3631" s="26"/>
      <c r="L3631" s="26"/>
      <c r="M3631" s="26"/>
      <c r="N3631" s="26"/>
      <c r="O3631" s="26"/>
      <c r="P3631" s="26"/>
      <c r="Q3631" s="26"/>
      <c r="R3631" s="26"/>
    </row>
    <row r="3632" spans="9:18" x14ac:dyDescent="0.25">
      <c r="I3632" s="46"/>
      <c r="J3632" s="26"/>
      <c r="K3632" s="26"/>
      <c r="L3632" s="26"/>
      <c r="M3632" s="26"/>
      <c r="N3632" s="26"/>
      <c r="O3632" s="26"/>
      <c r="P3632" s="26"/>
      <c r="Q3632" s="26"/>
      <c r="R3632" s="26"/>
    </row>
    <row r="3633" spans="9:18" x14ac:dyDescent="0.25">
      <c r="I3633" s="46"/>
      <c r="J3633" s="26"/>
      <c r="K3633" s="26"/>
      <c r="L3633" s="26"/>
      <c r="M3633" s="26"/>
      <c r="N3633" s="26"/>
      <c r="O3633" s="26"/>
      <c r="P3633" s="26"/>
      <c r="Q3633" s="26"/>
      <c r="R3633" s="26"/>
    </row>
    <row r="3634" spans="9:18" x14ac:dyDescent="0.25">
      <c r="I3634" s="46"/>
      <c r="J3634" s="26"/>
      <c r="K3634" s="26"/>
      <c r="L3634" s="26"/>
      <c r="M3634" s="26"/>
      <c r="N3634" s="26"/>
      <c r="O3634" s="26"/>
      <c r="P3634" s="26"/>
      <c r="Q3634" s="26"/>
      <c r="R3634" s="26"/>
    </row>
    <row r="3635" spans="9:18" x14ac:dyDescent="0.25">
      <c r="I3635" s="46"/>
      <c r="J3635" s="26"/>
      <c r="K3635" s="26"/>
      <c r="L3635" s="26"/>
      <c r="M3635" s="26"/>
      <c r="N3635" s="26"/>
      <c r="O3635" s="26"/>
      <c r="P3635" s="26"/>
      <c r="Q3635" s="26"/>
      <c r="R3635" s="26"/>
    </row>
    <row r="3636" spans="9:18" x14ac:dyDescent="0.25">
      <c r="I3636" s="46"/>
      <c r="J3636" s="26"/>
      <c r="K3636" s="26"/>
      <c r="L3636" s="26"/>
      <c r="M3636" s="26"/>
      <c r="N3636" s="26"/>
      <c r="O3636" s="26"/>
      <c r="P3636" s="26"/>
      <c r="Q3636" s="26"/>
      <c r="R3636" s="26"/>
    </row>
    <row r="3637" spans="9:18" x14ac:dyDescent="0.25">
      <c r="I3637" s="46"/>
      <c r="J3637" s="26"/>
      <c r="K3637" s="26"/>
      <c r="L3637" s="26"/>
      <c r="M3637" s="26"/>
      <c r="N3637" s="26"/>
      <c r="O3637" s="26"/>
      <c r="P3637" s="26"/>
      <c r="Q3637" s="26"/>
      <c r="R3637" s="26"/>
    </row>
    <row r="3638" spans="9:18" x14ac:dyDescent="0.25">
      <c r="I3638" s="46"/>
      <c r="J3638" s="26"/>
      <c r="K3638" s="26"/>
      <c r="L3638" s="26"/>
      <c r="M3638" s="26"/>
      <c r="N3638" s="26"/>
      <c r="O3638" s="26"/>
      <c r="P3638" s="26"/>
      <c r="Q3638" s="26"/>
      <c r="R3638" s="26"/>
    </row>
    <row r="3639" spans="9:18" x14ac:dyDescent="0.25">
      <c r="I3639" s="46"/>
      <c r="J3639" s="26"/>
      <c r="K3639" s="26"/>
      <c r="L3639" s="26"/>
      <c r="M3639" s="26"/>
      <c r="N3639" s="26"/>
      <c r="O3639" s="26"/>
      <c r="P3639" s="26"/>
      <c r="Q3639" s="26"/>
      <c r="R3639" s="26"/>
    </row>
    <row r="3640" spans="9:18" x14ac:dyDescent="0.25">
      <c r="I3640" s="46"/>
      <c r="J3640" s="26"/>
      <c r="K3640" s="26"/>
      <c r="L3640" s="26"/>
      <c r="M3640" s="26"/>
      <c r="N3640" s="26"/>
      <c r="O3640" s="26"/>
      <c r="P3640" s="26"/>
      <c r="Q3640" s="26"/>
      <c r="R3640" s="26"/>
    </row>
    <row r="3641" spans="9:18" x14ac:dyDescent="0.25">
      <c r="I3641" s="46"/>
      <c r="J3641" s="26"/>
      <c r="K3641" s="26"/>
      <c r="L3641" s="26"/>
      <c r="M3641" s="26"/>
      <c r="N3641" s="26"/>
      <c r="O3641" s="26"/>
      <c r="P3641" s="26"/>
      <c r="Q3641" s="26"/>
      <c r="R3641" s="26"/>
    </row>
    <row r="3642" spans="9:18" x14ac:dyDescent="0.25">
      <c r="I3642" s="46"/>
      <c r="J3642" s="26"/>
      <c r="K3642" s="26"/>
      <c r="L3642" s="26"/>
      <c r="M3642" s="26"/>
      <c r="N3642" s="26"/>
      <c r="O3642" s="26"/>
      <c r="P3642" s="26"/>
      <c r="Q3642" s="26"/>
      <c r="R3642" s="26"/>
    </row>
    <row r="3643" spans="9:18" x14ac:dyDescent="0.25">
      <c r="I3643" s="46"/>
      <c r="J3643" s="26"/>
      <c r="K3643" s="26"/>
      <c r="L3643" s="26"/>
      <c r="M3643" s="26"/>
      <c r="N3643" s="26"/>
      <c r="O3643" s="26"/>
      <c r="P3643" s="26"/>
      <c r="Q3643" s="26"/>
      <c r="R3643" s="26"/>
    </row>
    <row r="3644" spans="9:18" x14ac:dyDescent="0.25">
      <c r="I3644" s="46"/>
      <c r="J3644" s="26"/>
      <c r="K3644" s="26"/>
      <c r="L3644" s="26"/>
      <c r="M3644" s="26"/>
      <c r="N3644" s="26"/>
      <c r="O3644" s="26"/>
      <c r="P3644" s="26"/>
      <c r="Q3644" s="26"/>
      <c r="R3644" s="26"/>
    </row>
    <row r="3645" spans="9:18" x14ac:dyDescent="0.25">
      <c r="I3645" s="46"/>
      <c r="J3645" s="26"/>
      <c r="K3645" s="26"/>
      <c r="L3645" s="26"/>
      <c r="M3645" s="26"/>
      <c r="N3645" s="26"/>
      <c r="O3645" s="26"/>
      <c r="P3645" s="26"/>
      <c r="Q3645" s="26"/>
      <c r="R3645" s="26"/>
    </row>
    <row r="3646" spans="9:18" x14ac:dyDescent="0.25">
      <c r="I3646" s="46"/>
      <c r="J3646" s="26"/>
      <c r="K3646" s="26"/>
      <c r="L3646" s="26"/>
      <c r="M3646" s="26"/>
      <c r="N3646" s="26"/>
      <c r="O3646" s="26"/>
      <c r="P3646" s="26"/>
      <c r="Q3646" s="26"/>
      <c r="R3646" s="26"/>
    </row>
    <row r="3647" spans="9:18" x14ac:dyDescent="0.25">
      <c r="I3647" s="46"/>
      <c r="J3647" s="26"/>
      <c r="K3647" s="26"/>
      <c r="L3647" s="26"/>
      <c r="M3647" s="26"/>
      <c r="N3647" s="26"/>
      <c r="O3647" s="26"/>
      <c r="P3647" s="26"/>
      <c r="Q3647" s="26"/>
      <c r="R3647" s="26"/>
    </row>
    <row r="3648" spans="9:18" x14ac:dyDescent="0.25">
      <c r="I3648" s="46"/>
      <c r="J3648" s="26"/>
      <c r="K3648" s="26"/>
      <c r="L3648" s="26"/>
      <c r="M3648" s="26"/>
      <c r="N3648" s="26"/>
      <c r="O3648" s="26"/>
      <c r="P3648" s="26"/>
      <c r="Q3648" s="26"/>
      <c r="R3648" s="26"/>
    </row>
    <row r="3649" spans="9:18" x14ac:dyDescent="0.25">
      <c r="I3649" s="46"/>
      <c r="J3649" s="26"/>
      <c r="K3649" s="26"/>
      <c r="L3649" s="26"/>
      <c r="M3649" s="26"/>
      <c r="N3649" s="26"/>
      <c r="O3649" s="26"/>
      <c r="P3649" s="26"/>
      <c r="Q3649" s="26"/>
      <c r="R3649" s="26"/>
    </row>
    <row r="3650" spans="9:18" x14ac:dyDescent="0.25">
      <c r="I3650" s="46"/>
      <c r="J3650" s="26"/>
      <c r="K3650" s="26"/>
      <c r="L3650" s="26"/>
      <c r="M3650" s="26"/>
      <c r="N3650" s="26"/>
      <c r="O3650" s="26"/>
      <c r="P3650" s="26"/>
      <c r="Q3650" s="26"/>
      <c r="R3650" s="26"/>
    </row>
    <row r="3651" spans="9:18" x14ac:dyDescent="0.25">
      <c r="I3651" s="46"/>
      <c r="J3651" s="26"/>
      <c r="K3651" s="26"/>
      <c r="L3651" s="26"/>
      <c r="M3651" s="26"/>
      <c r="N3651" s="26"/>
      <c r="O3651" s="26"/>
      <c r="P3651" s="26"/>
      <c r="Q3651" s="26"/>
      <c r="R3651" s="26"/>
    </row>
    <row r="3652" spans="9:18" x14ac:dyDescent="0.25">
      <c r="I3652" s="46"/>
      <c r="J3652" s="26"/>
      <c r="K3652" s="26"/>
      <c r="L3652" s="26"/>
      <c r="M3652" s="26"/>
      <c r="N3652" s="26"/>
      <c r="O3652" s="26"/>
      <c r="P3652" s="26"/>
      <c r="Q3652" s="26"/>
      <c r="R3652" s="26"/>
    </row>
    <row r="3653" spans="9:18" x14ac:dyDescent="0.25">
      <c r="I3653" s="46"/>
      <c r="J3653" s="26"/>
      <c r="K3653" s="26"/>
      <c r="L3653" s="26"/>
      <c r="M3653" s="26"/>
      <c r="N3653" s="26"/>
      <c r="O3653" s="26"/>
      <c r="P3653" s="26"/>
      <c r="Q3653" s="26"/>
      <c r="R3653" s="26"/>
    </row>
    <row r="3654" spans="9:18" x14ac:dyDescent="0.25">
      <c r="I3654" s="46"/>
      <c r="J3654" s="26"/>
      <c r="K3654" s="26"/>
      <c r="L3654" s="26"/>
      <c r="M3654" s="26"/>
      <c r="N3654" s="26"/>
      <c r="O3654" s="26"/>
      <c r="P3654" s="26"/>
      <c r="Q3654" s="26"/>
      <c r="R3654" s="26"/>
    </row>
    <row r="3655" spans="9:18" x14ac:dyDescent="0.25">
      <c r="I3655" s="46"/>
      <c r="J3655" s="26"/>
      <c r="K3655" s="26"/>
      <c r="L3655" s="26"/>
      <c r="M3655" s="26"/>
      <c r="N3655" s="26"/>
      <c r="O3655" s="26"/>
      <c r="P3655" s="26"/>
      <c r="Q3655" s="26"/>
      <c r="R3655" s="26"/>
    </row>
    <row r="3656" spans="9:18" x14ac:dyDescent="0.25">
      <c r="I3656" s="46"/>
      <c r="J3656" s="26"/>
      <c r="K3656" s="26"/>
      <c r="L3656" s="26"/>
      <c r="M3656" s="26"/>
      <c r="N3656" s="26"/>
      <c r="O3656" s="26"/>
      <c r="P3656" s="26"/>
      <c r="Q3656" s="26"/>
      <c r="R3656" s="26"/>
    </row>
    <row r="3657" spans="9:18" x14ac:dyDescent="0.25">
      <c r="I3657" s="46"/>
      <c r="J3657" s="26"/>
      <c r="K3657" s="26"/>
      <c r="L3657" s="26"/>
      <c r="M3657" s="26"/>
      <c r="N3657" s="26"/>
      <c r="O3657" s="26"/>
      <c r="P3657" s="26"/>
      <c r="Q3657" s="26"/>
      <c r="R3657" s="26"/>
    </row>
    <row r="3658" spans="9:18" x14ac:dyDescent="0.25">
      <c r="I3658" s="46"/>
      <c r="J3658" s="26"/>
      <c r="K3658" s="26"/>
      <c r="L3658" s="26"/>
      <c r="M3658" s="26"/>
      <c r="N3658" s="26"/>
      <c r="O3658" s="26"/>
      <c r="P3658" s="26"/>
      <c r="Q3658" s="26"/>
      <c r="R3658" s="26"/>
    </row>
    <row r="3659" spans="9:18" x14ac:dyDescent="0.25">
      <c r="I3659" s="46"/>
      <c r="J3659" s="26"/>
      <c r="K3659" s="26"/>
      <c r="L3659" s="26"/>
      <c r="M3659" s="26"/>
      <c r="N3659" s="26"/>
      <c r="O3659" s="26"/>
      <c r="P3659" s="26"/>
      <c r="Q3659" s="26"/>
      <c r="R3659" s="26"/>
    </row>
    <row r="3660" spans="9:18" x14ac:dyDescent="0.25">
      <c r="I3660" s="46"/>
      <c r="J3660" s="26"/>
      <c r="K3660" s="26"/>
      <c r="L3660" s="26"/>
      <c r="M3660" s="26"/>
      <c r="N3660" s="26"/>
      <c r="O3660" s="26"/>
      <c r="P3660" s="26"/>
      <c r="Q3660" s="26"/>
      <c r="R3660" s="26"/>
    </row>
    <row r="3661" spans="9:18" x14ac:dyDescent="0.25">
      <c r="I3661" s="46"/>
      <c r="J3661" s="26"/>
      <c r="K3661" s="26"/>
      <c r="L3661" s="26"/>
      <c r="M3661" s="26"/>
      <c r="N3661" s="26"/>
      <c r="O3661" s="26"/>
      <c r="P3661" s="26"/>
      <c r="Q3661" s="26"/>
      <c r="R3661" s="26"/>
    </row>
    <row r="3662" spans="9:18" x14ac:dyDescent="0.25">
      <c r="I3662" s="46"/>
      <c r="J3662" s="26"/>
      <c r="K3662" s="26"/>
      <c r="L3662" s="26"/>
      <c r="M3662" s="26"/>
      <c r="N3662" s="26"/>
      <c r="O3662" s="26"/>
      <c r="P3662" s="26"/>
      <c r="Q3662" s="26"/>
      <c r="R3662" s="26"/>
    </row>
    <row r="3663" spans="9:18" x14ac:dyDescent="0.25">
      <c r="I3663" s="46"/>
      <c r="J3663" s="26"/>
      <c r="K3663" s="26"/>
      <c r="L3663" s="26"/>
      <c r="M3663" s="26"/>
      <c r="N3663" s="26"/>
      <c r="O3663" s="26"/>
      <c r="P3663" s="26"/>
      <c r="Q3663" s="26"/>
      <c r="R3663" s="26"/>
    </row>
    <row r="3664" spans="9:18" x14ac:dyDescent="0.25">
      <c r="I3664" s="46"/>
      <c r="J3664" s="26"/>
      <c r="K3664" s="26"/>
      <c r="L3664" s="26"/>
      <c r="M3664" s="26"/>
      <c r="N3664" s="26"/>
      <c r="O3664" s="26"/>
      <c r="P3664" s="26"/>
      <c r="Q3664" s="26"/>
      <c r="R3664" s="26"/>
    </row>
    <row r="3665" spans="9:18" x14ac:dyDescent="0.25">
      <c r="I3665" s="46"/>
      <c r="J3665" s="26"/>
      <c r="K3665" s="26"/>
      <c r="L3665" s="26"/>
      <c r="M3665" s="26"/>
      <c r="N3665" s="26"/>
      <c r="O3665" s="26"/>
      <c r="P3665" s="26"/>
      <c r="Q3665" s="26"/>
      <c r="R3665" s="26"/>
    </row>
    <row r="3666" spans="9:18" x14ac:dyDescent="0.25">
      <c r="I3666" s="46"/>
      <c r="J3666" s="26"/>
      <c r="K3666" s="26"/>
      <c r="L3666" s="26"/>
      <c r="M3666" s="26"/>
      <c r="N3666" s="26"/>
      <c r="O3666" s="26"/>
      <c r="P3666" s="26"/>
      <c r="Q3666" s="26"/>
      <c r="R3666" s="26"/>
    </row>
    <row r="3667" spans="9:18" x14ac:dyDescent="0.25">
      <c r="I3667" s="46"/>
      <c r="J3667" s="26"/>
      <c r="K3667" s="26"/>
      <c r="L3667" s="26"/>
      <c r="M3667" s="26"/>
      <c r="N3667" s="26"/>
      <c r="O3667" s="26"/>
      <c r="P3667" s="26"/>
      <c r="Q3667" s="26"/>
      <c r="R3667" s="26"/>
    </row>
    <row r="3668" spans="9:18" x14ac:dyDescent="0.25">
      <c r="I3668" s="46"/>
      <c r="J3668" s="26"/>
      <c r="K3668" s="26"/>
      <c r="L3668" s="26"/>
      <c r="M3668" s="26"/>
      <c r="N3668" s="26"/>
      <c r="O3668" s="26"/>
      <c r="P3668" s="26"/>
      <c r="Q3668" s="26"/>
      <c r="R3668" s="26"/>
    </row>
    <row r="3669" spans="9:18" x14ac:dyDescent="0.25">
      <c r="I3669" s="46"/>
      <c r="J3669" s="26"/>
      <c r="K3669" s="26"/>
      <c r="L3669" s="26"/>
      <c r="M3669" s="26"/>
      <c r="N3669" s="26"/>
      <c r="O3669" s="26"/>
      <c r="P3669" s="26"/>
      <c r="Q3669" s="26"/>
      <c r="R3669" s="26"/>
    </row>
    <row r="3670" spans="9:18" x14ac:dyDescent="0.25">
      <c r="I3670" s="46"/>
      <c r="J3670" s="26"/>
      <c r="K3670" s="26"/>
      <c r="L3670" s="26"/>
      <c r="M3670" s="26"/>
      <c r="N3670" s="26"/>
      <c r="O3670" s="26"/>
      <c r="P3670" s="26"/>
      <c r="Q3670" s="26"/>
      <c r="R3670" s="26"/>
    </row>
    <row r="3671" spans="9:18" x14ac:dyDescent="0.25">
      <c r="I3671" s="46"/>
      <c r="J3671" s="26"/>
      <c r="K3671" s="26"/>
      <c r="L3671" s="26"/>
      <c r="M3671" s="26"/>
      <c r="N3671" s="26"/>
      <c r="O3671" s="26"/>
      <c r="P3671" s="26"/>
      <c r="Q3671" s="26"/>
      <c r="R3671" s="26"/>
    </row>
    <row r="3672" spans="9:18" x14ac:dyDescent="0.25">
      <c r="I3672" s="46"/>
      <c r="J3672" s="26"/>
      <c r="K3672" s="26"/>
      <c r="L3672" s="26"/>
      <c r="M3672" s="26"/>
      <c r="N3672" s="26"/>
      <c r="O3672" s="26"/>
      <c r="P3672" s="26"/>
      <c r="Q3672" s="26"/>
      <c r="R3672" s="26"/>
    </row>
    <row r="3673" spans="9:18" x14ac:dyDescent="0.25">
      <c r="I3673" s="46"/>
      <c r="J3673" s="26"/>
      <c r="K3673" s="26"/>
      <c r="L3673" s="26"/>
      <c r="M3673" s="26"/>
      <c r="N3673" s="26"/>
      <c r="O3673" s="26"/>
      <c r="P3673" s="26"/>
      <c r="Q3673" s="26"/>
      <c r="R3673" s="26"/>
    </row>
    <row r="3674" spans="9:18" x14ac:dyDescent="0.25">
      <c r="I3674" s="46"/>
      <c r="J3674" s="26"/>
      <c r="K3674" s="26"/>
      <c r="L3674" s="26"/>
      <c r="M3674" s="26"/>
      <c r="N3674" s="26"/>
      <c r="O3674" s="26"/>
      <c r="P3674" s="26"/>
      <c r="Q3674" s="26"/>
      <c r="R3674" s="26"/>
    </row>
    <row r="3675" spans="9:18" x14ac:dyDescent="0.25">
      <c r="I3675" s="46"/>
      <c r="J3675" s="26"/>
      <c r="K3675" s="26"/>
      <c r="L3675" s="26"/>
      <c r="M3675" s="26"/>
      <c r="N3675" s="26"/>
      <c r="O3675" s="26"/>
      <c r="P3675" s="26"/>
      <c r="Q3675" s="26"/>
      <c r="R3675" s="26"/>
    </row>
    <row r="3676" spans="9:18" x14ac:dyDescent="0.25">
      <c r="I3676" s="46"/>
      <c r="J3676" s="26"/>
      <c r="K3676" s="26"/>
      <c r="L3676" s="26"/>
      <c r="M3676" s="26"/>
      <c r="N3676" s="26"/>
      <c r="O3676" s="26"/>
      <c r="P3676" s="26"/>
      <c r="Q3676" s="26"/>
      <c r="R3676" s="26"/>
    </row>
    <row r="3677" spans="9:18" x14ac:dyDescent="0.25">
      <c r="I3677" s="46"/>
      <c r="J3677" s="26"/>
      <c r="K3677" s="26"/>
      <c r="L3677" s="26"/>
      <c r="M3677" s="26"/>
      <c r="N3677" s="26"/>
      <c r="O3677" s="26"/>
      <c r="P3677" s="26"/>
      <c r="Q3677" s="26"/>
      <c r="R3677" s="26"/>
    </row>
    <row r="3678" spans="9:18" x14ac:dyDescent="0.25">
      <c r="I3678" s="46"/>
      <c r="J3678" s="26"/>
      <c r="K3678" s="26"/>
      <c r="L3678" s="26"/>
      <c r="M3678" s="26"/>
      <c r="N3678" s="26"/>
      <c r="O3678" s="26"/>
      <c r="P3678" s="26"/>
      <c r="Q3678" s="26"/>
      <c r="R3678" s="26"/>
    </row>
    <row r="3679" spans="9:18" x14ac:dyDescent="0.25">
      <c r="I3679" s="46"/>
      <c r="J3679" s="26"/>
      <c r="K3679" s="26"/>
      <c r="L3679" s="26"/>
      <c r="M3679" s="26"/>
      <c r="N3679" s="26"/>
      <c r="O3679" s="26"/>
      <c r="P3679" s="26"/>
      <c r="Q3679" s="26"/>
      <c r="R3679" s="26"/>
    </row>
    <row r="3680" spans="9:18" x14ac:dyDescent="0.25">
      <c r="I3680" s="46"/>
      <c r="J3680" s="26"/>
      <c r="K3680" s="26"/>
      <c r="L3680" s="26"/>
      <c r="M3680" s="26"/>
      <c r="N3680" s="26"/>
      <c r="O3680" s="26"/>
      <c r="P3680" s="26"/>
      <c r="Q3680" s="26"/>
      <c r="R3680" s="26"/>
    </row>
    <row r="3681" spans="9:18" x14ac:dyDescent="0.25">
      <c r="I3681" s="46"/>
      <c r="J3681" s="26"/>
      <c r="K3681" s="26"/>
      <c r="L3681" s="26"/>
      <c r="M3681" s="26"/>
      <c r="N3681" s="26"/>
      <c r="O3681" s="26"/>
      <c r="P3681" s="26"/>
      <c r="Q3681" s="26"/>
      <c r="R3681" s="26"/>
    </row>
    <row r="3682" spans="9:18" x14ac:dyDescent="0.25">
      <c r="I3682" s="46"/>
      <c r="J3682" s="26"/>
      <c r="K3682" s="26"/>
      <c r="L3682" s="26"/>
      <c r="M3682" s="26"/>
      <c r="N3682" s="26"/>
      <c r="O3682" s="26"/>
      <c r="P3682" s="26"/>
      <c r="Q3682" s="26"/>
      <c r="R3682" s="26"/>
    </row>
    <row r="3683" spans="9:18" x14ac:dyDescent="0.25">
      <c r="I3683" s="46"/>
      <c r="J3683" s="26"/>
      <c r="K3683" s="26"/>
      <c r="L3683" s="26"/>
      <c r="M3683" s="26"/>
      <c r="N3683" s="26"/>
      <c r="O3683" s="26"/>
      <c r="P3683" s="26"/>
      <c r="Q3683" s="26"/>
      <c r="R3683" s="26"/>
    </row>
    <row r="3684" spans="9:18" x14ac:dyDescent="0.25">
      <c r="I3684" s="46"/>
      <c r="J3684" s="26"/>
      <c r="K3684" s="26"/>
      <c r="L3684" s="26"/>
      <c r="M3684" s="26"/>
      <c r="N3684" s="26"/>
      <c r="O3684" s="26"/>
      <c r="P3684" s="26"/>
      <c r="Q3684" s="26"/>
      <c r="R3684" s="26"/>
    </row>
    <row r="3685" spans="9:18" x14ac:dyDescent="0.25">
      <c r="I3685" s="46"/>
      <c r="J3685" s="26"/>
      <c r="K3685" s="26"/>
      <c r="L3685" s="26"/>
      <c r="M3685" s="26"/>
      <c r="N3685" s="26"/>
      <c r="O3685" s="26"/>
      <c r="P3685" s="26"/>
      <c r="Q3685" s="26"/>
      <c r="R3685" s="26"/>
    </row>
    <row r="3686" spans="9:18" x14ac:dyDescent="0.25">
      <c r="I3686" s="46"/>
      <c r="J3686" s="26"/>
      <c r="K3686" s="26"/>
      <c r="L3686" s="26"/>
      <c r="M3686" s="26"/>
      <c r="N3686" s="26"/>
      <c r="O3686" s="26"/>
      <c r="P3686" s="26"/>
      <c r="Q3686" s="26"/>
      <c r="R3686" s="26"/>
    </row>
    <row r="3687" spans="9:18" x14ac:dyDescent="0.25">
      <c r="I3687" s="46"/>
      <c r="J3687" s="26"/>
      <c r="K3687" s="26"/>
      <c r="L3687" s="26"/>
      <c r="M3687" s="26"/>
      <c r="N3687" s="26"/>
      <c r="O3687" s="26"/>
      <c r="P3687" s="26"/>
      <c r="Q3687" s="26"/>
      <c r="R3687" s="26"/>
    </row>
    <row r="3688" spans="9:18" x14ac:dyDescent="0.25">
      <c r="I3688" s="46"/>
      <c r="J3688" s="26"/>
      <c r="K3688" s="26"/>
      <c r="L3688" s="26"/>
      <c r="M3688" s="26"/>
      <c r="N3688" s="26"/>
      <c r="O3688" s="26"/>
      <c r="P3688" s="26"/>
      <c r="Q3688" s="26"/>
      <c r="R3688" s="26"/>
    </row>
    <row r="3689" spans="9:18" x14ac:dyDescent="0.25">
      <c r="I3689" s="46"/>
      <c r="J3689" s="26"/>
      <c r="K3689" s="26"/>
      <c r="L3689" s="26"/>
      <c r="M3689" s="26"/>
      <c r="N3689" s="26"/>
      <c r="O3689" s="26"/>
      <c r="P3689" s="26"/>
      <c r="Q3689" s="26"/>
      <c r="R3689" s="26"/>
    </row>
    <row r="3690" spans="9:18" x14ac:dyDescent="0.25">
      <c r="I3690" s="46"/>
      <c r="J3690" s="26"/>
      <c r="K3690" s="26"/>
      <c r="L3690" s="26"/>
      <c r="M3690" s="26"/>
      <c r="N3690" s="26"/>
      <c r="O3690" s="26"/>
      <c r="P3690" s="26"/>
      <c r="Q3690" s="26"/>
      <c r="R3690" s="26"/>
    </row>
    <row r="3691" spans="9:18" x14ac:dyDescent="0.25">
      <c r="I3691" s="46"/>
      <c r="J3691" s="26"/>
      <c r="K3691" s="26"/>
      <c r="L3691" s="26"/>
      <c r="M3691" s="26"/>
      <c r="N3691" s="26"/>
      <c r="O3691" s="26"/>
      <c r="P3691" s="26"/>
      <c r="Q3691" s="26"/>
      <c r="R3691" s="26"/>
    </row>
    <row r="3692" spans="9:18" x14ac:dyDescent="0.25">
      <c r="I3692" s="46"/>
      <c r="J3692" s="26"/>
      <c r="K3692" s="26"/>
      <c r="L3692" s="26"/>
      <c r="M3692" s="26"/>
      <c r="N3692" s="26"/>
      <c r="O3692" s="26"/>
      <c r="P3692" s="26"/>
      <c r="Q3692" s="26"/>
      <c r="R3692" s="26"/>
    </row>
    <row r="3693" spans="9:18" x14ac:dyDescent="0.25">
      <c r="I3693" s="46"/>
      <c r="J3693" s="26"/>
      <c r="K3693" s="26"/>
      <c r="L3693" s="26"/>
      <c r="M3693" s="26"/>
      <c r="N3693" s="26"/>
      <c r="O3693" s="26"/>
      <c r="P3693" s="26"/>
      <c r="Q3693" s="26"/>
      <c r="R3693" s="26"/>
    </row>
    <row r="3694" spans="9:18" x14ac:dyDescent="0.25">
      <c r="I3694" s="46"/>
      <c r="J3694" s="26"/>
      <c r="K3694" s="26"/>
      <c r="L3694" s="26"/>
      <c r="M3694" s="26"/>
      <c r="N3694" s="26"/>
      <c r="O3694" s="26"/>
      <c r="P3694" s="26"/>
      <c r="Q3694" s="26"/>
      <c r="R3694" s="26"/>
    </row>
    <row r="3695" spans="9:18" x14ac:dyDescent="0.25">
      <c r="I3695" s="46"/>
      <c r="J3695" s="26"/>
      <c r="K3695" s="26"/>
      <c r="L3695" s="26"/>
      <c r="M3695" s="26"/>
      <c r="N3695" s="26"/>
      <c r="O3695" s="26"/>
      <c r="P3695" s="26"/>
      <c r="Q3695" s="26"/>
      <c r="R3695" s="26"/>
    </row>
    <row r="3696" spans="9:18" x14ac:dyDescent="0.25">
      <c r="I3696" s="46"/>
      <c r="J3696" s="26"/>
      <c r="K3696" s="26"/>
      <c r="L3696" s="26"/>
      <c r="M3696" s="26"/>
      <c r="N3696" s="26"/>
      <c r="O3696" s="26"/>
      <c r="P3696" s="26"/>
      <c r="Q3696" s="26"/>
      <c r="R3696" s="26"/>
    </row>
    <row r="3697" spans="9:18" x14ac:dyDescent="0.25">
      <c r="I3697" s="46"/>
      <c r="J3697" s="26"/>
      <c r="K3697" s="26"/>
      <c r="L3697" s="26"/>
      <c r="M3697" s="26"/>
      <c r="N3697" s="26"/>
      <c r="O3697" s="26"/>
      <c r="P3697" s="26"/>
      <c r="Q3697" s="26"/>
      <c r="R3697" s="26"/>
    </row>
    <row r="3698" spans="9:18" x14ac:dyDescent="0.25">
      <c r="I3698" s="46"/>
      <c r="J3698" s="26"/>
      <c r="K3698" s="26"/>
      <c r="L3698" s="26"/>
      <c r="M3698" s="26"/>
      <c r="N3698" s="26"/>
      <c r="O3698" s="26"/>
      <c r="P3698" s="26"/>
      <c r="Q3698" s="26"/>
      <c r="R3698" s="26"/>
    </row>
    <row r="3699" spans="9:18" x14ac:dyDescent="0.25">
      <c r="I3699" s="46"/>
      <c r="J3699" s="26"/>
      <c r="K3699" s="26"/>
      <c r="L3699" s="26"/>
      <c r="M3699" s="26"/>
      <c r="N3699" s="26"/>
      <c r="O3699" s="26"/>
      <c r="P3699" s="26"/>
      <c r="Q3699" s="26"/>
      <c r="R3699" s="26"/>
    </row>
    <row r="3700" spans="9:18" x14ac:dyDescent="0.25">
      <c r="I3700" s="46"/>
      <c r="J3700" s="26"/>
      <c r="K3700" s="26"/>
      <c r="L3700" s="26"/>
      <c r="M3700" s="26"/>
      <c r="N3700" s="26"/>
      <c r="O3700" s="26"/>
      <c r="P3700" s="26"/>
      <c r="Q3700" s="26"/>
      <c r="R3700" s="26"/>
    </row>
    <row r="3701" spans="9:18" x14ac:dyDescent="0.25">
      <c r="I3701" s="46"/>
      <c r="J3701" s="26"/>
      <c r="K3701" s="26"/>
      <c r="L3701" s="26"/>
      <c r="M3701" s="26"/>
      <c r="N3701" s="26"/>
      <c r="O3701" s="26"/>
      <c r="P3701" s="26"/>
      <c r="Q3701" s="26"/>
      <c r="R3701" s="26"/>
    </row>
    <row r="3702" spans="9:18" x14ac:dyDescent="0.25">
      <c r="I3702" s="46"/>
      <c r="J3702" s="26"/>
      <c r="K3702" s="26"/>
      <c r="L3702" s="26"/>
      <c r="M3702" s="26"/>
      <c r="N3702" s="26"/>
      <c r="O3702" s="26"/>
      <c r="P3702" s="26"/>
      <c r="Q3702" s="26"/>
      <c r="R3702" s="26"/>
    </row>
    <row r="3703" spans="9:18" x14ac:dyDescent="0.25">
      <c r="I3703" s="46"/>
      <c r="J3703" s="26"/>
      <c r="K3703" s="26"/>
      <c r="L3703" s="26"/>
      <c r="M3703" s="26"/>
      <c r="N3703" s="26"/>
      <c r="O3703" s="26"/>
      <c r="P3703" s="26"/>
      <c r="Q3703" s="26"/>
      <c r="R3703" s="26"/>
    </row>
    <row r="3704" spans="9:18" x14ac:dyDescent="0.25">
      <c r="I3704" s="46"/>
      <c r="J3704" s="26"/>
      <c r="K3704" s="26"/>
      <c r="L3704" s="26"/>
      <c r="M3704" s="26"/>
      <c r="N3704" s="26"/>
      <c r="O3704" s="26"/>
      <c r="P3704" s="26"/>
      <c r="Q3704" s="26"/>
      <c r="R3704" s="26"/>
    </row>
    <row r="3705" spans="9:18" x14ac:dyDescent="0.25">
      <c r="I3705" s="46"/>
      <c r="J3705" s="26"/>
      <c r="K3705" s="26"/>
      <c r="L3705" s="26"/>
      <c r="M3705" s="26"/>
      <c r="N3705" s="26"/>
      <c r="O3705" s="26"/>
      <c r="P3705" s="26"/>
      <c r="Q3705" s="26"/>
      <c r="R3705" s="26"/>
    </row>
    <row r="3706" spans="9:18" x14ac:dyDescent="0.25">
      <c r="I3706" s="46"/>
      <c r="J3706" s="26"/>
      <c r="K3706" s="26"/>
      <c r="L3706" s="26"/>
      <c r="M3706" s="26"/>
      <c r="N3706" s="26"/>
      <c r="O3706" s="26"/>
      <c r="P3706" s="26"/>
      <c r="Q3706" s="26"/>
      <c r="R3706" s="26"/>
    </row>
    <row r="3707" spans="9:18" x14ac:dyDescent="0.25">
      <c r="I3707" s="46"/>
      <c r="J3707" s="26"/>
      <c r="K3707" s="26"/>
      <c r="L3707" s="26"/>
      <c r="M3707" s="26"/>
      <c r="N3707" s="26"/>
      <c r="O3707" s="26"/>
      <c r="P3707" s="26"/>
      <c r="Q3707" s="26"/>
      <c r="R3707" s="26"/>
    </row>
    <row r="3708" spans="9:18" x14ac:dyDescent="0.25">
      <c r="I3708" s="46"/>
      <c r="J3708" s="26"/>
      <c r="K3708" s="26"/>
      <c r="L3708" s="26"/>
      <c r="M3708" s="26"/>
      <c r="N3708" s="26"/>
      <c r="O3708" s="26"/>
      <c r="P3708" s="26"/>
      <c r="Q3708" s="26"/>
      <c r="R3708" s="26"/>
    </row>
    <row r="3709" spans="9:18" x14ac:dyDescent="0.25">
      <c r="I3709" s="46"/>
      <c r="J3709" s="26"/>
      <c r="K3709" s="26"/>
      <c r="L3709" s="26"/>
      <c r="M3709" s="26"/>
      <c r="N3709" s="26"/>
      <c r="O3709" s="26"/>
      <c r="P3709" s="26"/>
      <c r="Q3709" s="26"/>
      <c r="R3709" s="26"/>
    </row>
    <row r="3710" spans="9:18" x14ac:dyDescent="0.25">
      <c r="I3710" s="46"/>
      <c r="J3710" s="26"/>
      <c r="K3710" s="26"/>
      <c r="L3710" s="26"/>
      <c r="M3710" s="26"/>
      <c r="N3710" s="26"/>
      <c r="O3710" s="26"/>
      <c r="P3710" s="26"/>
      <c r="Q3710" s="26"/>
      <c r="R3710" s="26"/>
    </row>
    <row r="3711" spans="9:18" x14ac:dyDescent="0.25">
      <c r="I3711" s="46"/>
      <c r="J3711" s="26"/>
      <c r="K3711" s="26"/>
      <c r="L3711" s="26"/>
      <c r="M3711" s="26"/>
      <c r="N3711" s="26"/>
      <c r="O3711" s="26"/>
      <c r="P3711" s="26"/>
      <c r="Q3711" s="26"/>
      <c r="R3711" s="26"/>
    </row>
    <row r="3712" spans="9:18" x14ac:dyDescent="0.25">
      <c r="I3712" s="46"/>
      <c r="J3712" s="26"/>
      <c r="K3712" s="26"/>
      <c r="L3712" s="26"/>
      <c r="M3712" s="26"/>
      <c r="N3712" s="26"/>
      <c r="O3712" s="26"/>
      <c r="P3712" s="26"/>
      <c r="Q3712" s="26"/>
      <c r="R3712" s="26"/>
    </row>
    <row r="3713" spans="9:18" x14ac:dyDescent="0.25">
      <c r="I3713" s="46"/>
      <c r="J3713" s="26"/>
      <c r="K3713" s="26"/>
      <c r="L3713" s="26"/>
      <c r="M3713" s="26"/>
      <c r="N3713" s="26"/>
      <c r="O3713" s="26"/>
      <c r="P3713" s="26"/>
      <c r="Q3713" s="26"/>
      <c r="R3713" s="26"/>
    </row>
    <row r="3714" spans="9:18" x14ac:dyDescent="0.25">
      <c r="I3714" s="46"/>
      <c r="J3714" s="26"/>
      <c r="K3714" s="26"/>
      <c r="L3714" s="26"/>
      <c r="M3714" s="26"/>
      <c r="N3714" s="26"/>
      <c r="O3714" s="26"/>
      <c r="P3714" s="26"/>
      <c r="Q3714" s="26"/>
      <c r="R3714" s="26"/>
    </row>
    <row r="3715" spans="9:18" x14ac:dyDescent="0.25">
      <c r="I3715" s="46"/>
      <c r="J3715" s="26"/>
      <c r="K3715" s="26"/>
      <c r="L3715" s="26"/>
      <c r="M3715" s="26"/>
      <c r="N3715" s="26"/>
      <c r="O3715" s="26"/>
      <c r="P3715" s="26"/>
      <c r="Q3715" s="26"/>
      <c r="R3715" s="26"/>
    </row>
    <row r="3716" spans="9:18" x14ac:dyDescent="0.25">
      <c r="I3716" s="46"/>
      <c r="J3716" s="26"/>
      <c r="K3716" s="26"/>
      <c r="L3716" s="26"/>
      <c r="M3716" s="26"/>
      <c r="N3716" s="26"/>
      <c r="O3716" s="26"/>
      <c r="P3716" s="26"/>
      <c r="Q3716" s="26"/>
      <c r="R3716" s="26"/>
    </row>
    <row r="3717" spans="9:18" x14ac:dyDescent="0.25">
      <c r="I3717" s="46"/>
      <c r="J3717" s="26"/>
      <c r="K3717" s="26"/>
      <c r="L3717" s="26"/>
      <c r="M3717" s="26"/>
      <c r="N3717" s="26"/>
      <c r="O3717" s="26"/>
      <c r="P3717" s="26"/>
      <c r="Q3717" s="26"/>
      <c r="R3717" s="26"/>
    </row>
    <row r="3718" spans="9:18" x14ac:dyDescent="0.25">
      <c r="I3718" s="46"/>
      <c r="J3718" s="26"/>
      <c r="K3718" s="26"/>
      <c r="L3718" s="26"/>
      <c r="M3718" s="26"/>
      <c r="N3718" s="26"/>
      <c r="O3718" s="26"/>
      <c r="P3718" s="26"/>
      <c r="Q3718" s="26"/>
      <c r="R3718" s="26"/>
    </row>
    <row r="3719" spans="9:18" x14ac:dyDescent="0.25">
      <c r="I3719" s="46"/>
      <c r="J3719" s="26"/>
      <c r="K3719" s="26"/>
      <c r="L3719" s="26"/>
      <c r="M3719" s="26"/>
      <c r="N3719" s="26"/>
      <c r="O3719" s="26"/>
      <c r="P3719" s="26"/>
      <c r="Q3719" s="26"/>
      <c r="R3719" s="26"/>
    </row>
    <row r="3720" spans="9:18" x14ac:dyDescent="0.25">
      <c r="I3720" s="46"/>
      <c r="J3720" s="26"/>
      <c r="K3720" s="26"/>
      <c r="L3720" s="26"/>
      <c r="M3720" s="26"/>
      <c r="N3720" s="26"/>
      <c r="O3720" s="26"/>
      <c r="P3720" s="26"/>
      <c r="Q3720" s="26"/>
      <c r="R3720" s="26"/>
    </row>
    <row r="3721" spans="9:18" x14ac:dyDescent="0.25">
      <c r="I3721" s="46"/>
      <c r="J3721" s="26"/>
      <c r="K3721" s="26"/>
      <c r="L3721" s="26"/>
      <c r="M3721" s="26"/>
      <c r="N3721" s="26"/>
      <c r="O3721" s="26"/>
      <c r="P3721" s="26"/>
      <c r="Q3721" s="26"/>
      <c r="R3721" s="26"/>
    </row>
    <row r="3722" spans="9:18" x14ac:dyDescent="0.25">
      <c r="I3722" s="46"/>
      <c r="J3722" s="26"/>
      <c r="K3722" s="26"/>
      <c r="L3722" s="26"/>
      <c r="M3722" s="26"/>
      <c r="N3722" s="26"/>
      <c r="O3722" s="26"/>
      <c r="P3722" s="26"/>
      <c r="Q3722" s="26"/>
      <c r="R3722" s="26"/>
    </row>
    <row r="3723" spans="9:18" x14ac:dyDescent="0.25">
      <c r="I3723" s="46"/>
      <c r="J3723" s="26"/>
      <c r="K3723" s="26"/>
      <c r="L3723" s="26"/>
      <c r="M3723" s="26"/>
      <c r="N3723" s="26"/>
      <c r="O3723" s="26"/>
      <c r="P3723" s="26"/>
      <c r="Q3723" s="26"/>
      <c r="R3723" s="26"/>
    </row>
    <row r="3724" spans="9:18" x14ac:dyDescent="0.25">
      <c r="I3724" s="46"/>
      <c r="J3724" s="26"/>
      <c r="K3724" s="26"/>
      <c r="L3724" s="26"/>
      <c r="M3724" s="26"/>
      <c r="N3724" s="26"/>
      <c r="O3724" s="26"/>
      <c r="P3724" s="26"/>
      <c r="Q3724" s="26"/>
      <c r="R3724" s="26"/>
    </row>
    <row r="3725" spans="9:18" x14ac:dyDescent="0.25">
      <c r="I3725" s="46"/>
      <c r="J3725" s="26"/>
      <c r="K3725" s="26"/>
      <c r="L3725" s="26"/>
      <c r="M3725" s="26"/>
      <c r="N3725" s="26"/>
      <c r="O3725" s="26"/>
      <c r="P3725" s="26"/>
      <c r="Q3725" s="26"/>
      <c r="R3725" s="26"/>
    </row>
    <row r="3726" spans="9:18" x14ac:dyDescent="0.25">
      <c r="I3726" s="46"/>
      <c r="J3726" s="26"/>
      <c r="K3726" s="26"/>
      <c r="L3726" s="26"/>
      <c r="M3726" s="26"/>
      <c r="N3726" s="26"/>
      <c r="O3726" s="26"/>
      <c r="P3726" s="26"/>
      <c r="Q3726" s="26"/>
      <c r="R3726" s="26"/>
    </row>
    <row r="3727" spans="9:18" x14ac:dyDescent="0.25">
      <c r="I3727" s="46"/>
      <c r="J3727" s="26"/>
      <c r="K3727" s="26"/>
      <c r="L3727" s="26"/>
      <c r="M3727" s="26"/>
      <c r="N3727" s="26"/>
      <c r="O3727" s="26"/>
      <c r="P3727" s="26"/>
      <c r="Q3727" s="26"/>
      <c r="R3727" s="26"/>
    </row>
    <row r="3728" spans="9:18" x14ac:dyDescent="0.25">
      <c r="I3728" s="46"/>
      <c r="J3728" s="26"/>
      <c r="K3728" s="26"/>
      <c r="L3728" s="26"/>
      <c r="M3728" s="26"/>
      <c r="N3728" s="26"/>
      <c r="O3728" s="26"/>
      <c r="P3728" s="26"/>
      <c r="Q3728" s="26"/>
      <c r="R3728" s="26"/>
    </row>
    <row r="3729" spans="9:18" x14ac:dyDescent="0.25">
      <c r="I3729" s="46"/>
      <c r="J3729" s="26"/>
      <c r="K3729" s="26"/>
      <c r="L3729" s="26"/>
      <c r="M3729" s="26"/>
      <c r="N3729" s="26"/>
      <c r="O3729" s="26"/>
      <c r="P3729" s="26"/>
      <c r="Q3729" s="26"/>
      <c r="R3729" s="26"/>
    </row>
    <row r="3730" spans="9:18" x14ac:dyDescent="0.25">
      <c r="I3730" s="46"/>
      <c r="J3730" s="26"/>
      <c r="K3730" s="26"/>
      <c r="L3730" s="26"/>
      <c r="M3730" s="26"/>
      <c r="N3730" s="26"/>
      <c r="O3730" s="26"/>
      <c r="P3730" s="26"/>
      <c r="Q3730" s="26"/>
      <c r="R3730" s="26"/>
    </row>
    <row r="3731" spans="9:18" x14ac:dyDescent="0.25">
      <c r="I3731" s="46"/>
      <c r="J3731" s="26"/>
      <c r="K3731" s="26"/>
      <c r="L3731" s="26"/>
      <c r="M3731" s="26"/>
      <c r="N3731" s="26"/>
      <c r="O3731" s="26"/>
      <c r="P3731" s="26"/>
      <c r="Q3731" s="26"/>
      <c r="R3731" s="26"/>
    </row>
    <row r="3732" spans="9:18" x14ac:dyDescent="0.25">
      <c r="I3732" s="46"/>
      <c r="J3732" s="26"/>
      <c r="K3732" s="26"/>
      <c r="L3732" s="26"/>
      <c r="M3732" s="26"/>
      <c r="N3732" s="26"/>
      <c r="O3732" s="26"/>
      <c r="P3732" s="26"/>
      <c r="Q3732" s="26"/>
      <c r="R3732" s="26"/>
    </row>
    <row r="3733" spans="9:18" x14ac:dyDescent="0.25">
      <c r="I3733" s="46"/>
      <c r="J3733" s="26"/>
      <c r="K3733" s="26"/>
      <c r="L3733" s="26"/>
      <c r="M3733" s="26"/>
      <c r="N3733" s="26"/>
      <c r="O3733" s="26"/>
      <c r="P3733" s="26"/>
      <c r="Q3733" s="26"/>
      <c r="R3733" s="26"/>
    </row>
    <row r="3734" spans="9:18" x14ac:dyDescent="0.25">
      <c r="I3734" s="46"/>
      <c r="J3734" s="26"/>
      <c r="K3734" s="26"/>
      <c r="L3734" s="26"/>
      <c r="M3734" s="26"/>
      <c r="N3734" s="26"/>
      <c r="O3734" s="26"/>
      <c r="P3734" s="26"/>
      <c r="Q3734" s="26"/>
      <c r="R3734" s="26"/>
    </row>
    <row r="3735" spans="9:18" x14ac:dyDescent="0.25">
      <c r="I3735" s="46"/>
      <c r="J3735" s="26"/>
      <c r="K3735" s="26"/>
      <c r="L3735" s="26"/>
      <c r="M3735" s="26"/>
      <c r="N3735" s="26"/>
      <c r="O3735" s="26"/>
      <c r="P3735" s="26"/>
      <c r="Q3735" s="26"/>
      <c r="R3735" s="26"/>
    </row>
    <row r="3736" spans="9:18" x14ac:dyDescent="0.25">
      <c r="I3736" s="46"/>
      <c r="J3736" s="26"/>
      <c r="K3736" s="26"/>
      <c r="L3736" s="26"/>
      <c r="M3736" s="26"/>
      <c r="N3736" s="26"/>
      <c r="O3736" s="26"/>
      <c r="P3736" s="26"/>
      <c r="Q3736" s="26"/>
      <c r="R3736" s="26"/>
    </row>
    <row r="3737" spans="9:18" x14ac:dyDescent="0.25">
      <c r="I3737" s="46"/>
      <c r="J3737" s="26"/>
      <c r="K3737" s="26"/>
      <c r="L3737" s="26"/>
      <c r="M3737" s="26"/>
      <c r="N3737" s="26"/>
      <c r="O3737" s="26"/>
      <c r="P3737" s="26"/>
      <c r="Q3737" s="26"/>
      <c r="R3737" s="26"/>
    </row>
    <row r="3738" spans="9:18" x14ac:dyDescent="0.25">
      <c r="I3738" s="46"/>
      <c r="J3738" s="26"/>
      <c r="K3738" s="26"/>
      <c r="L3738" s="26"/>
      <c r="M3738" s="26"/>
      <c r="N3738" s="26"/>
      <c r="O3738" s="26"/>
      <c r="P3738" s="26"/>
      <c r="Q3738" s="26"/>
      <c r="R3738" s="26"/>
    </row>
    <row r="3739" spans="9:18" x14ac:dyDescent="0.25">
      <c r="I3739" s="46"/>
      <c r="J3739" s="26"/>
      <c r="K3739" s="26"/>
      <c r="L3739" s="26"/>
      <c r="M3739" s="26"/>
      <c r="N3739" s="26"/>
      <c r="O3739" s="26"/>
      <c r="P3739" s="26"/>
      <c r="Q3739" s="26"/>
      <c r="R3739" s="26"/>
    </row>
    <row r="3740" spans="9:18" x14ac:dyDescent="0.25">
      <c r="I3740" s="46"/>
      <c r="J3740" s="26"/>
      <c r="K3740" s="26"/>
      <c r="L3740" s="26"/>
      <c r="M3740" s="26"/>
      <c r="N3740" s="26"/>
      <c r="O3740" s="26"/>
      <c r="P3740" s="26"/>
      <c r="Q3740" s="26"/>
      <c r="R3740" s="26"/>
    </row>
    <row r="3741" spans="9:18" x14ac:dyDescent="0.25">
      <c r="I3741" s="46"/>
      <c r="J3741" s="26"/>
      <c r="K3741" s="26"/>
      <c r="L3741" s="26"/>
      <c r="M3741" s="26"/>
      <c r="N3741" s="26"/>
      <c r="O3741" s="26"/>
      <c r="P3741" s="26"/>
      <c r="Q3741" s="26"/>
      <c r="R3741" s="26"/>
    </row>
    <row r="3742" spans="9:18" x14ac:dyDescent="0.25">
      <c r="I3742" s="46"/>
      <c r="J3742" s="26"/>
      <c r="K3742" s="26"/>
      <c r="L3742" s="26"/>
      <c r="M3742" s="26"/>
      <c r="N3742" s="26"/>
      <c r="O3742" s="26"/>
      <c r="P3742" s="26"/>
      <c r="Q3742" s="26"/>
      <c r="R3742" s="26"/>
    </row>
    <row r="3743" spans="9:18" x14ac:dyDescent="0.25">
      <c r="I3743" s="46"/>
      <c r="J3743" s="26"/>
      <c r="K3743" s="26"/>
      <c r="L3743" s="26"/>
      <c r="M3743" s="26"/>
      <c r="N3743" s="26"/>
      <c r="O3743" s="26"/>
      <c r="P3743" s="26"/>
      <c r="Q3743" s="26"/>
      <c r="R3743" s="26"/>
    </row>
    <row r="3744" spans="9:18" x14ac:dyDescent="0.25">
      <c r="I3744" s="46"/>
      <c r="J3744" s="26"/>
      <c r="K3744" s="26"/>
      <c r="L3744" s="26"/>
      <c r="M3744" s="26"/>
      <c r="N3744" s="26"/>
      <c r="O3744" s="26"/>
      <c r="P3744" s="26"/>
      <c r="Q3744" s="26"/>
      <c r="R3744" s="26"/>
    </row>
    <row r="3745" spans="9:18" x14ac:dyDescent="0.25">
      <c r="I3745" s="46"/>
      <c r="J3745" s="26"/>
      <c r="K3745" s="26"/>
      <c r="L3745" s="26"/>
      <c r="M3745" s="26"/>
      <c r="N3745" s="26"/>
      <c r="O3745" s="26"/>
      <c r="P3745" s="26"/>
      <c r="Q3745" s="26"/>
      <c r="R3745" s="26"/>
    </row>
    <row r="3746" spans="9:18" x14ac:dyDescent="0.25">
      <c r="I3746" s="46"/>
      <c r="J3746" s="26"/>
      <c r="K3746" s="26"/>
      <c r="L3746" s="26"/>
      <c r="M3746" s="26"/>
      <c r="N3746" s="26"/>
      <c r="O3746" s="26"/>
      <c r="P3746" s="26"/>
      <c r="Q3746" s="26"/>
      <c r="R3746" s="26"/>
    </row>
    <row r="3747" spans="9:18" x14ac:dyDescent="0.25">
      <c r="I3747" s="46"/>
      <c r="J3747" s="26"/>
      <c r="K3747" s="26"/>
      <c r="L3747" s="26"/>
      <c r="M3747" s="26"/>
      <c r="N3747" s="26"/>
      <c r="O3747" s="26"/>
      <c r="P3747" s="26"/>
      <c r="Q3747" s="26"/>
      <c r="R3747" s="26"/>
    </row>
    <row r="3748" spans="9:18" x14ac:dyDescent="0.25">
      <c r="I3748" s="46"/>
      <c r="J3748" s="26"/>
      <c r="K3748" s="26"/>
      <c r="L3748" s="26"/>
      <c r="M3748" s="26"/>
      <c r="N3748" s="26"/>
      <c r="O3748" s="26"/>
      <c r="P3748" s="26"/>
      <c r="Q3748" s="26"/>
      <c r="R3748" s="26"/>
    </row>
    <row r="3749" spans="9:18" x14ac:dyDescent="0.25">
      <c r="I3749" s="46"/>
      <c r="J3749" s="26"/>
      <c r="K3749" s="26"/>
      <c r="L3749" s="26"/>
      <c r="M3749" s="26"/>
      <c r="N3749" s="26"/>
      <c r="O3749" s="26"/>
      <c r="P3749" s="26"/>
      <c r="Q3749" s="26"/>
      <c r="R3749" s="26"/>
    </row>
    <row r="3750" spans="9:18" x14ac:dyDescent="0.25">
      <c r="I3750" s="46"/>
      <c r="J3750" s="26"/>
      <c r="K3750" s="26"/>
      <c r="L3750" s="26"/>
      <c r="M3750" s="26"/>
      <c r="N3750" s="26"/>
      <c r="O3750" s="26"/>
      <c r="P3750" s="26"/>
      <c r="Q3750" s="26"/>
      <c r="R3750" s="26"/>
    </row>
    <row r="3751" spans="9:18" x14ac:dyDescent="0.25">
      <c r="I3751" s="46"/>
      <c r="J3751" s="26"/>
      <c r="K3751" s="26"/>
      <c r="L3751" s="26"/>
      <c r="M3751" s="26"/>
      <c r="N3751" s="26"/>
      <c r="O3751" s="26"/>
      <c r="P3751" s="26"/>
      <c r="Q3751" s="26"/>
      <c r="R3751" s="26"/>
    </row>
    <row r="3752" spans="9:18" x14ac:dyDescent="0.25">
      <c r="I3752" s="46"/>
      <c r="J3752" s="26"/>
      <c r="K3752" s="26"/>
      <c r="L3752" s="26"/>
      <c r="M3752" s="26"/>
      <c r="N3752" s="26"/>
      <c r="O3752" s="26"/>
      <c r="P3752" s="26"/>
      <c r="Q3752" s="26"/>
      <c r="R3752" s="26"/>
    </row>
    <row r="3753" spans="9:18" x14ac:dyDescent="0.25">
      <c r="I3753" s="46"/>
      <c r="J3753" s="26"/>
      <c r="K3753" s="26"/>
      <c r="L3753" s="26"/>
      <c r="M3753" s="26"/>
      <c r="N3753" s="26"/>
      <c r="O3753" s="26"/>
      <c r="P3753" s="26"/>
      <c r="Q3753" s="26"/>
      <c r="R3753" s="26"/>
    </row>
    <row r="3754" spans="9:18" x14ac:dyDescent="0.25">
      <c r="I3754" s="46"/>
      <c r="J3754" s="26"/>
      <c r="K3754" s="26"/>
      <c r="L3754" s="26"/>
      <c r="M3754" s="26"/>
      <c r="N3754" s="26"/>
      <c r="O3754" s="26"/>
      <c r="P3754" s="26"/>
      <c r="Q3754" s="26"/>
      <c r="R3754" s="26"/>
    </row>
    <row r="3755" spans="9:18" x14ac:dyDescent="0.25">
      <c r="I3755" s="46"/>
      <c r="J3755" s="26"/>
      <c r="K3755" s="26"/>
      <c r="L3755" s="26"/>
      <c r="M3755" s="26"/>
      <c r="N3755" s="26"/>
      <c r="O3755" s="26"/>
      <c r="P3755" s="26"/>
      <c r="Q3755" s="26"/>
      <c r="R3755" s="26"/>
    </row>
    <row r="3756" spans="9:18" x14ac:dyDescent="0.25">
      <c r="I3756" s="46"/>
      <c r="J3756" s="26"/>
      <c r="K3756" s="26"/>
      <c r="L3756" s="26"/>
      <c r="M3756" s="26"/>
      <c r="N3756" s="26"/>
      <c r="O3756" s="26"/>
      <c r="P3756" s="26"/>
      <c r="Q3756" s="26"/>
      <c r="R3756" s="26"/>
    </row>
    <row r="3757" spans="9:18" x14ac:dyDescent="0.25">
      <c r="I3757" s="46"/>
      <c r="J3757" s="26"/>
      <c r="K3757" s="26"/>
      <c r="L3757" s="26"/>
      <c r="M3757" s="26"/>
      <c r="N3757" s="26"/>
      <c r="O3757" s="26"/>
      <c r="P3757" s="26"/>
      <c r="Q3757" s="26"/>
      <c r="R3757" s="26"/>
    </row>
    <row r="3758" spans="9:18" x14ac:dyDescent="0.25">
      <c r="I3758" s="46"/>
      <c r="J3758" s="26"/>
      <c r="K3758" s="26"/>
      <c r="L3758" s="26"/>
      <c r="M3758" s="26"/>
      <c r="N3758" s="26"/>
      <c r="O3758" s="26"/>
      <c r="P3758" s="26"/>
      <c r="Q3758" s="26"/>
      <c r="R3758" s="26"/>
    </row>
    <row r="3759" spans="9:18" x14ac:dyDescent="0.25">
      <c r="I3759" s="46"/>
      <c r="J3759" s="26"/>
      <c r="K3759" s="26"/>
      <c r="L3759" s="26"/>
      <c r="M3759" s="26"/>
      <c r="N3759" s="26"/>
      <c r="O3759" s="26"/>
      <c r="P3759" s="26"/>
      <c r="Q3759" s="26"/>
      <c r="R3759" s="26"/>
    </row>
    <row r="3760" spans="9:18" x14ac:dyDescent="0.25">
      <c r="I3760" s="46"/>
      <c r="J3760" s="26"/>
      <c r="K3760" s="26"/>
      <c r="L3760" s="26"/>
      <c r="M3760" s="26"/>
      <c r="N3760" s="26"/>
      <c r="O3760" s="26"/>
      <c r="P3760" s="26"/>
      <c r="Q3760" s="26"/>
      <c r="R3760" s="26"/>
    </row>
    <row r="3761" spans="9:18" x14ac:dyDescent="0.25">
      <c r="I3761" s="46"/>
      <c r="J3761" s="26"/>
      <c r="K3761" s="26"/>
      <c r="L3761" s="26"/>
      <c r="M3761" s="26"/>
      <c r="N3761" s="26"/>
      <c r="O3761" s="26"/>
      <c r="P3761" s="26"/>
      <c r="Q3761" s="26"/>
      <c r="R3761" s="26"/>
    </row>
    <row r="3762" spans="9:18" x14ac:dyDescent="0.25">
      <c r="I3762" s="46"/>
      <c r="J3762" s="26"/>
      <c r="K3762" s="26"/>
      <c r="L3762" s="26"/>
      <c r="M3762" s="26"/>
      <c r="N3762" s="26"/>
      <c r="O3762" s="26"/>
      <c r="P3762" s="26"/>
      <c r="Q3762" s="26"/>
      <c r="R3762" s="26"/>
    </row>
    <row r="3763" spans="9:18" x14ac:dyDescent="0.25">
      <c r="I3763" s="46"/>
      <c r="J3763" s="26"/>
      <c r="K3763" s="26"/>
      <c r="L3763" s="26"/>
      <c r="M3763" s="26"/>
      <c r="N3763" s="26"/>
      <c r="O3763" s="26"/>
      <c r="P3763" s="26"/>
      <c r="Q3763" s="26"/>
      <c r="R3763" s="26"/>
    </row>
    <row r="3764" spans="9:18" x14ac:dyDescent="0.25">
      <c r="I3764" s="46"/>
      <c r="J3764" s="26"/>
      <c r="K3764" s="26"/>
      <c r="L3764" s="26"/>
      <c r="M3764" s="26"/>
      <c r="N3764" s="26"/>
      <c r="O3764" s="26"/>
      <c r="P3764" s="26"/>
      <c r="Q3764" s="26"/>
      <c r="R3764" s="26"/>
    </row>
    <row r="3765" spans="9:18" x14ac:dyDescent="0.25">
      <c r="I3765" s="46"/>
      <c r="J3765" s="26"/>
      <c r="K3765" s="26"/>
      <c r="L3765" s="26"/>
      <c r="M3765" s="26"/>
      <c r="N3765" s="26"/>
      <c r="O3765" s="26"/>
      <c r="P3765" s="26"/>
      <c r="Q3765" s="26"/>
      <c r="R3765" s="26"/>
    </row>
    <row r="3766" spans="9:18" x14ac:dyDescent="0.25">
      <c r="I3766" s="46"/>
      <c r="J3766" s="26"/>
      <c r="K3766" s="26"/>
      <c r="L3766" s="26"/>
      <c r="M3766" s="26"/>
      <c r="N3766" s="26"/>
      <c r="O3766" s="26"/>
      <c r="P3766" s="26"/>
      <c r="Q3766" s="26"/>
      <c r="R3766" s="26"/>
    </row>
    <row r="3767" spans="9:18" x14ac:dyDescent="0.25">
      <c r="I3767" s="46"/>
      <c r="J3767" s="26"/>
      <c r="K3767" s="26"/>
      <c r="L3767" s="26"/>
      <c r="M3767" s="26"/>
      <c r="N3767" s="26"/>
      <c r="O3767" s="26"/>
      <c r="P3767" s="26"/>
      <c r="Q3767" s="26"/>
      <c r="R3767" s="26"/>
    </row>
    <row r="3768" spans="9:18" x14ac:dyDescent="0.25">
      <c r="I3768" s="46"/>
      <c r="J3768" s="26"/>
      <c r="K3768" s="26"/>
      <c r="L3768" s="26"/>
      <c r="M3768" s="26"/>
      <c r="N3768" s="26"/>
      <c r="O3768" s="26"/>
      <c r="P3768" s="26"/>
      <c r="Q3768" s="26"/>
      <c r="R3768" s="26"/>
    </row>
    <row r="3769" spans="9:18" x14ac:dyDescent="0.25">
      <c r="I3769" s="46"/>
      <c r="J3769" s="26"/>
      <c r="K3769" s="26"/>
      <c r="L3769" s="26"/>
      <c r="M3769" s="26"/>
      <c r="N3769" s="26"/>
      <c r="O3769" s="26"/>
      <c r="P3769" s="26"/>
      <c r="Q3769" s="26"/>
      <c r="R3769" s="26"/>
    </row>
    <row r="3770" spans="9:18" x14ac:dyDescent="0.25">
      <c r="I3770" s="46"/>
      <c r="J3770" s="26"/>
      <c r="K3770" s="26"/>
      <c r="L3770" s="26"/>
      <c r="M3770" s="26"/>
      <c r="N3770" s="26"/>
      <c r="O3770" s="26"/>
      <c r="P3770" s="26"/>
      <c r="Q3770" s="26"/>
      <c r="R3770" s="26"/>
    </row>
    <row r="3771" spans="9:18" x14ac:dyDescent="0.25">
      <c r="I3771" s="46"/>
      <c r="J3771" s="26"/>
      <c r="K3771" s="26"/>
      <c r="L3771" s="26"/>
      <c r="M3771" s="26"/>
      <c r="N3771" s="26"/>
      <c r="O3771" s="26"/>
      <c r="P3771" s="26"/>
      <c r="Q3771" s="26"/>
      <c r="R3771" s="26"/>
    </row>
    <row r="3772" spans="9:18" x14ac:dyDescent="0.25">
      <c r="I3772" s="46"/>
      <c r="J3772" s="26"/>
      <c r="K3772" s="26"/>
      <c r="L3772" s="26"/>
      <c r="M3772" s="26"/>
      <c r="N3772" s="26"/>
      <c r="O3772" s="26"/>
      <c r="P3772" s="26"/>
      <c r="Q3772" s="26"/>
      <c r="R3772" s="26"/>
    </row>
    <row r="3773" spans="9:18" x14ac:dyDescent="0.25">
      <c r="I3773" s="46"/>
      <c r="J3773" s="26"/>
      <c r="K3773" s="26"/>
      <c r="L3773" s="26"/>
      <c r="M3773" s="26"/>
      <c r="N3773" s="26"/>
      <c r="O3773" s="26"/>
      <c r="P3773" s="26"/>
      <c r="Q3773" s="26"/>
      <c r="R3773" s="26"/>
    </row>
    <row r="3774" spans="9:18" x14ac:dyDescent="0.25">
      <c r="I3774" s="46"/>
      <c r="J3774" s="26"/>
      <c r="K3774" s="26"/>
      <c r="L3774" s="26"/>
      <c r="M3774" s="26"/>
      <c r="N3774" s="26"/>
      <c r="O3774" s="26"/>
      <c r="P3774" s="26"/>
      <c r="Q3774" s="26"/>
      <c r="R3774" s="26"/>
    </row>
    <row r="3775" spans="9:18" x14ac:dyDescent="0.25">
      <c r="I3775" s="46"/>
      <c r="J3775" s="26"/>
      <c r="K3775" s="26"/>
      <c r="L3775" s="26"/>
      <c r="M3775" s="26"/>
      <c r="N3775" s="26"/>
      <c r="O3775" s="26"/>
      <c r="P3775" s="26"/>
      <c r="Q3775" s="26"/>
      <c r="R3775" s="26"/>
    </row>
    <row r="3776" spans="9:18" x14ac:dyDescent="0.25">
      <c r="I3776" s="46"/>
      <c r="J3776" s="26"/>
      <c r="K3776" s="26"/>
      <c r="L3776" s="26"/>
      <c r="M3776" s="26"/>
      <c r="N3776" s="26"/>
      <c r="O3776" s="26"/>
      <c r="P3776" s="26"/>
      <c r="Q3776" s="26"/>
      <c r="R3776" s="26"/>
    </row>
    <row r="3777" spans="9:18" x14ac:dyDescent="0.25">
      <c r="I3777" s="46"/>
      <c r="J3777" s="26"/>
      <c r="K3777" s="26"/>
      <c r="L3777" s="26"/>
      <c r="M3777" s="26"/>
      <c r="N3777" s="26"/>
      <c r="O3777" s="26"/>
      <c r="P3777" s="26"/>
      <c r="Q3777" s="26"/>
      <c r="R3777" s="26"/>
    </row>
    <row r="3778" spans="9:18" x14ac:dyDescent="0.25">
      <c r="I3778" s="46"/>
      <c r="J3778" s="26"/>
      <c r="K3778" s="26"/>
      <c r="L3778" s="26"/>
      <c r="M3778" s="26"/>
      <c r="N3778" s="26"/>
      <c r="O3778" s="26"/>
      <c r="P3778" s="26"/>
      <c r="Q3778" s="26"/>
      <c r="R3778" s="26"/>
    </row>
    <row r="3779" spans="9:18" x14ac:dyDescent="0.25">
      <c r="I3779" s="46"/>
      <c r="J3779" s="26"/>
      <c r="K3779" s="26"/>
      <c r="L3779" s="26"/>
      <c r="M3779" s="26"/>
      <c r="N3779" s="26"/>
      <c r="O3779" s="26"/>
      <c r="P3779" s="26"/>
      <c r="Q3779" s="26"/>
      <c r="R3779" s="26"/>
    </row>
    <row r="3780" spans="9:18" x14ac:dyDescent="0.25">
      <c r="I3780" s="46"/>
      <c r="J3780" s="26"/>
      <c r="K3780" s="26"/>
      <c r="L3780" s="26"/>
      <c r="M3780" s="26"/>
      <c r="N3780" s="26"/>
      <c r="O3780" s="26"/>
      <c r="P3780" s="26"/>
      <c r="Q3780" s="26"/>
      <c r="R3780" s="26"/>
    </row>
    <row r="3781" spans="9:18" x14ac:dyDescent="0.25">
      <c r="I3781" s="46"/>
      <c r="J3781" s="26"/>
      <c r="K3781" s="26"/>
      <c r="L3781" s="26"/>
      <c r="M3781" s="26"/>
      <c r="N3781" s="26"/>
      <c r="O3781" s="26"/>
      <c r="P3781" s="26"/>
      <c r="Q3781" s="26"/>
      <c r="R3781" s="26"/>
    </row>
    <row r="3782" spans="9:18" x14ac:dyDescent="0.25">
      <c r="I3782" s="46"/>
      <c r="J3782" s="26"/>
      <c r="K3782" s="26"/>
      <c r="L3782" s="26"/>
      <c r="M3782" s="26"/>
      <c r="N3782" s="26"/>
      <c r="O3782" s="26"/>
      <c r="P3782" s="26"/>
      <c r="Q3782" s="26"/>
      <c r="R3782" s="26"/>
    </row>
    <row r="3783" spans="9:18" x14ac:dyDescent="0.25">
      <c r="I3783" s="46"/>
      <c r="J3783" s="26"/>
      <c r="K3783" s="26"/>
      <c r="L3783" s="26"/>
      <c r="M3783" s="26"/>
      <c r="N3783" s="26"/>
      <c r="O3783" s="26"/>
      <c r="P3783" s="26"/>
      <c r="Q3783" s="26"/>
      <c r="R3783" s="26"/>
    </row>
    <row r="3784" spans="9:18" x14ac:dyDescent="0.25">
      <c r="I3784" s="46"/>
      <c r="J3784" s="26"/>
      <c r="K3784" s="26"/>
      <c r="L3784" s="26"/>
      <c r="M3784" s="26"/>
      <c r="N3784" s="26"/>
      <c r="O3784" s="26"/>
      <c r="P3784" s="26"/>
      <c r="Q3784" s="26"/>
      <c r="R3784" s="26"/>
    </row>
    <row r="3785" spans="9:18" x14ac:dyDescent="0.25">
      <c r="I3785" s="46"/>
      <c r="J3785" s="26"/>
      <c r="K3785" s="26"/>
      <c r="L3785" s="26"/>
      <c r="M3785" s="26"/>
      <c r="N3785" s="26"/>
      <c r="O3785" s="26"/>
      <c r="P3785" s="26"/>
      <c r="Q3785" s="26"/>
      <c r="R3785" s="26"/>
    </row>
    <row r="3786" spans="9:18" x14ac:dyDescent="0.25">
      <c r="I3786" s="46"/>
      <c r="J3786" s="26"/>
      <c r="K3786" s="26"/>
      <c r="L3786" s="26"/>
      <c r="M3786" s="26"/>
      <c r="N3786" s="26"/>
      <c r="O3786" s="26"/>
      <c r="P3786" s="26"/>
      <c r="Q3786" s="26"/>
      <c r="R3786" s="26"/>
    </row>
    <row r="3787" spans="9:18" x14ac:dyDescent="0.25">
      <c r="I3787" s="46"/>
      <c r="J3787" s="26"/>
      <c r="K3787" s="26"/>
      <c r="L3787" s="26"/>
      <c r="M3787" s="26"/>
      <c r="N3787" s="26"/>
      <c r="O3787" s="26"/>
      <c r="P3787" s="26"/>
      <c r="Q3787" s="26"/>
      <c r="R3787" s="26"/>
    </row>
    <row r="3788" spans="9:18" x14ac:dyDescent="0.25">
      <c r="I3788" s="46"/>
      <c r="J3788" s="26"/>
      <c r="K3788" s="26"/>
      <c r="L3788" s="26"/>
      <c r="M3788" s="26"/>
      <c r="N3788" s="26"/>
      <c r="O3788" s="26"/>
      <c r="P3788" s="26"/>
      <c r="Q3788" s="26"/>
      <c r="R3788" s="26"/>
    </row>
    <row r="3789" spans="9:18" x14ac:dyDescent="0.25">
      <c r="I3789" s="46"/>
      <c r="J3789" s="26"/>
      <c r="K3789" s="26"/>
      <c r="L3789" s="26"/>
      <c r="M3789" s="26"/>
      <c r="N3789" s="26"/>
      <c r="O3789" s="26"/>
      <c r="P3789" s="26"/>
      <c r="Q3789" s="26"/>
      <c r="R3789" s="26"/>
    </row>
    <row r="3790" spans="9:18" x14ac:dyDescent="0.25">
      <c r="I3790" s="46"/>
      <c r="J3790" s="26"/>
      <c r="K3790" s="26"/>
      <c r="L3790" s="26"/>
      <c r="M3790" s="26"/>
      <c r="N3790" s="26"/>
      <c r="O3790" s="26"/>
      <c r="P3790" s="26"/>
      <c r="Q3790" s="26"/>
      <c r="R3790" s="26"/>
    </row>
    <row r="3791" spans="9:18" x14ac:dyDescent="0.25">
      <c r="I3791" s="46"/>
      <c r="J3791" s="26"/>
      <c r="K3791" s="26"/>
      <c r="L3791" s="26"/>
      <c r="M3791" s="26"/>
      <c r="N3791" s="26"/>
      <c r="O3791" s="26"/>
      <c r="P3791" s="26"/>
      <c r="Q3791" s="26"/>
      <c r="R3791" s="26"/>
    </row>
    <row r="3792" spans="9:18" x14ac:dyDescent="0.25">
      <c r="I3792" s="46"/>
      <c r="J3792" s="26"/>
      <c r="K3792" s="26"/>
      <c r="L3792" s="26"/>
      <c r="M3792" s="26"/>
      <c r="N3792" s="26"/>
      <c r="O3792" s="26"/>
      <c r="P3792" s="26"/>
      <c r="Q3792" s="26"/>
      <c r="R3792" s="26"/>
    </row>
    <row r="3793" spans="9:18" x14ac:dyDescent="0.25">
      <c r="I3793" s="46"/>
      <c r="J3793" s="26"/>
      <c r="K3793" s="26"/>
      <c r="L3793" s="26"/>
      <c r="M3793" s="26"/>
      <c r="N3793" s="26"/>
      <c r="O3793" s="26"/>
      <c r="P3793" s="26"/>
      <c r="Q3793" s="26"/>
      <c r="R3793" s="26"/>
    </row>
    <row r="3794" spans="9:18" x14ac:dyDescent="0.25">
      <c r="I3794" s="46"/>
      <c r="J3794" s="26"/>
      <c r="K3794" s="26"/>
      <c r="L3794" s="26"/>
      <c r="M3794" s="26"/>
      <c r="N3794" s="26"/>
      <c r="O3794" s="26"/>
      <c r="P3794" s="26"/>
      <c r="Q3794" s="26"/>
      <c r="R3794" s="26"/>
    </row>
    <row r="3795" spans="9:18" x14ac:dyDescent="0.25">
      <c r="I3795" s="46"/>
      <c r="J3795" s="26"/>
      <c r="K3795" s="26"/>
      <c r="L3795" s="26"/>
      <c r="M3795" s="26"/>
      <c r="N3795" s="26"/>
      <c r="O3795" s="26"/>
      <c r="P3795" s="26"/>
      <c r="Q3795" s="26"/>
      <c r="R3795" s="26"/>
    </row>
    <row r="3796" spans="9:18" x14ac:dyDescent="0.25">
      <c r="I3796" s="46"/>
      <c r="J3796" s="26"/>
      <c r="K3796" s="26"/>
      <c r="L3796" s="26"/>
      <c r="M3796" s="26"/>
      <c r="N3796" s="26"/>
      <c r="O3796" s="26"/>
      <c r="P3796" s="26"/>
      <c r="Q3796" s="26"/>
      <c r="R3796" s="26"/>
    </row>
    <row r="3797" spans="9:18" x14ac:dyDescent="0.25">
      <c r="I3797" s="46"/>
      <c r="J3797" s="26"/>
      <c r="K3797" s="26"/>
      <c r="L3797" s="26"/>
      <c r="M3797" s="26"/>
      <c r="N3797" s="26"/>
      <c r="O3797" s="26"/>
      <c r="P3797" s="26"/>
      <c r="Q3797" s="26"/>
      <c r="R3797" s="26"/>
    </row>
    <row r="3798" spans="9:18" x14ac:dyDescent="0.25">
      <c r="I3798" s="46"/>
      <c r="J3798" s="26"/>
      <c r="K3798" s="26"/>
      <c r="L3798" s="26"/>
      <c r="M3798" s="26"/>
      <c r="N3798" s="26"/>
      <c r="O3798" s="26"/>
      <c r="P3798" s="26"/>
      <c r="Q3798" s="26"/>
      <c r="R3798" s="26"/>
    </row>
    <row r="3799" spans="9:18" x14ac:dyDescent="0.25">
      <c r="I3799" s="46"/>
      <c r="J3799" s="26"/>
      <c r="K3799" s="26"/>
      <c r="L3799" s="26"/>
      <c r="M3799" s="26"/>
      <c r="N3799" s="26"/>
      <c r="O3799" s="26"/>
      <c r="P3799" s="26"/>
      <c r="Q3799" s="26"/>
      <c r="R3799" s="26"/>
    </row>
    <row r="3800" spans="9:18" x14ac:dyDescent="0.25">
      <c r="I3800" s="46"/>
      <c r="J3800" s="26"/>
      <c r="K3800" s="26"/>
      <c r="L3800" s="26"/>
      <c r="M3800" s="26"/>
      <c r="N3800" s="26"/>
      <c r="O3800" s="26"/>
      <c r="P3800" s="26"/>
      <c r="Q3800" s="26"/>
      <c r="R3800" s="26"/>
    </row>
    <row r="3801" spans="9:18" x14ac:dyDescent="0.25">
      <c r="I3801" s="46"/>
      <c r="J3801" s="26"/>
      <c r="K3801" s="26"/>
      <c r="L3801" s="26"/>
      <c r="M3801" s="26"/>
      <c r="N3801" s="26"/>
      <c r="O3801" s="26"/>
      <c r="P3801" s="26"/>
      <c r="Q3801" s="26"/>
      <c r="R3801" s="26"/>
    </row>
    <row r="3802" spans="9:18" x14ac:dyDescent="0.25">
      <c r="I3802" s="46"/>
      <c r="J3802" s="26"/>
      <c r="K3802" s="26"/>
      <c r="L3802" s="26"/>
      <c r="M3802" s="26"/>
      <c r="N3802" s="26"/>
      <c r="O3802" s="26"/>
      <c r="P3802" s="26"/>
      <c r="Q3802" s="26"/>
      <c r="R3802" s="26"/>
    </row>
    <row r="3803" spans="9:18" x14ac:dyDescent="0.25">
      <c r="I3803" s="46"/>
      <c r="J3803" s="26"/>
      <c r="K3803" s="26"/>
      <c r="L3803" s="26"/>
      <c r="M3803" s="26"/>
      <c r="N3803" s="26"/>
      <c r="O3803" s="26"/>
      <c r="P3803" s="26"/>
      <c r="Q3803" s="26"/>
      <c r="R3803" s="26"/>
    </row>
    <row r="3804" spans="9:18" x14ac:dyDescent="0.25">
      <c r="I3804" s="46"/>
      <c r="J3804" s="26"/>
      <c r="K3804" s="26"/>
      <c r="L3804" s="26"/>
      <c r="M3804" s="26"/>
      <c r="N3804" s="26"/>
      <c r="O3804" s="26"/>
      <c r="P3804" s="26"/>
      <c r="Q3804" s="26"/>
      <c r="R3804" s="26"/>
    </row>
    <row r="3805" spans="9:18" x14ac:dyDescent="0.25">
      <c r="I3805" s="46"/>
      <c r="J3805" s="26"/>
      <c r="K3805" s="26"/>
      <c r="L3805" s="26"/>
      <c r="M3805" s="26"/>
      <c r="N3805" s="26"/>
      <c r="O3805" s="26"/>
      <c r="P3805" s="26"/>
      <c r="Q3805" s="26"/>
      <c r="R3805" s="26"/>
    </row>
    <row r="3806" spans="9:18" x14ac:dyDescent="0.25">
      <c r="I3806" s="46"/>
      <c r="J3806" s="26"/>
      <c r="K3806" s="26"/>
      <c r="L3806" s="26"/>
      <c r="M3806" s="26"/>
      <c r="N3806" s="26"/>
      <c r="O3806" s="26"/>
      <c r="P3806" s="26"/>
      <c r="Q3806" s="26"/>
      <c r="R3806" s="26"/>
    </row>
    <row r="3807" spans="9:18" x14ac:dyDescent="0.25">
      <c r="I3807" s="46"/>
      <c r="J3807" s="26"/>
      <c r="K3807" s="26"/>
      <c r="L3807" s="26"/>
      <c r="M3807" s="26"/>
      <c r="N3807" s="26"/>
      <c r="O3807" s="26"/>
      <c r="P3807" s="26"/>
      <c r="Q3807" s="26"/>
      <c r="R3807" s="26"/>
    </row>
    <row r="3808" spans="9:18" x14ac:dyDescent="0.25">
      <c r="I3808" s="46"/>
      <c r="J3808" s="26"/>
      <c r="K3808" s="26"/>
      <c r="L3808" s="26"/>
      <c r="M3808" s="26"/>
      <c r="N3808" s="26"/>
      <c r="O3808" s="26"/>
      <c r="P3808" s="26"/>
      <c r="Q3808" s="26"/>
      <c r="R3808" s="26"/>
    </row>
    <row r="3809" spans="9:18" x14ac:dyDescent="0.25">
      <c r="I3809" s="46"/>
      <c r="J3809" s="26"/>
      <c r="K3809" s="26"/>
      <c r="L3809" s="26"/>
      <c r="M3809" s="26"/>
      <c r="N3809" s="26"/>
      <c r="O3809" s="26"/>
      <c r="P3809" s="26"/>
      <c r="Q3809" s="26"/>
      <c r="R3809" s="26"/>
    </row>
    <row r="3810" spans="9:18" x14ac:dyDescent="0.25">
      <c r="I3810" s="46"/>
      <c r="J3810" s="26"/>
      <c r="K3810" s="26"/>
      <c r="L3810" s="26"/>
      <c r="M3810" s="26"/>
      <c r="N3810" s="26"/>
      <c r="O3810" s="26"/>
      <c r="P3810" s="26"/>
      <c r="Q3810" s="26"/>
      <c r="R3810" s="26"/>
    </row>
    <row r="3811" spans="9:18" x14ac:dyDescent="0.25">
      <c r="I3811" s="46"/>
      <c r="J3811" s="26"/>
      <c r="K3811" s="26"/>
      <c r="L3811" s="26"/>
      <c r="M3811" s="26"/>
      <c r="N3811" s="26"/>
      <c r="O3811" s="26"/>
      <c r="P3811" s="26"/>
      <c r="Q3811" s="26"/>
      <c r="R3811" s="26"/>
    </row>
    <row r="3812" spans="9:18" x14ac:dyDescent="0.25">
      <c r="I3812" s="46"/>
      <c r="J3812" s="26"/>
      <c r="K3812" s="26"/>
      <c r="L3812" s="26"/>
      <c r="M3812" s="26"/>
      <c r="N3812" s="26"/>
      <c r="O3812" s="26"/>
      <c r="P3812" s="26"/>
      <c r="Q3812" s="26"/>
      <c r="R3812" s="26"/>
    </row>
    <row r="3813" spans="9:18" x14ac:dyDescent="0.25">
      <c r="I3813" s="46"/>
      <c r="J3813" s="26"/>
      <c r="K3813" s="26"/>
      <c r="L3813" s="26"/>
      <c r="M3813" s="26"/>
      <c r="N3813" s="26"/>
      <c r="O3813" s="26"/>
      <c r="P3813" s="26"/>
      <c r="Q3813" s="26"/>
      <c r="R3813" s="26"/>
    </row>
    <row r="3814" spans="9:18" x14ac:dyDescent="0.25">
      <c r="I3814" s="46"/>
      <c r="J3814" s="26"/>
      <c r="K3814" s="26"/>
      <c r="L3814" s="26"/>
      <c r="M3814" s="26"/>
      <c r="N3814" s="26"/>
      <c r="O3814" s="26"/>
      <c r="P3814" s="26"/>
      <c r="Q3814" s="26"/>
      <c r="R3814" s="26"/>
    </row>
    <row r="3815" spans="9:18" x14ac:dyDescent="0.25">
      <c r="I3815" s="46"/>
      <c r="J3815" s="26"/>
      <c r="K3815" s="26"/>
      <c r="L3815" s="26"/>
      <c r="M3815" s="26"/>
      <c r="N3815" s="26"/>
      <c r="O3815" s="26"/>
      <c r="P3815" s="26"/>
      <c r="Q3815" s="26"/>
      <c r="R3815" s="26"/>
    </row>
    <row r="3816" spans="9:18" x14ac:dyDescent="0.25">
      <c r="I3816" s="46"/>
      <c r="J3816" s="26"/>
      <c r="K3816" s="26"/>
      <c r="L3816" s="26"/>
      <c r="M3816" s="26"/>
      <c r="N3816" s="26"/>
      <c r="O3816" s="26"/>
      <c r="P3816" s="26"/>
      <c r="Q3816" s="26"/>
      <c r="R3816" s="26"/>
    </row>
    <row r="3817" spans="9:18" x14ac:dyDescent="0.25">
      <c r="I3817" s="46"/>
      <c r="J3817" s="26"/>
      <c r="K3817" s="26"/>
      <c r="L3817" s="26"/>
      <c r="M3817" s="26"/>
      <c r="N3817" s="26"/>
      <c r="O3817" s="26"/>
      <c r="P3817" s="26"/>
      <c r="Q3817" s="26"/>
      <c r="R3817" s="26"/>
    </row>
    <row r="3818" spans="9:18" x14ac:dyDescent="0.25">
      <c r="I3818" s="46"/>
      <c r="J3818" s="26"/>
      <c r="K3818" s="26"/>
      <c r="L3818" s="26"/>
      <c r="M3818" s="26"/>
      <c r="N3818" s="26"/>
      <c r="O3818" s="26"/>
      <c r="P3818" s="26"/>
      <c r="Q3818" s="26"/>
      <c r="R3818" s="26"/>
    </row>
    <row r="3819" spans="9:18" x14ac:dyDescent="0.25">
      <c r="I3819" s="46"/>
      <c r="J3819" s="26"/>
      <c r="K3819" s="26"/>
      <c r="L3819" s="26"/>
      <c r="M3819" s="26"/>
      <c r="N3819" s="26"/>
      <c r="O3819" s="26"/>
      <c r="P3819" s="26"/>
      <c r="Q3819" s="26"/>
      <c r="R3819" s="26"/>
    </row>
    <row r="3820" spans="9:18" x14ac:dyDescent="0.25">
      <c r="I3820" s="46"/>
      <c r="J3820" s="26"/>
      <c r="K3820" s="26"/>
      <c r="L3820" s="26"/>
      <c r="M3820" s="26"/>
      <c r="N3820" s="26"/>
      <c r="O3820" s="26"/>
      <c r="P3820" s="26"/>
      <c r="Q3820" s="26"/>
      <c r="R3820" s="26"/>
    </row>
    <row r="3821" spans="9:18" x14ac:dyDescent="0.25">
      <c r="I3821" s="46"/>
      <c r="J3821" s="26"/>
      <c r="K3821" s="26"/>
      <c r="L3821" s="26"/>
      <c r="M3821" s="26"/>
      <c r="N3821" s="26"/>
      <c r="O3821" s="26"/>
      <c r="P3821" s="26"/>
      <c r="Q3821" s="26"/>
      <c r="R3821" s="26"/>
    </row>
    <row r="3822" spans="9:18" x14ac:dyDescent="0.25">
      <c r="I3822" s="46"/>
      <c r="J3822" s="26"/>
      <c r="K3822" s="26"/>
      <c r="L3822" s="26"/>
      <c r="M3822" s="26"/>
      <c r="N3822" s="26"/>
      <c r="O3822" s="26"/>
      <c r="P3822" s="26"/>
      <c r="Q3822" s="26"/>
      <c r="R3822" s="26"/>
    </row>
    <row r="3823" spans="9:18" x14ac:dyDescent="0.25">
      <c r="I3823" s="46"/>
      <c r="J3823" s="26"/>
      <c r="K3823" s="26"/>
      <c r="L3823" s="26"/>
      <c r="M3823" s="26"/>
      <c r="N3823" s="26"/>
      <c r="O3823" s="26"/>
      <c r="P3823" s="26"/>
      <c r="Q3823" s="26"/>
      <c r="R3823" s="26"/>
    </row>
    <row r="3824" spans="9:18" x14ac:dyDescent="0.25">
      <c r="I3824" s="46"/>
      <c r="J3824" s="26"/>
      <c r="K3824" s="26"/>
      <c r="L3824" s="26"/>
      <c r="M3824" s="26"/>
      <c r="N3824" s="26"/>
      <c r="O3824" s="26"/>
      <c r="P3824" s="26"/>
      <c r="Q3824" s="26"/>
      <c r="R3824" s="26"/>
    </row>
    <row r="3825" spans="9:18" x14ac:dyDescent="0.25">
      <c r="I3825" s="46"/>
      <c r="J3825" s="26"/>
      <c r="K3825" s="26"/>
      <c r="L3825" s="26"/>
      <c r="M3825" s="26"/>
      <c r="N3825" s="26"/>
      <c r="O3825" s="26"/>
      <c r="P3825" s="26"/>
      <c r="Q3825" s="26"/>
      <c r="R3825" s="26"/>
    </row>
    <row r="3826" spans="9:18" x14ac:dyDescent="0.25">
      <c r="I3826" s="46"/>
      <c r="J3826" s="26"/>
      <c r="K3826" s="26"/>
      <c r="L3826" s="26"/>
      <c r="M3826" s="26"/>
      <c r="N3826" s="26"/>
      <c r="O3826" s="26"/>
      <c r="P3826" s="26"/>
      <c r="Q3826" s="26"/>
      <c r="R3826" s="26"/>
    </row>
    <row r="3827" spans="9:18" x14ac:dyDescent="0.25">
      <c r="I3827" s="46"/>
      <c r="J3827" s="26"/>
      <c r="K3827" s="26"/>
      <c r="L3827" s="26"/>
      <c r="M3827" s="26"/>
      <c r="N3827" s="26"/>
      <c r="O3827" s="26"/>
      <c r="P3827" s="26"/>
      <c r="Q3827" s="26"/>
      <c r="R3827" s="26"/>
    </row>
    <row r="3828" spans="9:18" x14ac:dyDescent="0.25">
      <c r="I3828" s="46"/>
      <c r="J3828" s="26"/>
      <c r="K3828" s="26"/>
      <c r="L3828" s="26"/>
      <c r="M3828" s="26"/>
      <c r="N3828" s="26"/>
      <c r="O3828" s="26"/>
      <c r="P3828" s="26"/>
      <c r="Q3828" s="26"/>
      <c r="R3828" s="26"/>
    </row>
    <row r="3829" spans="9:18" x14ac:dyDescent="0.25">
      <c r="I3829" s="46"/>
      <c r="J3829" s="26"/>
      <c r="K3829" s="26"/>
      <c r="L3829" s="26"/>
      <c r="M3829" s="26"/>
      <c r="N3829" s="26"/>
      <c r="O3829" s="26"/>
      <c r="P3829" s="26"/>
      <c r="Q3829" s="26"/>
      <c r="R3829" s="26"/>
    </row>
    <row r="3830" spans="9:18" x14ac:dyDescent="0.25">
      <c r="I3830" s="46"/>
      <c r="J3830" s="26"/>
      <c r="K3830" s="26"/>
      <c r="L3830" s="26"/>
      <c r="M3830" s="26"/>
      <c r="N3830" s="26"/>
      <c r="O3830" s="26"/>
      <c r="P3830" s="26"/>
      <c r="Q3830" s="26"/>
      <c r="R3830" s="26"/>
    </row>
    <row r="3831" spans="9:18" x14ac:dyDescent="0.25">
      <c r="I3831" s="46"/>
      <c r="J3831" s="26"/>
      <c r="K3831" s="26"/>
      <c r="L3831" s="26"/>
      <c r="M3831" s="26"/>
      <c r="N3831" s="26"/>
      <c r="O3831" s="26"/>
      <c r="P3831" s="26"/>
      <c r="Q3831" s="26"/>
      <c r="R3831" s="26"/>
    </row>
    <row r="3832" spans="9:18" x14ac:dyDescent="0.25">
      <c r="I3832" s="46"/>
      <c r="J3832" s="26"/>
      <c r="K3832" s="26"/>
      <c r="L3832" s="26"/>
      <c r="M3832" s="26"/>
      <c r="N3832" s="26"/>
      <c r="O3832" s="26"/>
      <c r="P3832" s="26"/>
      <c r="Q3832" s="26"/>
      <c r="R3832" s="26"/>
    </row>
    <row r="3833" spans="9:18" x14ac:dyDescent="0.25">
      <c r="I3833" s="46"/>
      <c r="J3833" s="26"/>
      <c r="K3833" s="26"/>
      <c r="L3833" s="26"/>
      <c r="M3833" s="26"/>
      <c r="N3833" s="26"/>
      <c r="O3833" s="26"/>
      <c r="P3833" s="26"/>
      <c r="Q3833" s="26"/>
      <c r="R3833" s="26"/>
    </row>
    <row r="3834" spans="9:18" x14ac:dyDescent="0.25">
      <c r="I3834" s="46"/>
      <c r="J3834" s="26"/>
      <c r="K3834" s="26"/>
      <c r="L3834" s="26"/>
      <c r="M3834" s="26"/>
      <c r="N3834" s="26"/>
      <c r="O3834" s="26"/>
      <c r="P3834" s="26"/>
      <c r="Q3834" s="26"/>
      <c r="R3834" s="26"/>
    </row>
    <row r="3835" spans="9:18" x14ac:dyDescent="0.25">
      <c r="I3835" s="46"/>
      <c r="J3835" s="26"/>
      <c r="K3835" s="26"/>
      <c r="L3835" s="26"/>
      <c r="M3835" s="26"/>
      <c r="N3835" s="26"/>
      <c r="O3835" s="26"/>
      <c r="P3835" s="26"/>
      <c r="Q3835" s="26"/>
      <c r="R3835" s="26"/>
    </row>
    <row r="3836" spans="9:18" x14ac:dyDescent="0.25">
      <c r="I3836" s="46"/>
      <c r="J3836" s="26"/>
      <c r="K3836" s="26"/>
      <c r="L3836" s="26"/>
      <c r="M3836" s="26"/>
      <c r="N3836" s="26"/>
      <c r="O3836" s="26"/>
      <c r="P3836" s="26"/>
      <c r="Q3836" s="26"/>
      <c r="R3836" s="26"/>
    </row>
    <row r="3837" spans="9:18" x14ac:dyDescent="0.25">
      <c r="I3837" s="46"/>
      <c r="J3837" s="26"/>
      <c r="K3837" s="26"/>
      <c r="L3837" s="26"/>
      <c r="M3837" s="26"/>
      <c r="N3837" s="26"/>
      <c r="O3837" s="26"/>
      <c r="P3837" s="26"/>
      <c r="Q3837" s="26"/>
      <c r="R3837" s="26"/>
    </row>
    <row r="3838" spans="9:18" x14ac:dyDescent="0.25">
      <c r="I3838" s="46"/>
      <c r="J3838" s="26"/>
      <c r="K3838" s="26"/>
      <c r="L3838" s="26"/>
      <c r="M3838" s="26"/>
      <c r="N3838" s="26"/>
      <c r="O3838" s="26"/>
      <c r="P3838" s="26"/>
      <c r="Q3838" s="26"/>
      <c r="R3838" s="26"/>
    </row>
    <row r="3839" spans="9:18" x14ac:dyDescent="0.25">
      <c r="I3839" s="46"/>
      <c r="J3839" s="26"/>
      <c r="K3839" s="26"/>
      <c r="L3839" s="26"/>
      <c r="M3839" s="26"/>
      <c r="N3839" s="26"/>
      <c r="O3839" s="26"/>
      <c r="P3839" s="26"/>
      <c r="Q3839" s="26"/>
      <c r="R3839" s="26"/>
    </row>
    <row r="3840" spans="9:18" x14ac:dyDescent="0.25">
      <c r="I3840" s="46"/>
      <c r="J3840" s="26"/>
      <c r="K3840" s="26"/>
      <c r="L3840" s="26"/>
      <c r="M3840" s="26"/>
      <c r="N3840" s="26"/>
      <c r="O3840" s="26"/>
      <c r="P3840" s="26"/>
      <c r="Q3840" s="26"/>
      <c r="R3840" s="26"/>
    </row>
    <row r="3841" spans="9:18" x14ac:dyDescent="0.25">
      <c r="I3841" s="46"/>
      <c r="J3841" s="26"/>
      <c r="K3841" s="26"/>
      <c r="L3841" s="26"/>
      <c r="M3841" s="26"/>
      <c r="N3841" s="26"/>
      <c r="O3841" s="26"/>
      <c r="P3841" s="26"/>
      <c r="Q3841" s="26"/>
      <c r="R3841" s="26"/>
    </row>
    <row r="3842" spans="9:18" x14ac:dyDescent="0.25">
      <c r="I3842" s="46"/>
      <c r="J3842" s="26"/>
      <c r="K3842" s="26"/>
      <c r="L3842" s="26"/>
      <c r="M3842" s="26"/>
      <c r="N3842" s="26"/>
      <c r="O3842" s="26"/>
      <c r="P3842" s="26"/>
      <c r="Q3842" s="26"/>
      <c r="R3842" s="26"/>
    </row>
    <row r="3843" spans="9:18" x14ac:dyDescent="0.25">
      <c r="I3843" s="46"/>
      <c r="J3843" s="26"/>
      <c r="K3843" s="26"/>
      <c r="L3843" s="26"/>
      <c r="M3843" s="26"/>
      <c r="N3843" s="26"/>
      <c r="O3843" s="26"/>
      <c r="P3843" s="26"/>
      <c r="Q3843" s="26"/>
      <c r="R3843" s="26"/>
    </row>
    <row r="3844" spans="9:18" x14ac:dyDescent="0.25">
      <c r="I3844" s="46"/>
      <c r="J3844" s="26"/>
      <c r="K3844" s="26"/>
      <c r="L3844" s="26"/>
      <c r="M3844" s="26"/>
      <c r="N3844" s="26"/>
      <c r="O3844" s="26"/>
      <c r="P3844" s="26"/>
      <c r="Q3844" s="26"/>
      <c r="R3844" s="26"/>
    </row>
    <row r="3845" spans="9:18" x14ac:dyDescent="0.25">
      <c r="I3845" s="46"/>
      <c r="J3845" s="26"/>
      <c r="K3845" s="26"/>
      <c r="L3845" s="26"/>
      <c r="M3845" s="26"/>
      <c r="N3845" s="26"/>
      <c r="O3845" s="26"/>
      <c r="P3845" s="26"/>
      <c r="Q3845" s="26"/>
      <c r="R3845" s="26"/>
    </row>
    <row r="3846" spans="9:18" x14ac:dyDescent="0.25">
      <c r="I3846" s="46"/>
      <c r="J3846" s="26"/>
      <c r="K3846" s="26"/>
      <c r="L3846" s="26"/>
      <c r="M3846" s="26"/>
      <c r="N3846" s="26"/>
      <c r="O3846" s="26"/>
      <c r="P3846" s="26"/>
      <c r="Q3846" s="26"/>
      <c r="R3846" s="26"/>
    </row>
    <row r="3847" spans="9:18" x14ac:dyDescent="0.25">
      <c r="I3847" s="46"/>
      <c r="J3847" s="26"/>
      <c r="K3847" s="26"/>
      <c r="L3847" s="26"/>
      <c r="M3847" s="26"/>
      <c r="N3847" s="26"/>
      <c r="O3847" s="26"/>
      <c r="P3847" s="26"/>
      <c r="Q3847" s="26"/>
      <c r="R3847" s="26"/>
    </row>
    <row r="3848" spans="9:18" x14ac:dyDescent="0.25">
      <c r="I3848" s="46"/>
      <c r="J3848" s="26"/>
      <c r="K3848" s="26"/>
      <c r="L3848" s="26"/>
      <c r="M3848" s="26"/>
      <c r="N3848" s="26"/>
      <c r="O3848" s="26"/>
      <c r="P3848" s="26"/>
      <c r="Q3848" s="26"/>
      <c r="R3848" s="26"/>
    </row>
    <row r="3849" spans="9:18" x14ac:dyDescent="0.25">
      <c r="I3849" s="46"/>
      <c r="J3849" s="26"/>
      <c r="K3849" s="26"/>
      <c r="L3849" s="26"/>
      <c r="M3849" s="26"/>
      <c r="N3849" s="26"/>
      <c r="O3849" s="26"/>
      <c r="P3849" s="26"/>
      <c r="Q3849" s="26"/>
      <c r="R3849" s="26"/>
    </row>
    <row r="3850" spans="9:18" x14ac:dyDescent="0.25">
      <c r="I3850" s="46"/>
      <c r="J3850" s="26"/>
      <c r="K3850" s="26"/>
      <c r="L3850" s="26"/>
      <c r="M3850" s="26"/>
      <c r="N3850" s="26"/>
      <c r="O3850" s="26"/>
      <c r="P3850" s="26"/>
      <c r="Q3850" s="26"/>
      <c r="R3850" s="26"/>
    </row>
    <row r="3851" spans="9:18" x14ac:dyDescent="0.25">
      <c r="I3851" s="46"/>
      <c r="J3851" s="26"/>
      <c r="K3851" s="26"/>
      <c r="L3851" s="26"/>
      <c r="M3851" s="26"/>
      <c r="N3851" s="26"/>
      <c r="O3851" s="26"/>
      <c r="P3851" s="26"/>
      <c r="Q3851" s="26"/>
      <c r="R3851" s="26"/>
    </row>
    <row r="3852" spans="9:18" x14ac:dyDescent="0.25">
      <c r="I3852" s="46"/>
      <c r="J3852" s="26"/>
      <c r="K3852" s="26"/>
      <c r="L3852" s="26"/>
      <c r="M3852" s="26"/>
      <c r="N3852" s="26"/>
      <c r="O3852" s="26"/>
      <c r="P3852" s="26"/>
      <c r="Q3852" s="26"/>
      <c r="R3852" s="26"/>
    </row>
    <row r="3853" spans="9:18" x14ac:dyDescent="0.25">
      <c r="I3853" s="46"/>
      <c r="J3853" s="26"/>
      <c r="K3853" s="26"/>
      <c r="L3853" s="26"/>
      <c r="M3853" s="26"/>
      <c r="N3853" s="26"/>
      <c r="O3853" s="26"/>
      <c r="P3853" s="26"/>
      <c r="Q3853" s="26"/>
      <c r="R3853" s="26"/>
    </row>
    <row r="3854" spans="9:18" x14ac:dyDescent="0.25">
      <c r="I3854" s="46"/>
      <c r="J3854" s="26"/>
      <c r="K3854" s="26"/>
      <c r="L3854" s="26"/>
      <c r="M3854" s="26"/>
      <c r="N3854" s="26"/>
      <c r="O3854" s="26"/>
      <c r="P3854" s="26"/>
      <c r="Q3854" s="26"/>
      <c r="R3854" s="26"/>
    </row>
    <row r="3855" spans="9:18" x14ac:dyDescent="0.25">
      <c r="I3855" s="46"/>
      <c r="J3855" s="26"/>
      <c r="K3855" s="26"/>
      <c r="L3855" s="26"/>
      <c r="M3855" s="26"/>
      <c r="N3855" s="26"/>
      <c r="O3855" s="26"/>
      <c r="P3855" s="26"/>
      <c r="Q3855" s="26"/>
      <c r="R3855" s="26"/>
    </row>
    <row r="3856" spans="9:18" x14ac:dyDescent="0.25">
      <c r="I3856" s="46"/>
      <c r="J3856" s="26"/>
      <c r="K3856" s="26"/>
      <c r="L3856" s="26"/>
      <c r="M3856" s="26"/>
      <c r="N3856" s="26"/>
      <c r="O3856" s="26"/>
      <c r="P3856" s="26"/>
      <c r="Q3856" s="26"/>
      <c r="R3856" s="26"/>
    </row>
    <row r="3857" spans="9:18" x14ac:dyDescent="0.25">
      <c r="I3857" s="46"/>
      <c r="J3857" s="26"/>
      <c r="K3857" s="26"/>
      <c r="L3857" s="26"/>
      <c r="M3857" s="26"/>
      <c r="N3857" s="26"/>
      <c r="O3857" s="26"/>
      <c r="P3857" s="26"/>
      <c r="Q3857" s="26"/>
      <c r="R3857" s="26"/>
    </row>
    <row r="3858" spans="9:18" x14ac:dyDescent="0.25">
      <c r="I3858" s="46"/>
      <c r="J3858" s="26"/>
      <c r="K3858" s="26"/>
      <c r="L3858" s="26"/>
      <c r="M3858" s="26"/>
      <c r="N3858" s="26"/>
      <c r="O3858" s="26"/>
      <c r="P3858" s="26"/>
      <c r="Q3858" s="26"/>
      <c r="R3858" s="26"/>
    </row>
    <row r="3859" spans="9:18" x14ac:dyDescent="0.25">
      <c r="I3859" s="46"/>
      <c r="J3859" s="26"/>
      <c r="K3859" s="26"/>
      <c r="L3859" s="26"/>
      <c r="M3859" s="26"/>
      <c r="N3859" s="26"/>
      <c r="O3859" s="26"/>
      <c r="P3859" s="26"/>
      <c r="Q3859" s="26"/>
      <c r="R3859" s="26"/>
    </row>
    <row r="3860" spans="9:18" x14ac:dyDescent="0.25">
      <c r="I3860" s="46"/>
      <c r="J3860" s="26"/>
      <c r="K3860" s="26"/>
      <c r="L3860" s="26"/>
      <c r="M3860" s="26"/>
      <c r="N3860" s="26"/>
      <c r="O3860" s="26"/>
      <c r="P3860" s="26"/>
      <c r="Q3860" s="26"/>
      <c r="R3860" s="26"/>
    </row>
    <row r="3861" spans="9:18" x14ac:dyDescent="0.25">
      <c r="I3861" s="46"/>
      <c r="J3861" s="26"/>
      <c r="K3861" s="26"/>
      <c r="L3861" s="26"/>
      <c r="M3861" s="26"/>
      <c r="N3861" s="26"/>
      <c r="O3861" s="26"/>
      <c r="P3861" s="26"/>
      <c r="Q3861" s="26"/>
      <c r="R3861" s="26"/>
    </row>
    <row r="3862" spans="9:18" x14ac:dyDescent="0.25">
      <c r="I3862" s="46"/>
      <c r="J3862" s="26"/>
      <c r="K3862" s="26"/>
      <c r="L3862" s="26"/>
      <c r="M3862" s="26"/>
      <c r="N3862" s="26"/>
      <c r="O3862" s="26"/>
      <c r="P3862" s="26"/>
      <c r="Q3862" s="26"/>
      <c r="R3862" s="26"/>
    </row>
    <row r="3863" spans="9:18" x14ac:dyDescent="0.25">
      <c r="I3863" s="46"/>
      <c r="J3863" s="26"/>
      <c r="K3863" s="26"/>
      <c r="L3863" s="26"/>
      <c r="M3863" s="26"/>
      <c r="N3863" s="26"/>
      <c r="O3863" s="26"/>
      <c r="P3863" s="26"/>
      <c r="Q3863" s="26"/>
      <c r="R3863" s="26"/>
    </row>
    <row r="3864" spans="9:18" x14ac:dyDescent="0.25">
      <c r="I3864" s="46"/>
      <c r="J3864" s="26"/>
      <c r="K3864" s="26"/>
      <c r="L3864" s="26"/>
      <c r="M3864" s="26"/>
      <c r="N3864" s="26"/>
      <c r="O3864" s="26"/>
      <c r="P3864" s="26"/>
      <c r="Q3864" s="26"/>
      <c r="R3864" s="26"/>
    </row>
    <row r="3865" spans="9:18" x14ac:dyDescent="0.25">
      <c r="I3865" s="46"/>
      <c r="J3865" s="26"/>
      <c r="K3865" s="26"/>
      <c r="L3865" s="26"/>
      <c r="M3865" s="26"/>
      <c r="N3865" s="26"/>
      <c r="O3865" s="26"/>
      <c r="P3865" s="26"/>
      <c r="Q3865" s="26"/>
      <c r="R3865" s="26"/>
    </row>
    <row r="3866" spans="9:18" x14ac:dyDescent="0.25">
      <c r="I3866" s="46"/>
      <c r="J3866" s="26"/>
      <c r="K3866" s="26"/>
      <c r="L3866" s="26"/>
      <c r="M3866" s="26"/>
      <c r="N3866" s="26"/>
      <c r="O3866" s="26"/>
      <c r="P3866" s="26"/>
      <c r="Q3866" s="26"/>
      <c r="R3866" s="26"/>
    </row>
    <row r="3867" spans="9:18" x14ac:dyDescent="0.25">
      <c r="I3867" s="46"/>
      <c r="J3867" s="26"/>
      <c r="K3867" s="26"/>
      <c r="L3867" s="26"/>
      <c r="M3867" s="26"/>
      <c r="N3867" s="26"/>
      <c r="O3867" s="26"/>
      <c r="P3867" s="26"/>
      <c r="Q3867" s="26"/>
      <c r="R3867" s="26"/>
    </row>
    <row r="3868" spans="9:18" x14ac:dyDescent="0.25">
      <c r="I3868" s="46"/>
      <c r="J3868" s="26"/>
      <c r="K3868" s="26"/>
      <c r="L3868" s="26"/>
      <c r="M3868" s="26"/>
      <c r="N3868" s="26"/>
      <c r="O3868" s="26"/>
      <c r="P3868" s="26"/>
      <c r="Q3868" s="26"/>
      <c r="R3868" s="26"/>
    </row>
    <row r="3869" spans="9:18" x14ac:dyDescent="0.25">
      <c r="I3869" s="46"/>
      <c r="J3869" s="26"/>
      <c r="K3869" s="26"/>
      <c r="L3869" s="26"/>
      <c r="M3869" s="26"/>
      <c r="N3869" s="26"/>
      <c r="O3869" s="26"/>
      <c r="P3869" s="26"/>
      <c r="Q3869" s="26"/>
      <c r="R3869" s="26"/>
    </row>
    <row r="3870" spans="9:18" x14ac:dyDescent="0.25">
      <c r="I3870" s="46"/>
      <c r="J3870" s="26"/>
      <c r="K3870" s="26"/>
      <c r="L3870" s="26"/>
      <c r="M3870" s="26"/>
      <c r="N3870" s="26"/>
      <c r="O3870" s="26"/>
      <c r="P3870" s="26"/>
      <c r="Q3870" s="26"/>
      <c r="R3870" s="26"/>
    </row>
    <row r="3871" spans="9:18" x14ac:dyDescent="0.25">
      <c r="I3871" s="46"/>
      <c r="J3871" s="26"/>
      <c r="K3871" s="26"/>
      <c r="L3871" s="26"/>
      <c r="M3871" s="26"/>
      <c r="N3871" s="26"/>
      <c r="O3871" s="26"/>
      <c r="P3871" s="26"/>
      <c r="Q3871" s="26"/>
      <c r="R3871" s="26"/>
    </row>
    <row r="3872" spans="9:18" x14ac:dyDescent="0.25">
      <c r="I3872" s="46"/>
      <c r="J3872" s="26"/>
      <c r="K3872" s="26"/>
      <c r="L3872" s="26"/>
      <c r="M3872" s="26"/>
      <c r="N3872" s="26"/>
      <c r="O3872" s="26"/>
      <c r="P3872" s="26"/>
      <c r="Q3872" s="26"/>
      <c r="R3872" s="26"/>
    </row>
    <row r="3873" spans="9:18" x14ac:dyDescent="0.25">
      <c r="I3873" s="46"/>
      <c r="J3873" s="26"/>
      <c r="K3873" s="26"/>
      <c r="L3873" s="26"/>
      <c r="M3873" s="26"/>
      <c r="N3873" s="26"/>
      <c r="O3873" s="26"/>
      <c r="P3873" s="26"/>
      <c r="Q3873" s="26"/>
      <c r="R3873" s="26"/>
    </row>
    <row r="3874" spans="9:18" x14ac:dyDescent="0.25">
      <c r="I3874" s="46"/>
      <c r="J3874" s="26"/>
      <c r="K3874" s="26"/>
      <c r="L3874" s="26"/>
      <c r="M3874" s="26"/>
      <c r="N3874" s="26"/>
      <c r="O3874" s="26"/>
      <c r="P3874" s="26"/>
      <c r="Q3874" s="26"/>
      <c r="R3874" s="26"/>
    </row>
    <row r="3875" spans="9:18" x14ac:dyDescent="0.25">
      <c r="I3875" s="46"/>
      <c r="J3875" s="26"/>
      <c r="K3875" s="26"/>
      <c r="L3875" s="26"/>
      <c r="M3875" s="26"/>
      <c r="N3875" s="26"/>
      <c r="O3875" s="26"/>
      <c r="P3875" s="26"/>
      <c r="Q3875" s="26"/>
      <c r="R3875" s="26"/>
    </row>
    <row r="3876" spans="9:18" x14ac:dyDescent="0.25">
      <c r="I3876" s="46"/>
      <c r="J3876" s="26"/>
      <c r="K3876" s="26"/>
      <c r="L3876" s="26"/>
      <c r="M3876" s="26"/>
      <c r="N3876" s="26"/>
      <c r="O3876" s="26"/>
      <c r="P3876" s="26"/>
      <c r="Q3876" s="26"/>
      <c r="R3876" s="26"/>
    </row>
    <row r="3877" spans="9:18" x14ac:dyDescent="0.25">
      <c r="I3877" s="46"/>
      <c r="J3877" s="26"/>
      <c r="K3877" s="26"/>
      <c r="L3877" s="26"/>
      <c r="M3877" s="26"/>
      <c r="N3877" s="26"/>
      <c r="O3877" s="26"/>
      <c r="P3877" s="26"/>
      <c r="Q3877" s="26"/>
      <c r="R3877" s="26"/>
    </row>
    <row r="3878" spans="9:18" x14ac:dyDescent="0.25">
      <c r="I3878" s="46"/>
      <c r="J3878" s="26"/>
      <c r="K3878" s="26"/>
      <c r="L3878" s="26"/>
      <c r="M3878" s="26"/>
      <c r="N3878" s="26"/>
      <c r="O3878" s="26"/>
      <c r="P3878" s="26"/>
      <c r="Q3878" s="26"/>
      <c r="R3878" s="26"/>
    </row>
    <row r="3879" spans="9:18" x14ac:dyDescent="0.25">
      <c r="I3879" s="46"/>
      <c r="J3879" s="26"/>
      <c r="K3879" s="26"/>
      <c r="L3879" s="26"/>
      <c r="M3879" s="26"/>
      <c r="N3879" s="26"/>
      <c r="O3879" s="26"/>
      <c r="P3879" s="26"/>
      <c r="Q3879" s="26"/>
      <c r="R3879" s="26"/>
    </row>
    <row r="3880" spans="9:18" x14ac:dyDescent="0.25">
      <c r="I3880" s="46"/>
      <c r="J3880" s="26"/>
      <c r="K3880" s="26"/>
      <c r="L3880" s="26"/>
      <c r="M3880" s="26"/>
      <c r="N3880" s="26"/>
      <c r="O3880" s="26"/>
      <c r="P3880" s="26"/>
      <c r="Q3880" s="26"/>
      <c r="R3880" s="26"/>
    </row>
    <row r="3881" spans="9:18" x14ac:dyDescent="0.25">
      <c r="I3881" s="46"/>
      <c r="J3881" s="26"/>
      <c r="K3881" s="26"/>
      <c r="L3881" s="26"/>
      <c r="M3881" s="26"/>
      <c r="N3881" s="26"/>
      <c r="O3881" s="26"/>
      <c r="P3881" s="26"/>
      <c r="Q3881" s="26"/>
      <c r="R3881" s="26"/>
    </row>
    <row r="3882" spans="9:18" x14ac:dyDescent="0.25">
      <c r="I3882" s="46"/>
      <c r="J3882" s="26"/>
      <c r="K3882" s="26"/>
      <c r="L3882" s="26"/>
      <c r="M3882" s="26"/>
      <c r="N3882" s="26"/>
      <c r="O3882" s="26"/>
      <c r="P3882" s="26"/>
      <c r="Q3882" s="26"/>
      <c r="R3882" s="26"/>
    </row>
    <row r="3883" spans="9:18" x14ac:dyDescent="0.25">
      <c r="I3883" s="46"/>
      <c r="J3883" s="26"/>
      <c r="K3883" s="26"/>
      <c r="L3883" s="26"/>
      <c r="M3883" s="26"/>
      <c r="N3883" s="26"/>
      <c r="O3883" s="26"/>
      <c r="P3883" s="26"/>
      <c r="Q3883" s="26"/>
      <c r="R3883" s="26"/>
    </row>
    <row r="3884" spans="9:18" x14ac:dyDescent="0.25">
      <c r="I3884" s="46"/>
      <c r="J3884" s="26"/>
      <c r="K3884" s="26"/>
      <c r="L3884" s="26"/>
      <c r="M3884" s="26"/>
      <c r="N3884" s="26"/>
      <c r="O3884" s="26"/>
      <c r="P3884" s="26"/>
      <c r="Q3884" s="26"/>
      <c r="R3884" s="26"/>
    </row>
    <row r="3885" spans="9:18" x14ac:dyDescent="0.25">
      <c r="I3885" s="46"/>
      <c r="J3885" s="26"/>
      <c r="K3885" s="26"/>
      <c r="L3885" s="26"/>
      <c r="M3885" s="26"/>
      <c r="N3885" s="26"/>
      <c r="O3885" s="26"/>
      <c r="P3885" s="26"/>
      <c r="Q3885" s="26"/>
      <c r="R3885" s="26"/>
    </row>
    <row r="3886" spans="9:18" x14ac:dyDescent="0.25">
      <c r="I3886" s="46"/>
      <c r="J3886" s="26"/>
      <c r="K3886" s="26"/>
      <c r="L3886" s="26"/>
      <c r="M3886" s="26"/>
      <c r="N3886" s="26"/>
      <c r="O3886" s="26"/>
      <c r="P3886" s="26"/>
      <c r="Q3886" s="26"/>
      <c r="R3886" s="26"/>
    </row>
    <row r="3887" spans="9:18" x14ac:dyDescent="0.25">
      <c r="I3887" s="46"/>
      <c r="J3887" s="26"/>
      <c r="K3887" s="26"/>
      <c r="L3887" s="26"/>
      <c r="M3887" s="26"/>
      <c r="N3887" s="26"/>
      <c r="O3887" s="26"/>
      <c r="P3887" s="26"/>
      <c r="Q3887" s="26"/>
      <c r="R3887" s="26"/>
    </row>
    <row r="3888" spans="9:18" x14ac:dyDescent="0.25">
      <c r="I3888" s="46"/>
      <c r="J3888" s="26"/>
      <c r="K3888" s="26"/>
      <c r="L3888" s="26"/>
      <c r="M3888" s="26"/>
      <c r="N3888" s="26"/>
      <c r="O3888" s="26"/>
      <c r="P3888" s="26"/>
      <c r="Q3888" s="26"/>
      <c r="R3888" s="26"/>
    </row>
    <row r="3889" spans="9:18" x14ac:dyDescent="0.25">
      <c r="I3889" s="46"/>
      <c r="J3889" s="26"/>
      <c r="K3889" s="26"/>
      <c r="L3889" s="26"/>
      <c r="M3889" s="26"/>
      <c r="N3889" s="26"/>
      <c r="O3889" s="26"/>
      <c r="P3889" s="26"/>
      <c r="Q3889" s="26"/>
      <c r="R3889" s="26"/>
    </row>
    <row r="3890" spans="9:18" x14ac:dyDescent="0.25">
      <c r="I3890" s="46"/>
      <c r="J3890" s="26"/>
      <c r="K3890" s="26"/>
      <c r="L3890" s="26"/>
      <c r="M3890" s="26"/>
      <c r="N3890" s="26"/>
      <c r="O3890" s="26"/>
      <c r="P3890" s="26"/>
      <c r="Q3890" s="26"/>
      <c r="R3890" s="26"/>
    </row>
    <row r="3891" spans="9:18" x14ac:dyDescent="0.25">
      <c r="I3891" s="46"/>
      <c r="J3891" s="26"/>
      <c r="K3891" s="26"/>
      <c r="L3891" s="26"/>
      <c r="M3891" s="26"/>
      <c r="N3891" s="26"/>
      <c r="O3891" s="26"/>
      <c r="P3891" s="26"/>
      <c r="Q3891" s="26"/>
      <c r="R3891" s="26"/>
    </row>
    <row r="3892" spans="9:18" x14ac:dyDescent="0.25">
      <c r="I3892" s="46"/>
      <c r="J3892" s="26"/>
      <c r="K3892" s="26"/>
      <c r="L3892" s="26"/>
      <c r="M3892" s="26"/>
      <c r="N3892" s="26"/>
      <c r="O3892" s="26"/>
      <c r="P3892" s="26"/>
      <c r="Q3892" s="26"/>
      <c r="R3892" s="26"/>
    </row>
    <row r="3893" spans="9:18" x14ac:dyDescent="0.25">
      <c r="I3893" s="46"/>
      <c r="J3893" s="26"/>
      <c r="K3893" s="26"/>
      <c r="L3893" s="26"/>
      <c r="M3893" s="26"/>
      <c r="N3893" s="26"/>
      <c r="O3893" s="26"/>
      <c r="P3893" s="26"/>
      <c r="Q3893" s="26"/>
      <c r="R3893" s="26"/>
    </row>
    <row r="3894" spans="9:18" x14ac:dyDescent="0.25">
      <c r="I3894" s="46"/>
      <c r="J3894" s="26"/>
      <c r="K3894" s="26"/>
      <c r="L3894" s="26"/>
      <c r="M3894" s="26"/>
      <c r="N3894" s="26"/>
      <c r="O3894" s="26"/>
      <c r="P3894" s="26"/>
      <c r="Q3894" s="26"/>
      <c r="R3894" s="26"/>
    </row>
    <row r="3895" spans="9:18" x14ac:dyDescent="0.25">
      <c r="I3895" s="46"/>
      <c r="J3895" s="26"/>
      <c r="K3895" s="26"/>
      <c r="L3895" s="26"/>
      <c r="M3895" s="26"/>
      <c r="N3895" s="26"/>
      <c r="O3895" s="26"/>
      <c r="P3895" s="26"/>
      <c r="Q3895" s="26"/>
      <c r="R3895" s="26"/>
    </row>
    <row r="3896" spans="9:18" x14ac:dyDescent="0.25">
      <c r="I3896" s="46"/>
      <c r="J3896" s="26"/>
      <c r="K3896" s="26"/>
      <c r="L3896" s="26"/>
      <c r="M3896" s="26"/>
      <c r="N3896" s="26"/>
      <c r="O3896" s="26"/>
      <c r="P3896" s="26"/>
      <c r="Q3896" s="26"/>
      <c r="R3896" s="26"/>
    </row>
    <row r="3897" spans="9:18" x14ac:dyDescent="0.25">
      <c r="I3897" s="46"/>
      <c r="J3897" s="26"/>
      <c r="K3897" s="26"/>
      <c r="L3897" s="26"/>
      <c r="M3897" s="26"/>
      <c r="N3897" s="26"/>
      <c r="O3897" s="26"/>
      <c r="P3897" s="26"/>
      <c r="Q3897" s="26"/>
      <c r="R3897" s="26"/>
    </row>
    <row r="3898" spans="9:18" x14ac:dyDescent="0.25">
      <c r="I3898" s="46"/>
      <c r="J3898" s="26"/>
      <c r="K3898" s="26"/>
      <c r="L3898" s="26"/>
      <c r="M3898" s="26"/>
      <c r="N3898" s="26"/>
      <c r="O3898" s="26"/>
      <c r="P3898" s="26"/>
      <c r="Q3898" s="26"/>
      <c r="R3898" s="26"/>
    </row>
    <row r="3899" spans="9:18" x14ac:dyDescent="0.25">
      <c r="I3899" s="46"/>
      <c r="J3899" s="26"/>
      <c r="K3899" s="26"/>
      <c r="L3899" s="26"/>
      <c r="M3899" s="26"/>
      <c r="N3899" s="26"/>
      <c r="O3899" s="26"/>
      <c r="P3899" s="26"/>
      <c r="Q3899" s="26"/>
      <c r="R3899" s="26"/>
    </row>
    <row r="3900" spans="9:18" x14ac:dyDescent="0.25">
      <c r="I3900" s="46"/>
      <c r="J3900" s="26"/>
      <c r="K3900" s="26"/>
      <c r="L3900" s="26"/>
      <c r="M3900" s="26"/>
      <c r="N3900" s="26"/>
      <c r="O3900" s="26"/>
      <c r="P3900" s="26"/>
      <c r="Q3900" s="26"/>
      <c r="R3900" s="26"/>
    </row>
    <row r="3901" spans="9:18" x14ac:dyDescent="0.25">
      <c r="I3901" s="46"/>
      <c r="J3901" s="26"/>
      <c r="K3901" s="26"/>
      <c r="L3901" s="26"/>
      <c r="M3901" s="26"/>
      <c r="N3901" s="26"/>
      <c r="O3901" s="26"/>
      <c r="P3901" s="26"/>
      <c r="Q3901" s="26"/>
      <c r="R3901" s="26"/>
    </row>
    <row r="3902" spans="9:18" x14ac:dyDescent="0.25">
      <c r="I3902" s="46"/>
      <c r="J3902" s="26"/>
      <c r="K3902" s="26"/>
      <c r="L3902" s="26"/>
      <c r="M3902" s="26"/>
      <c r="N3902" s="26"/>
      <c r="O3902" s="26"/>
      <c r="P3902" s="26"/>
      <c r="Q3902" s="26"/>
      <c r="R3902" s="26"/>
    </row>
    <row r="3903" spans="9:18" x14ac:dyDescent="0.25">
      <c r="I3903" s="46"/>
      <c r="J3903" s="26"/>
      <c r="K3903" s="26"/>
      <c r="L3903" s="26"/>
      <c r="M3903" s="26"/>
      <c r="N3903" s="26"/>
      <c r="O3903" s="26"/>
      <c r="P3903" s="26"/>
      <c r="Q3903" s="26"/>
      <c r="R3903" s="26"/>
    </row>
    <row r="3904" spans="9:18" x14ac:dyDescent="0.25">
      <c r="I3904" s="46"/>
      <c r="J3904" s="26"/>
      <c r="K3904" s="26"/>
      <c r="L3904" s="26"/>
      <c r="M3904" s="26"/>
      <c r="N3904" s="26"/>
      <c r="O3904" s="26"/>
      <c r="P3904" s="26"/>
      <c r="Q3904" s="26"/>
      <c r="R3904" s="26"/>
    </row>
    <row r="3905" spans="9:18" x14ac:dyDescent="0.25">
      <c r="I3905" s="46"/>
      <c r="J3905" s="26"/>
      <c r="K3905" s="26"/>
      <c r="L3905" s="26"/>
      <c r="M3905" s="26"/>
      <c r="N3905" s="26"/>
      <c r="O3905" s="26"/>
      <c r="P3905" s="26"/>
      <c r="Q3905" s="26"/>
      <c r="R3905" s="26"/>
    </row>
    <row r="3906" spans="9:18" x14ac:dyDescent="0.25">
      <c r="I3906" s="46"/>
      <c r="J3906" s="26"/>
      <c r="K3906" s="26"/>
      <c r="L3906" s="26"/>
      <c r="M3906" s="26"/>
      <c r="N3906" s="26"/>
      <c r="O3906" s="26"/>
      <c r="P3906" s="26"/>
      <c r="Q3906" s="26"/>
      <c r="R3906" s="26"/>
    </row>
    <row r="3907" spans="9:18" x14ac:dyDescent="0.25">
      <c r="I3907" s="46"/>
      <c r="J3907" s="26"/>
      <c r="K3907" s="26"/>
      <c r="L3907" s="26"/>
      <c r="M3907" s="26"/>
      <c r="N3907" s="26"/>
      <c r="O3907" s="26"/>
      <c r="P3907" s="26"/>
      <c r="Q3907" s="26"/>
      <c r="R3907" s="26"/>
    </row>
    <row r="3908" spans="9:18" x14ac:dyDescent="0.25">
      <c r="I3908" s="46"/>
      <c r="J3908" s="26"/>
      <c r="K3908" s="26"/>
      <c r="L3908" s="26"/>
      <c r="M3908" s="26"/>
      <c r="N3908" s="26"/>
      <c r="O3908" s="26"/>
      <c r="P3908" s="26"/>
      <c r="Q3908" s="26"/>
      <c r="R3908" s="26"/>
    </row>
    <row r="3909" spans="9:18" x14ac:dyDescent="0.25">
      <c r="I3909" s="46"/>
      <c r="J3909" s="26"/>
      <c r="K3909" s="26"/>
      <c r="L3909" s="26"/>
      <c r="M3909" s="26"/>
      <c r="N3909" s="26"/>
      <c r="O3909" s="26"/>
      <c r="P3909" s="26"/>
      <c r="Q3909" s="26"/>
      <c r="R3909" s="26"/>
    </row>
    <row r="3910" spans="9:18" x14ac:dyDescent="0.25">
      <c r="I3910" s="46"/>
      <c r="J3910" s="26"/>
      <c r="K3910" s="26"/>
      <c r="L3910" s="26"/>
      <c r="M3910" s="26"/>
      <c r="N3910" s="26"/>
      <c r="O3910" s="26"/>
      <c r="P3910" s="26"/>
      <c r="Q3910" s="26"/>
      <c r="R3910" s="26"/>
    </row>
    <row r="3911" spans="9:18" x14ac:dyDescent="0.25">
      <c r="I3911" s="46"/>
      <c r="J3911" s="26"/>
      <c r="K3911" s="26"/>
      <c r="L3911" s="26"/>
      <c r="M3911" s="26"/>
      <c r="N3911" s="26"/>
      <c r="O3911" s="26"/>
      <c r="P3911" s="26"/>
      <c r="Q3911" s="26"/>
      <c r="R3911" s="26"/>
    </row>
    <row r="3912" spans="9:18" x14ac:dyDescent="0.25">
      <c r="I3912" s="46"/>
      <c r="J3912" s="26"/>
      <c r="K3912" s="26"/>
      <c r="L3912" s="26"/>
      <c r="M3912" s="26"/>
      <c r="N3912" s="26"/>
      <c r="O3912" s="26"/>
      <c r="P3912" s="26"/>
      <c r="Q3912" s="26"/>
      <c r="R3912" s="26"/>
    </row>
    <row r="3913" spans="9:18" x14ac:dyDescent="0.25">
      <c r="I3913" s="46"/>
      <c r="J3913" s="26"/>
      <c r="K3913" s="26"/>
      <c r="L3913" s="26"/>
      <c r="M3913" s="26"/>
      <c r="N3913" s="26"/>
      <c r="O3913" s="26"/>
      <c r="P3913" s="26"/>
      <c r="Q3913" s="26"/>
      <c r="R3913" s="26"/>
    </row>
    <row r="3914" spans="9:18" x14ac:dyDescent="0.25">
      <c r="I3914" s="46"/>
      <c r="J3914" s="26"/>
      <c r="K3914" s="26"/>
      <c r="L3914" s="26"/>
      <c r="M3914" s="26"/>
      <c r="N3914" s="26"/>
      <c r="O3914" s="26"/>
      <c r="P3914" s="26"/>
      <c r="Q3914" s="26"/>
      <c r="R3914" s="26"/>
    </row>
    <row r="3915" spans="9:18" x14ac:dyDescent="0.25">
      <c r="I3915" s="46"/>
      <c r="J3915" s="26"/>
      <c r="K3915" s="26"/>
      <c r="L3915" s="26"/>
      <c r="M3915" s="26"/>
      <c r="N3915" s="26"/>
      <c r="O3915" s="26"/>
      <c r="P3915" s="26"/>
      <c r="Q3915" s="26"/>
      <c r="R3915" s="26"/>
    </row>
    <row r="3916" spans="9:18" x14ac:dyDescent="0.25">
      <c r="I3916" s="46"/>
      <c r="J3916" s="26"/>
      <c r="K3916" s="26"/>
      <c r="L3916" s="26"/>
      <c r="M3916" s="26"/>
      <c r="N3916" s="26"/>
      <c r="O3916" s="26"/>
      <c r="P3916" s="26"/>
      <c r="Q3916" s="26"/>
      <c r="R3916" s="26"/>
    </row>
    <row r="3917" spans="9:18" x14ac:dyDescent="0.25">
      <c r="I3917" s="46"/>
      <c r="J3917" s="26"/>
      <c r="K3917" s="26"/>
      <c r="L3917" s="26"/>
      <c r="M3917" s="26"/>
      <c r="N3917" s="26"/>
      <c r="O3917" s="26"/>
      <c r="P3917" s="26"/>
      <c r="Q3917" s="26"/>
      <c r="R3917" s="26"/>
    </row>
    <row r="3918" spans="9:18" x14ac:dyDescent="0.25">
      <c r="I3918" s="46"/>
      <c r="J3918" s="26"/>
      <c r="K3918" s="26"/>
      <c r="L3918" s="26"/>
      <c r="M3918" s="26"/>
      <c r="N3918" s="26"/>
      <c r="O3918" s="26"/>
      <c r="P3918" s="26"/>
      <c r="Q3918" s="26"/>
      <c r="R3918" s="26"/>
    </row>
    <row r="3919" spans="9:18" x14ac:dyDescent="0.25">
      <c r="I3919" s="46"/>
      <c r="J3919" s="26"/>
      <c r="K3919" s="26"/>
      <c r="L3919" s="26"/>
      <c r="M3919" s="26"/>
      <c r="N3919" s="26"/>
      <c r="O3919" s="26"/>
      <c r="P3919" s="26"/>
      <c r="Q3919" s="26"/>
      <c r="R3919" s="26"/>
    </row>
    <row r="3920" spans="9:18" x14ac:dyDescent="0.25">
      <c r="I3920" s="46"/>
      <c r="J3920" s="26"/>
      <c r="K3920" s="26"/>
      <c r="L3920" s="26"/>
      <c r="M3920" s="26"/>
      <c r="N3920" s="26"/>
      <c r="O3920" s="26"/>
      <c r="P3920" s="26"/>
      <c r="Q3920" s="26"/>
      <c r="R3920" s="26"/>
    </row>
    <row r="3921" spans="9:18" x14ac:dyDescent="0.25">
      <c r="I3921" s="46"/>
      <c r="J3921" s="26"/>
      <c r="K3921" s="26"/>
      <c r="L3921" s="26"/>
      <c r="M3921" s="26"/>
      <c r="N3921" s="26"/>
      <c r="O3921" s="26"/>
      <c r="P3921" s="26"/>
      <c r="Q3921" s="26"/>
      <c r="R3921" s="26"/>
    </row>
    <row r="3922" spans="9:18" x14ac:dyDescent="0.25">
      <c r="I3922" s="46"/>
      <c r="J3922" s="26"/>
      <c r="K3922" s="26"/>
      <c r="L3922" s="26"/>
      <c r="M3922" s="26"/>
      <c r="N3922" s="26"/>
      <c r="O3922" s="26"/>
      <c r="P3922" s="26"/>
      <c r="Q3922" s="26"/>
      <c r="R3922" s="26"/>
    </row>
    <row r="3923" spans="9:18" x14ac:dyDescent="0.25">
      <c r="I3923" s="46"/>
      <c r="J3923" s="26"/>
      <c r="K3923" s="26"/>
      <c r="L3923" s="26"/>
      <c r="M3923" s="26"/>
      <c r="N3923" s="26"/>
      <c r="O3923" s="26"/>
      <c r="P3923" s="26"/>
      <c r="Q3923" s="26"/>
      <c r="R3923" s="26"/>
    </row>
    <row r="3924" spans="9:18" x14ac:dyDescent="0.25">
      <c r="I3924" s="46"/>
      <c r="J3924" s="26"/>
      <c r="K3924" s="26"/>
      <c r="L3924" s="26"/>
      <c r="M3924" s="26"/>
      <c r="N3924" s="26"/>
      <c r="O3924" s="26"/>
      <c r="P3924" s="26"/>
      <c r="Q3924" s="26"/>
      <c r="R3924" s="26"/>
    </row>
    <row r="3925" spans="9:18" x14ac:dyDescent="0.25">
      <c r="I3925" s="46"/>
      <c r="J3925" s="26"/>
      <c r="K3925" s="26"/>
      <c r="L3925" s="26"/>
      <c r="M3925" s="26"/>
      <c r="N3925" s="26"/>
      <c r="O3925" s="26"/>
      <c r="P3925" s="26"/>
      <c r="Q3925" s="26"/>
      <c r="R3925" s="26"/>
    </row>
    <row r="3926" spans="9:18" x14ac:dyDescent="0.25">
      <c r="I3926" s="46"/>
      <c r="J3926" s="26"/>
      <c r="K3926" s="26"/>
      <c r="L3926" s="26"/>
      <c r="M3926" s="26"/>
      <c r="N3926" s="26"/>
      <c r="O3926" s="26"/>
      <c r="P3926" s="26"/>
      <c r="Q3926" s="26"/>
      <c r="R3926" s="26"/>
    </row>
    <row r="3927" spans="9:18" x14ac:dyDescent="0.25">
      <c r="I3927" s="46"/>
      <c r="J3927" s="26"/>
      <c r="K3927" s="26"/>
      <c r="L3927" s="26"/>
      <c r="M3927" s="26"/>
      <c r="N3927" s="26"/>
      <c r="O3927" s="26"/>
      <c r="P3927" s="26"/>
      <c r="Q3927" s="26"/>
      <c r="R3927" s="26"/>
    </row>
    <row r="3928" spans="9:18" x14ac:dyDescent="0.25">
      <c r="I3928" s="46"/>
      <c r="J3928" s="26"/>
      <c r="K3928" s="26"/>
      <c r="L3928" s="26"/>
      <c r="M3928" s="26"/>
      <c r="N3928" s="26"/>
      <c r="O3928" s="26"/>
      <c r="P3928" s="26"/>
      <c r="Q3928" s="26"/>
      <c r="R3928" s="26"/>
    </row>
    <row r="3929" spans="9:18" x14ac:dyDescent="0.25">
      <c r="I3929" s="46"/>
      <c r="J3929" s="26"/>
      <c r="K3929" s="26"/>
      <c r="L3929" s="26"/>
      <c r="M3929" s="26"/>
      <c r="N3929" s="26"/>
      <c r="O3929" s="26"/>
      <c r="P3929" s="26"/>
      <c r="Q3929" s="26"/>
      <c r="R3929" s="26"/>
    </row>
    <row r="3930" spans="9:18" x14ac:dyDescent="0.25">
      <c r="I3930" s="46"/>
      <c r="J3930" s="26"/>
      <c r="K3930" s="26"/>
      <c r="L3930" s="26"/>
      <c r="M3930" s="26"/>
      <c r="N3930" s="26"/>
      <c r="O3930" s="26"/>
      <c r="P3930" s="26"/>
      <c r="Q3930" s="26"/>
      <c r="R3930" s="26"/>
    </row>
    <row r="3931" spans="9:18" x14ac:dyDescent="0.25">
      <c r="I3931" s="46"/>
      <c r="J3931" s="26"/>
      <c r="K3931" s="26"/>
      <c r="L3931" s="26"/>
      <c r="M3931" s="26"/>
      <c r="N3931" s="26"/>
      <c r="O3931" s="26"/>
      <c r="P3931" s="26"/>
      <c r="Q3931" s="26"/>
      <c r="R3931" s="26"/>
    </row>
    <row r="3932" spans="9:18" x14ac:dyDescent="0.25">
      <c r="I3932" s="46"/>
      <c r="J3932" s="26"/>
      <c r="K3932" s="26"/>
      <c r="L3932" s="26"/>
      <c r="M3932" s="26"/>
      <c r="N3932" s="26"/>
      <c r="O3932" s="26"/>
      <c r="P3932" s="26"/>
      <c r="Q3932" s="26"/>
      <c r="R3932" s="26"/>
    </row>
    <row r="3933" spans="9:18" x14ac:dyDescent="0.25">
      <c r="I3933" s="46"/>
      <c r="J3933" s="26"/>
      <c r="K3933" s="26"/>
      <c r="L3933" s="26"/>
      <c r="M3933" s="26"/>
      <c r="N3933" s="26"/>
      <c r="O3933" s="26"/>
      <c r="P3933" s="26"/>
      <c r="Q3933" s="26"/>
      <c r="R3933" s="26"/>
    </row>
    <row r="3934" spans="9:18" x14ac:dyDescent="0.25">
      <c r="I3934" s="46"/>
      <c r="J3934" s="26"/>
      <c r="K3934" s="26"/>
      <c r="L3934" s="26"/>
      <c r="M3934" s="26"/>
      <c r="N3934" s="26"/>
      <c r="O3934" s="26"/>
      <c r="P3934" s="26"/>
      <c r="Q3934" s="26"/>
      <c r="R3934" s="26"/>
    </row>
    <row r="3935" spans="9:18" x14ac:dyDescent="0.25">
      <c r="I3935" s="46"/>
      <c r="J3935" s="26"/>
      <c r="K3935" s="26"/>
      <c r="L3935" s="26"/>
      <c r="M3935" s="26"/>
      <c r="N3935" s="26"/>
      <c r="O3935" s="26"/>
      <c r="P3935" s="26"/>
      <c r="Q3935" s="26"/>
      <c r="R3935" s="26"/>
    </row>
    <row r="3936" spans="9:18" x14ac:dyDescent="0.25">
      <c r="I3936" s="46"/>
      <c r="J3936" s="26"/>
      <c r="K3936" s="26"/>
      <c r="L3936" s="26"/>
      <c r="M3936" s="26"/>
      <c r="N3936" s="26"/>
      <c r="O3936" s="26"/>
      <c r="P3936" s="26"/>
      <c r="Q3936" s="26"/>
      <c r="R3936" s="26"/>
    </row>
    <row r="3937" spans="9:18" x14ac:dyDescent="0.25">
      <c r="I3937" s="46"/>
      <c r="J3937" s="26"/>
      <c r="K3937" s="26"/>
      <c r="L3937" s="26"/>
      <c r="M3937" s="26"/>
      <c r="N3937" s="26"/>
      <c r="O3937" s="26"/>
      <c r="P3937" s="26"/>
      <c r="Q3937" s="26"/>
      <c r="R3937" s="26"/>
    </row>
    <row r="3938" spans="9:18" x14ac:dyDescent="0.25">
      <c r="I3938" s="46"/>
      <c r="J3938" s="26"/>
      <c r="K3938" s="26"/>
      <c r="L3938" s="26"/>
      <c r="M3938" s="26"/>
      <c r="N3938" s="26"/>
      <c r="O3938" s="26"/>
      <c r="P3938" s="26"/>
      <c r="Q3938" s="26"/>
      <c r="R3938" s="26"/>
    </row>
    <row r="3939" spans="9:18" x14ac:dyDescent="0.25">
      <c r="I3939" s="46"/>
      <c r="J3939" s="26"/>
      <c r="K3939" s="26"/>
      <c r="L3939" s="26"/>
      <c r="M3939" s="26"/>
      <c r="N3939" s="26"/>
      <c r="O3939" s="26"/>
      <c r="P3939" s="26"/>
      <c r="Q3939" s="26"/>
      <c r="R3939" s="26"/>
    </row>
    <row r="3940" spans="9:18" x14ac:dyDescent="0.25">
      <c r="I3940" s="46"/>
      <c r="J3940" s="26"/>
      <c r="K3940" s="26"/>
      <c r="L3940" s="26"/>
      <c r="M3940" s="26"/>
      <c r="N3940" s="26"/>
      <c r="O3940" s="26"/>
      <c r="P3940" s="26"/>
      <c r="Q3940" s="26"/>
      <c r="R3940" s="26"/>
    </row>
    <row r="3941" spans="9:18" x14ac:dyDescent="0.25">
      <c r="I3941" s="46"/>
      <c r="J3941" s="26"/>
      <c r="K3941" s="26"/>
      <c r="L3941" s="26"/>
      <c r="M3941" s="26"/>
      <c r="N3941" s="26"/>
      <c r="O3941" s="26"/>
      <c r="P3941" s="26"/>
      <c r="Q3941" s="26"/>
      <c r="R3941" s="26"/>
    </row>
    <row r="3942" spans="9:18" x14ac:dyDescent="0.25">
      <c r="I3942" s="46"/>
      <c r="J3942" s="26"/>
      <c r="K3942" s="26"/>
      <c r="L3942" s="26"/>
      <c r="M3942" s="26"/>
      <c r="N3942" s="26"/>
      <c r="O3942" s="26"/>
      <c r="P3942" s="26"/>
      <c r="Q3942" s="26"/>
      <c r="R3942" s="26"/>
    </row>
    <row r="3943" spans="9:18" x14ac:dyDescent="0.25">
      <c r="I3943" s="46"/>
      <c r="J3943" s="26"/>
      <c r="K3943" s="26"/>
      <c r="L3943" s="26"/>
      <c r="M3943" s="26"/>
      <c r="N3943" s="26"/>
      <c r="O3943" s="26"/>
      <c r="P3943" s="26"/>
      <c r="Q3943" s="26"/>
      <c r="R3943" s="26"/>
    </row>
    <row r="3944" spans="9:18" x14ac:dyDescent="0.25">
      <c r="I3944" s="46"/>
      <c r="J3944" s="26"/>
      <c r="K3944" s="26"/>
      <c r="L3944" s="26"/>
      <c r="M3944" s="26"/>
      <c r="N3944" s="26"/>
      <c r="O3944" s="26"/>
      <c r="P3944" s="26"/>
      <c r="Q3944" s="26"/>
      <c r="R3944" s="26"/>
    </row>
    <row r="3945" spans="9:18" x14ac:dyDescent="0.25">
      <c r="I3945" s="46"/>
      <c r="J3945" s="26"/>
      <c r="K3945" s="26"/>
      <c r="L3945" s="26"/>
      <c r="M3945" s="26"/>
      <c r="N3945" s="26"/>
      <c r="O3945" s="26"/>
      <c r="P3945" s="26"/>
      <c r="Q3945" s="26"/>
      <c r="R3945" s="26"/>
    </row>
    <row r="3946" spans="9:18" x14ac:dyDescent="0.25">
      <c r="I3946" s="46"/>
      <c r="J3946" s="26"/>
      <c r="K3946" s="26"/>
      <c r="L3946" s="26"/>
      <c r="M3946" s="26"/>
      <c r="N3946" s="26"/>
      <c r="O3946" s="26"/>
      <c r="P3946" s="26"/>
      <c r="Q3946" s="26"/>
      <c r="R3946" s="26"/>
    </row>
    <row r="3947" spans="9:18" x14ac:dyDescent="0.25">
      <c r="I3947" s="46"/>
      <c r="J3947" s="26"/>
      <c r="K3947" s="26"/>
      <c r="L3947" s="26"/>
      <c r="M3947" s="26"/>
      <c r="N3947" s="26"/>
      <c r="O3947" s="26"/>
      <c r="P3947" s="26"/>
      <c r="Q3947" s="26"/>
      <c r="R3947" s="26"/>
    </row>
    <row r="3948" spans="9:18" x14ac:dyDescent="0.25">
      <c r="I3948" s="46"/>
      <c r="J3948" s="26"/>
      <c r="K3948" s="26"/>
      <c r="L3948" s="26"/>
      <c r="M3948" s="26"/>
      <c r="N3948" s="26"/>
      <c r="O3948" s="26"/>
      <c r="P3948" s="26"/>
      <c r="Q3948" s="26"/>
      <c r="R3948" s="26"/>
    </row>
    <row r="3949" spans="9:18" x14ac:dyDescent="0.25">
      <c r="I3949" s="46"/>
      <c r="J3949" s="26"/>
      <c r="K3949" s="26"/>
      <c r="L3949" s="26"/>
      <c r="M3949" s="26"/>
      <c r="N3949" s="26"/>
      <c r="O3949" s="26"/>
      <c r="P3949" s="26"/>
      <c r="Q3949" s="26"/>
      <c r="R3949" s="26"/>
    </row>
    <row r="3950" spans="9:18" x14ac:dyDescent="0.25">
      <c r="I3950" s="46"/>
      <c r="J3950" s="26"/>
      <c r="K3950" s="26"/>
      <c r="L3950" s="26"/>
      <c r="M3950" s="26"/>
      <c r="N3950" s="26"/>
      <c r="O3950" s="26"/>
      <c r="P3950" s="26"/>
      <c r="Q3950" s="26"/>
      <c r="R3950" s="26"/>
    </row>
    <row r="3951" spans="9:18" x14ac:dyDescent="0.25">
      <c r="I3951" s="46"/>
      <c r="J3951" s="26"/>
      <c r="K3951" s="26"/>
      <c r="L3951" s="26"/>
      <c r="M3951" s="26"/>
      <c r="N3951" s="26"/>
      <c r="O3951" s="26"/>
      <c r="P3951" s="26"/>
      <c r="Q3951" s="26"/>
      <c r="R3951" s="26"/>
    </row>
    <row r="3952" spans="9:18" x14ac:dyDescent="0.25">
      <c r="I3952" s="46"/>
      <c r="J3952" s="26"/>
      <c r="K3952" s="26"/>
      <c r="L3952" s="26"/>
      <c r="M3952" s="26"/>
      <c r="N3952" s="26"/>
      <c r="O3952" s="26"/>
      <c r="P3952" s="26"/>
      <c r="Q3952" s="26"/>
      <c r="R3952" s="26"/>
    </row>
    <row r="3953" spans="9:18" x14ac:dyDescent="0.25">
      <c r="I3953" s="46"/>
      <c r="J3953" s="26"/>
      <c r="K3953" s="26"/>
      <c r="L3953" s="26"/>
      <c r="M3953" s="26"/>
      <c r="N3953" s="26"/>
      <c r="O3953" s="26"/>
      <c r="P3953" s="26"/>
      <c r="Q3953" s="26"/>
      <c r="R3953" s="26"/>
    </row>
    <row r="3954" spans="9:18" x14ac:dyDescent="0.25">
      <c r="I3954" s="46"/>
      <c r="J3954" s="26"/>
      <c r="K3954" s="26"/>
      <c r="L3954" s="26"/>
      <c r="M3954" s="26"/>
      <c r="N3954" s="26"/>
      <c r="O3954" s="26"/>
      <c r="P3954" s="26"/>
      <c r="Q3954" s="26"/>
      <c r="R3954" s="26"/>
    </row>
    <row r="3955" spans="9:18" x14ac:dyDescent="0.25">
      <c r="I3955" s="46"/>
      <c r="J3955" s="26"/>
      <c r="K3955" s="26"/>
      <c r="L3955" s="26"/>
      <c r="M3955" s="26"/>
      <c r="N3955" s="26"/>
      <c r="O3955" s="26"/>
      <c r="P3955" s="26"/>
      <c r="Q3955" s="26"/>
      <c r="R3955" s="26"/>
    </row>
    <row r="3956" spans="9:18" x14ac:dyDescent="0.25">
      <c r="I3956" s="46"/>
      <c r="J3956" s="26"/>
      <c r="K3956" s="26"/>
      <c r="L3956" s="26"/>
      <c r="M3956" s="26"/>
      <c r="N3956" s="26"/>
      <c r="O3956" s="26"/>
      <c r="P3956" s="26"/>
      <c r="Q3956" s="26"/>
      <c r="R3956" s="26"/>
    </row>
    <row r="3957" spans="9:18" x14ac:dyDescent="0.25">
      <c r="I3957" s="46"/>
      <c r="J3957" s="26"/>
      <c r="K3957" s="26"/>
      <c r="L3957" s="26"/>
      <c r="M3957" s="26"/>
      <c r="N3957" s="26"/>
      <c r="O3957" s="26"/>
      <c r="P3957" s="26"/>
      <c r="Q3957" s="26"/>
      <c r="R3957" s="26"/>
    </row>
    <row r="3958" spans="9:18" x14ac:dyDescent="0.25">
      <c r="I3958" s="46"/>
      <c r="J3958" s="26"/>
      <c r="K3958" s="26"/>
      <c r="L3958" s="26"/>
      <c r="M3958" s="26"/>
      <c r="N3958" s="26"/>
      <c r="O3958" s="26"/>
      <c r="P3958" s="26"/>
      <c r="Q3958" s="26"/>
      <c r="R3958" s="26"/>
    </row>
    <row r="3959" spans="9:18" x14ac:dyDescent="0.25">
      <c r="I3959" s="46"/>
      <c r="J3959" s="26"/>
      <c r="K3959" s="26"/>
      <c r="L3959" s="26"/>
      <c r="M3959" s="26"/>
      <c r="N3959" s="26"/>
      <c r="O3959" s="26"/>
      <c r="P3959" s="26"/>
      <c r="Q3959" s="26"/>
      <c r="R3959" s="26"/>
    </row>
    <row r="3960" spans="9:18" x14ac:dyDescent="0.25">
      <c r="I3960" s="46"/>
      <c r="J3960" s="26"/>
      <c r="K3960" s="26"/>
      <c r="L3960" s="26"/>
      <c r="M3960" s="26"/>
      <c r="N3960" s="26"/>
      <c r="O3960" s="26"/>
      <c r="P3960" s="26"/>
      <c r="Q3960" s="26"/>
      <c r="R3960" s="26"/>
    </row>
    <row r="3961" spans="9:18" x14ac:dyDescent="0.25">
      <c r="I3961" s="46"/>
      <c r="J3961" s="26"/>
      <c r="K3961" s="26"/>
      <c r="L3961" s="26"/>
      <c r="M3961" s="26"/>
      <c r="N3961" s="26"/>
      <c r="O3961" s="26"/>
      <c r="P3961" s="26"/>
      <c r="Q3961" s="26"/>
      <c r="R3961" s="26"/>
    </row>
    <row r="3962" spans="9:18" x14ac:dyDescent="0.25">
      <c r="I3962" s="46"/>
      <c r="J3962" s="26"/>
      <c r="K3962" s="26"/>
      <c r="L3962" s="26"/>
      <c r="M3962" s="26"/>
      <c r="N3962" s="26"/>
      <c r="O3962" s="26"/>
      <c r="P3962" s="26"/>
      <c r="Q3962" s="26"/>
      <c r="R3962" s="26"/>
    </row>
    <row r="3963" spans="9:18" x14ac:dyDescent="0.25">
      <c r="I3963" s="46"/>
      <c r="J3963" s="26"/>
      <c r="K3963" s="26"/>
      <c r="L3963" s="26"/>
      <c r="M3963" s="26"/>
      <c r="N3963" s="26"/>
      <c r="O3963" s="26"/>
      <c r="P3963" s="26"/>
      <c r="Q3963" s="26"/>
      <c r="R3963" s="26"/>
    </row>
    <row r="3964" spans="9:18" x14ac:dyDescent="0.25">
      <c r="I3964" s="46"/>
      <c r="J3964" s="26"/>
      <c r="K3964" s="26"/>
      <c r="L3964" s="26"/>
      <c r="M3964" s="26"/>
      <c r="N3964" s="26"/>
      <c r="O3964" s="26"/>
      <c r="P3964" s="26"/>
      <c r="Q3964" s="26"/>
      <c r="R3964" s="26"/>
    </row>
    <row r="3965" spans="9:18" x14ac:dyDescent="0.25">
      <c r="I3965" s="46"/>
      <c r="J3965" s="26"/>
      <c r="K3965" s="26"/>
      <c r="L3965" s="26"/>
      <c r="M3965" s="26"/>
      <c r="N3965" s="26"/>
      <c r="O3965" s="26"/>
      <c r="P3965" s="26"/>
      <c r="Q3965" s="26"/>
      <c r="R3965" s="26"/>
    </row>
    <row r="3966" spans="9:18" x14ac:dyDescent="0.25">
      <c r="I3966" s="46"/>
      <c r="J3966" s="26"/>
      <c r="K3966" s="26"/>
      <c r="L3966" s="26"/>
      <c r="M3966" s="26"/>
      <c r="N3966" s="26"/>
      <c r="O3966" s="26"/>
      <c r="P3966" s="26"/>
      <c r="Q3966" s="26"/>
      <c r="R3966" s="26"/>
    </row>
    <row r="3967" spans="9:18" x14ac:dyDescent="0.25">
      <c r="I3967" s="46"/>
      <c r="J3967" s="26"/>
      <c r="K3967" s="26"/>
      <c r="L3967" s="26"/>
      <c r="M3967" s="26"/>
      <c r="N3967" s="26"/>
      <c r="O3967" s="26"/>
      <c r="P3967" s="26"/>
      <c r="Q3967" s="26"/>
      <c r="R3967" s="26"/>
    </row>
    <row r="3968" spans="9:18" x14ac:dyDescent="0.25">
      <c r="I3968" s="46"/>
      <c r="J3968" s="26"/>
      <c r="K3968" s="26"/>
      <c r="L3968" s="26"/>
      <c r="M3968" s="26"/>
      <c r="N3968" s="26"/>
      <c r="O3968" s="26"/>
      <c r="P3968" s="26"/>
      <c r="Q3968" s="26"/>
      <c r="R3968" s="26"/>
    </row>
    <row r="3969" spans="9:18" x14ac:dyDescent="0.25">
      <c r="I3969" s="46"/>
      <c r="J3969" s="26"/>
      <c r="K3969" s="26"/>
      <c r="L3969" s="26"/>
      <c r="M3969" s="26"/>
      <c r="N3969" s="26"/>
      <c r="O3969" s="26"/>
      <c r="P3969" s="26"/>
      <c r="Q3969" s="26"/>
      <c r="R3969" s="26"/>
    </row>
    <row r="3970" spans="9:18" x14ac:dyDescent="0.25">
      <c r="I3970" s="46"/>
      <c r="J3970" s="26"/>
      <c r="K3970" s="26"/>
      <c r="L3970" s="26"/>
      <c r="M3970" s="26"/>
      <c r="N3970" s="26"/>
      <c r="O3970" s="26"/>
      <c r="P3970" s="26"/>
      <c r="Q3970" s="26"/>
      <c r="R3970" s="26"/>
    </row>
    <row r="3971" spans="9:18" x14ac:dyDescent="0.25">
      <c r="I3971" s="46"/>
      <c r="J3971" s="26"/>
      <c r="K3971" s="26"/>
      <c r="L3971" s="26"/>
      <c r="M3971" s="26"/>
      <c r="N3971" s="26"/>
      <c r="O3971" s="26"/>
      <c r="P3971" s="26"/>
      <c r="Q3971" s="26"/>
      <c r="R3971" s="26"/>
    </row>
    <row r="3972" spans="9:18" x14ac:dyDescent="0.25">
      <c r="I3972" s="46"/>
      <c r="J3972" s="26"/>
      <c r="K3972" s="26"/>
      <c r="L3972" s="26"/>
      <c r="M3972" s="26"/>
      <c r="N3972" s="26"/>
      <c r="O3972" s="26"/>
      <c r="P3972" s="26"/>
      <c r="Q3972" s="26"/>
      <c r="R3972" s="26"/>
    </row>
    <row r="3973" spans="9:18" x14ac:dyDescent="0.25">
      <c r="I3973" s="46"/>
      <c r="J3973" s="26"/>
      <c r="K3973" s="26"/>
      <c r="L3973" s="26"/>
      <c r="M3973" s="26"/>
      <c r="N3973" s="26"/>
      <c r="O3973" s="26"/>
      <c r="P3973" s="26"/>
      <c r="Q3973" s="26"/>
      <c r="R3973" s="26"/>
    </row>
    <row r="3974" spans="9:18" x14ac:dyDescent="0.25">
      <c r="I3974" s="46"/>
      <c r="J3974" s="26"/>
      <c r="K3974" s="26"/>
      <c r="L3974" s="26"/>
      <c r="M3974" s="26"/>
      <c r="N3974" s="26"/>
      <c r="O3974" s="26"/>
      <c r="P3974" s="26"/>
      <c r="Q3974" s="26"/>
      <c r="R3974" s="26"/>
    </row>
    <row r="3975" spans="9:18" x14ac:dyDescent="0.25">
      <c r="I3975" s="46"/>
      <c r="J3975" s="26"/>
      <c r="K3975" s="26"/>
      <c r="L3975" s="26"/>
      <c r="M3975" s="26"/>
      <c r="N3975" s="26"/>
      <c r="O3975" s="26"/>
      <c r="P3975" s="26"/>
      <c r="Q3975" s="26"/>
      <c r="R3975" s="26"/>
    </row>
    <row r="3976" spans="9:18" x14ac:dyDescent="0.25">
      <c r="I3976" s="46"/>
      <c r="J3976" s="26"/>
      <c r="K3976" s="26"/>
      <c r="L3976" s="26"/>
      <c r="M3976" s="26"/>
      <c r="N3976" s="26"/>
      <c r="O3976" s="26"/>
      <c r="P3976" s="26"/>
      <c r="Q3976" s="26"/>
      <c r="R3976" s="26"/>
    </row>
    <row r="3977" spans="9:18" x14ac:dyDescent="0.25">
      <c r="I3977" s="46"/>
      <c r="J3977" s="26"/>
      <c r="K3977" s="26"/>
      <c r="L3977" s="26"/>
      <c r="M3977" s="26"/>
      <c r="N3977" s="26"/>
      <c r="O3977" s="26"/>
      <c r="P3977" s="26"/>
      <c r="Q3977" s="26"/>
      <c r="R3977" s="26"/>
    </row>
    <row r="3978" spans="9:18" x14ac:dyDescent="0.25">
      <c r="I3978" s="46"/>
      <c r="J3978" s="26"/>
      <c r="K3978" s="26"/>
      <c r="L3978" s="26"/>
      <c r="M3978" s="26"/>
      <c r="N3978" s="26"/>
      <c r="O3978" s="26"/>
      <c r="P3978" s="26"/>
      <c r="Q3978" s="26"/>
      <c r="R3978" s="26"/>
    </row>
    <row r="3979" spans="9:18" x14ac:dyDescent="0.25">
      <c r="I3979" s="46"/>
      <c r="J3979" s="26"/>
      <c r="K3979" s="26"/>
      <c r="L3979" s="26"/>
      <c r="M3979" s="26"/>
      <c r="N3979" s="26"/>
      <c r="O3979" s="26"/>
      <c r="P3979" s="26"/>
      <c r="Q3979" s="26"/>
      <c r="R3979" s="26"/>
    </row>
    <row r="3980" spans="9:18" x14ac:dyDescent="0.25">
      <c r="I3980" s="46"/>
      <c r="J3980" s="26"/>
      <c r="K3980" s="26"/>
      <c r="L3980" s="26"/>
      <c r="M3980" s="26"/>
      <c r="N3980" s="26"/>
      <c r="O3980" s="26"/>
      <c r="P3980" s="26"/>
      <c r="Q3980" s="26"/>
      <c r="R3980" s="26"/>
    </row>
    <row r="3981" spans="9:18" x14ac:dyDescent="0.25">
      <c r="I3981" s="46"/>
      <c r="J3981" s="26"/>
      <c r="K3981" s="26"/>
      <c r="L3981" s="26"/>
      <c r="M3981" s="26"/>
      <c r="N3981" s="26"/>
      <c r="O3981" s="26"/>
      <c r="P3981" s="26"/>
      <c r="Q3981" s="26"/>
      <c r="R3981" s="26"/>
    </row>
    <row r="3982" spans="9:18" x14ac:dyDescent="0.25">
      <c r="I3982" s="46"/>
      <c r="J3982" s="26"/>
      <c r="K3982" s="26"/>
      <c r="L3982" s="26"/>
      <c r="M3982" s="26"/>
      <c r="N3982" s="26"/>
      <c r="O3982" s="26"/>
      <c r="P3982" s="26"/>
      <c r="Q3982" s="26"/>
      <c r="R3982" s="26"/>
    </row>
    <row r="3983" spans="9:18" x14ac:dyDescent="0.25">
      <c r="I3983" s="46"/>
      <c r="J3983" s="26"/>
      <c r="K3983" s="26"/>
      <c r="L3983" s="26"/>
      <c r="M3983" s="26"/>
      <c r="N3983" s="26"/>
      <c r="O3983" s="26"/>
      <c r="P3983" s="26"/>
      <c r="Q3983" s="26"/>
      <c r="R3983" s="26"/>
    </row>
    <row r="3984" spans="9:18" x14ac:dyDescent="0.25">
      <c r="I3984" s="46"/>
      <c r="J3984" s="26"/>
      <c r="K3984" s="26"/>
      <c r="L3984" s="26"/>
      <c r="M3984" s="26"/>
      <c r="N3984" s="26"/>
      <c r="O3984" s="26"/>
      <c r="P3984" s="26"/>
      <c r="Q3984" s="26"/>
      <c r="R3984" s="26"/>
    </row>
    <row r="3985" spans="9:18" x14ac:dyDescent="0.25">
      <c r="I3985" s="46"/>
      <c r="J3985" s="26"/>
      <c r="K3985" s="26"/>
      <c r="L3985" s="26"/>
      <c r="M3985" s="26"/>
      <c r="N3985" s="26"/>
      <c r="O3985" s="26"/>
      <c r="P3985" s="26"/>
      <c r="Q3985" s="26"/>
      <c r="R3985" s="26"/>
    </row>
    <row r="3986" spans="9:18" x14ac:dyDescent="0.25">
      <c r="I3986" s="46"/>
      <c r="J3986" s="26"/>
      <c r="K3986" s="26"/>
      <c r="L3986" s="26"/>
      <c r="M3986" s="26"/>
      <c r="N3986" s="26"/>
      <c r="O3986" s="26"/>
      <c r="P3986" s="26"/>
      <c r="Q3986" s="26"/>
      <c r="R3986" s="26"/>
    </row>
    <row r="3987" spans="9:18" x14ac:dyDescent="0.25">
      <c r="I3987" s="46"/>
      <c r="J3987" s="26"/>
      <c r="K3987" s="26"/>
      <c r="L3987" s="26"/>
      <c r="M3987" s="26"/>
      <c r="N3987" s="26"/>
      <c r="O3987" s="26"/>
      <c r="P3987" s="26"/>
      <c r="Q3987" s="26"/>
      <c r="R3987" s="26"/>
    </row>
    <row r="3988" spans="9:18" x14ac:dyDescent="0.25">
      <c r="I3988" s="46"/>
      <c r="J3988" s="26"/>
      <c r="K3988" s="26"/>
      <c r="L3988" s="26"/>
      <c r="M3988" s="26"/>
      <c r="N3988" s="26"/>
      <c r="O3988" s="26"/>
      <c r="P3988" s="26"/>
      <c r="Q3988" s="26"/>
      <c r="R3988" s="26"/>
    </row>
    <row r="3989" spans="9:18" x14ac:dyDescent="0.25">
      <c r="I3989" s="46"/>
      <c r="J3989" s="26"/>
      <c r="K3989" s="26"/>
      <c r="L3989" s="26"/>
      <c r="M3989" s="26"/>
      <c r="N3989" s="26"/>
      <c r="O3989" s="26"/>
      <c r="P3989" s="26"/>
      <c r="Q3989" s="26"/>
      <c r="R3989" s="26"/>
    </row>
    <row r="3990" spans="9:18" x14ac:dyDescent="0.25">
      <c r="I3990" s="46"/>
      <c r="J3990" s="26"/>
      <c r="K3990" s="26"/>
      <c r="L3990" s="26"/>
      <c r="M3990" s="26"/>
      <c r="N3990" s="26"/>
      <c r="O3990" s="26"/>
      <c r="P3990" s="26"/>
      <c r="Q3990" s="26"/>
      <c r="R3990" s="26"/>
    </row>
    <row r="3991" spans="9:18" x14ac:dyDescent="0.25">
      <c r="I3991" s="46"/>
      <c r="J3991" s="26"/>
      <c r="K3991" s="26"/>
      <c r="L3991" s="26"/>
      <c r="M3991" s="26"/>
      <c r="N3991" s="26"/>
      <c r="O3991" s="26"/>
      <c r="P3991" s="26"/>
      <c r="Q3991" s="26"/>
      <c r="R3991" s="26"/>
    </row>
    <row r="3992" spans="9:18" x14ac:dyDescent="0.25">
      <c r="I3992" s="46"/>
      <c r="J3992" s="26"/>
      <c r="K3992" s="26"/>
      <c r="L3992" s="26"/>
      <c r="M3992" s="26"/>
      <c r="N3992" s="26"/>
      <c r="O3992" s="26"/>
      <c r="P3992" s="26"/>
      <c r="Q3992" s="26"/>
      <c r="R3992" s="26"/>
    </row>
    <row r="3993" spans="9:18" x14ac:dyDescent="0.25">
      <c r="I3993" s="46"/>
      <c r="J3993" s="26"/>
      <c r="K3993" s="26"/>
      <c r="L3993" s="26"/>
      <c r="M3993" s="26"/>
      <c r="N3993" s="26"/>
      <c r="O3993" s="26"/>
      <c r="P3993" s="26"/>
      <c r="Q3993" s="26"/>
      <c r="R3993" s="26"/>
    </row>
    <row r="3994" spans="9:18" x14ac:dyDescent="0.25">
      <c r="I3994" s="46"/>
      <c r="J3994" s="26"/>
      <c r="K3994" s="26"/>
      <c r="L3994" s="26"/>
      <c r="M3994" s="26"/>
      <c r="N3994" s="26"/>
      <c r="O3994" s="26"/>
      <c r="P3994" s="26"/>
      <c r="Q3994" s="26"/>
      <c r="R3994" s="26"/>
    </row>
    <row r="3995" spans="9:18" x14ac:dyDescent="0.25">
      <c r="I3995" s="46"/>
      <c r="J3995" s="26"/>
      <c r="K3995" s="26"/>
      <c r="L3995" s="26"/>
      <c r="M3995" s="26"/>
      <c r="N3995" s="26"/>
      <c r="O3995" s="26"/>
      <c r="P3995" s="26"/>
      <c r="Q3995" s="26"/>
      <c r="R3995" s="26"/>
    </row>
    <row r="3996" spans="9:18" x14ac:dyDescent="0.25">
      <c r="I3996" s="46"/>
      <c r="J3996" s="26"/>
      <c r="K3996" s="26"/>
      <c r="L3996" s="26"/>
      <c r="M3996" s="26"/>
      <c r="N3996" s="26"/>
      <c r="O3996" s="26"/>
      <c r="P3996" s="26"/>
      <c r="Q3996" s="26"/>
      <c r="R3996" s="26"/>
    </row>
    <row r="3997" spans="9:18" x14ac:dyDescent="0.25">
      <c r="I3997" s="46"/>
      <c r="J3997" s="26"/>
      <c r="K3997" s="26"/>
      <c r="L3997" s="26"/>
      <c r="M3997" s="26"/>
      <c r="N3997" s="26"/>
      <c r="O3997" s="26"/>
      <c r="P3997" s="26"/>
      <c r="Q3997" s="26"/>
      <c r="R3997" s="26"/>
    </row>
    <row r="3998" spans="9:18" x14ac:dyDescent="0.25">
      <c r="I3998" s="46"/>
      <c r="J3998" s="26"/>
      <c r="K3998" s="26"/>
      <c r="L3998" s="26"/>
      <c r="M3998" s="26"/>
      <c r="N3998" s="26"/>
      <c r="O3998" s="26"/>
      <c r="P3998" s="26"/>
      <c r="Q3998" s="26"/>
      <c r="R3998" s="26"/>
    </row>
    <row r="3999" spans="9:18" x14ac:dyDescent="0.25">
      <c r="I3999" s="46"/>
      <c r="J3999" s="26"/>
      <c r="K3999" s="26"/>
      <c r="L3999" s="26"/>
      <c r="M3999" s="26"/>
      <c r="N3999" s="26"/>
      <c r="O3999" s="26"/>
      <c r="P3999" s="26"/>
      <c r="Q3999" s="26"/>
      <c r="R3999" s="26"/>
    </row>
    <row r="4000" spans="9:18" x14ac:dyDescent="0.25">
      <c r="I4000" s="46"/>
      <c r="J4000" s="26"/>
      <c r="K4000" s="26"/>
      <c r="L4000" s="26"/>
      <c r="M4000" s="26"/>
      <c r="N4000" s="26"/>
      <c r="O4000" s="26"/>
      <c r="P4000" s="26"/>
      <c r="Q4000" s="26"/>
      <c r="R4000" s="26"/>
    </row>
    <row r="4001" spans="9:18" x14ac:dyDescent="0.25">
      <c r="I4001" s="46"/>
      <c r="J4001" s="26"/>
      <c r="K4001" s="26"/>
      <c r="L4001" s="26"/>
      <c r="M4001" s="26"/>
      <c r="N4001" s="26"/>
      <c r="O4001" s="26"/>
      <c r="P4001" s="26"/>
      <c r="Q4001" s="26"/>
      <c r="R4001" s="26"/>
    </row>
    <row r="4002" spans="9:18" x14ac:dyDescent="0.25">
      <c r="I4002" s="46"/>
      <c r="J4002" s="26"/>
      <c r="K4002" s="26"/>
      <c r="L4002" s="26"/>
      <c r="M4002" s="26"/>
      <c r="N4002" s="26"/>
      <c r="O4002" s="26"/>
      <c r="P4002" s="26"/>
      <c r="Q4002" s="26"/>
      <c r="R4002" s="26"/>
    </row>
    <row r="4003" spans="9:18" x14ac:dyDescent="0.25">
      <c r="I4003" s="46"/>
      <c r="J4003" s="26"/>
      <c r="K4003" s="26"/>
      <c r="L4003" s="26"/>
      <c r="M4003" s="26"/>
      <c r="N4003" s="26"/>
      <c r="O4003" s="26"/>
      <c r="P4003" s="26"/>
      <c r="Q4003" s="26"/>
      <c r="R4003" s="26"/>
    </row>
    <row r="4004" spans="9:18" x14ac:dyDescent="0.25">
      <c r="I4004" s="46"/>
      <c r="J4004" s="26"/>
      <c r="K4004" s="26"/>
      <c r="L4004" s="26"/>
      <c r="M4004" s="26"/>
      <c r="N4004" s="26"/>
      <c r="O4004" s="26"/>
      <c r="P4004" s="26"/>
      <c r="Q4004" s="26"/>
      <c r="R4004" s="26"/>
    </row>
    <row r="4005" spans="9:18" x14ac:dyDescent="0.25">
      <c r="I4005" s="46"/>
      <c r="J4005" s="26"/>
      <c r="K4005" s="26"/>
      <c r="L4005" s="26"/>
      <c r="M4005" s="26"/>
      <c r="N4005" s="26"/>
      <c r="O4005" s="26"/>
      <c r="P4005" s="26"/>
      <c r="Q4005" s="26"/>
      <c r="R4005" s="26"/>
    </row>
    <row r="4006" spans="9:18" x14ac:dyDescent="0.25">
      <c r="I4006" s="46"/>
      <c r="J4006" s="26"/>
      <c r="K4006" s="26"/>
      <c r="L4006" s="26"/>
      <c r="M4006" s="26"/>
      <c r="N4006" s="26"/>
      <c r="O4006" s="26"/>
      <c r="P4006" s="26"/>
      <c r="Q4006" s="26"/>
      <c r="R4006" s="26"/>
    </row>
    <row r="4007" spans="9:18" x14ac:dyDescent="0.25">
      <c r="I4007" s="46"/>
      <c r="J4007" s="26"/>
      <c r="K4007" s="26"/>
      <c r="L4007" s="26"/>
      <c r="M4007" s="26"/>
      <c r="N4007" s="26"/>
      <c r="O4007" s="26"/>
      <c r="P4007" s="26"/>
      <c r="Q4007" s="26"/>
      <c r="R4007" s="26"/>
    </row>
    <row r="4008" spans="9:18" x14ac:dyDescent="0.25">
      <c r="I4008" s="46"/>
      <c r="J4008" s="26"/>
      <c r="K4008" s="26"/>
      <c r="L4008" s="26"/>
      <c r="M4008" s="26"/>
      <c r="N4008" s="26"/>
      <c r="O4008" s="26"/>
      <c r="P4008" s="26"/>
      <c r="Q4008" s="26"/>
      <c r="R4008" s="26"/>
    </row>
    <row r="4009" spans="9:18" x14ac:dyDescent="0.25">
      <c r="I4009" s="46"/>
      <c r="J4009" s="26"/>
      <c r="K4009" s="26"/>
      <c r="L4009" s="26"/>
      <c r="M4009" s="26"/>
      <c r="N4009" s="26"/>
      <c r="O4009" s="26"/>
      <c r="P4009" s="26"/>
      <c r="Q4009" s="26"/>
      <c r="R4009" s="26"/>
    </row>
    <row r="4010" spans="9:18" x14ac:dyDescent="0.25">
      <c r="I4010" s="46"/>
      <c r="J4010" s="26"/>
      <c r="K4010" s="26"/>
      <c r="L4010" s="26"/>
      <c r="M4010" s="26"/>
      <c r="N4010" s="26"/>
      <c r="O4010" s="26"/>
      <c r="P4010" s="26"/>
      <c r="Q4010" s="26"/>
      <c r="R4010" s="26"/>
    </row>
    <row r="4011" spans="9:18" x14ac:dyDescent="0.25">
      <c r="I4011" s="46"/>
      <c r="J4011" s="26"/>
      <c r="K4011" s="26"/>
      <c r="L4011" s="26"/>
      <c r="M4011" s="26"/>
      <c r="N4011" s="26"/>
      <c r="O4011" s="26"/>
      <c r="P4011" s="26"/>
      <c r="Q4011" s="26"/>
      <c r="R4011" s="26"/>
    </row>
    <row r="4012" spans="9:18" x14ac:dyDescent="0.25">
      <c r="I4012" s="46"/>
      <c r="J4012" s="26"/>
      <c r="K4012" s="26"/>
      <c r="L4012" s="26"/>
      <c r="M4012" s="26"/>
      <c r="N4012" s="26"/>
      <c r="O4012" s="26"/>
      <c r="P4012" s="26"/>
      <c r="Q4012" s="26"/>
      <c r="R4012" s="26"/>
    </row>
    <row r="4013" spans="9:18" x14ac:dyDescent="0.25">
      <c r="I4013" s="46"/>
      <c r="J4013" s="26"/>
      <c r="K4013" s="26"/>
      <c r="L4013" s="26"/>
      <c r="M4013" s="26"/>
      <c r="N4013" s="26"/>
      <c r="O4013" s="26"/>
      <c r="P4013" s="26"/>
      <c r="Q4013" s="26"/>
      <c r="R4013" s="26"/>
    </row>
    <row r="4014" spans="9:18" x14ac:dyDescent="0.25">
      <c r="I4014" s="46"/>
      <c r="J4014" s="26"/>
      <c r="K4014" s="26"/>
      <c r="L4014" s="26"/>
      <c r="M4014" s="26"/>
      <c r="N4014" s="26"/>
      <c r="O4014" s="26"/>
      <c r="P4014" s="26"/>
      <c r="Q4014" s="26"/>
      <c r="R4014" s="26"/>
    </row>
    <row r="4015" spans="9:18" x14ac:dyDescent="0.25">
      <c r="I4015" s="46"/>
      <c r="J4015" s="26"/>
      <c r="K4015" s="26"/>
      <c r="L4015" s="26"/>
      <c r="M4015" s="26"/>
      <c r="N4015" s="26"/>
      <c r="O4015" s="26"/>
      <c r="P4015" s="26"/>
      <c r="Q4015" s="26"/>
      <c r="R4015" s="26"/>
    </row>
    <row r="4016" spans="9:18" x14ac:dyDescent="0.25">
      <c r="I4016" s="46"/>
      <c r="J4016" s="26"/>
      <c r="K4016" s="26"/>
      <c r="L4016" s="26"/>
      <c r="M4016" s="26"/>
      <c r="N4016" s="26"/>
      <c r="O4016" s="26"/>
      <c r="P4016" s="26"/>
      <c r="Q4016" s="26"/>
      <c r="R4016" s="26"/>
    </row>
    <row r="4017" spans="9:18" x14ac:dyDescent="0.25">
      <c r="I4017" s="46"/>
      <c r="J4017" s="26"/>
      <c r="K4017" s="26"/>
      <c r="L4017" s="26"/>
      <c r="M4017" s="26"/>
      <c r="N4017" s="26"/>
      <c r="O4017" s="26"/>
      <c r="P4017" s="26"/>
      <c r="Q4017" s="26"/>
      <c r="R4017" s="26"/>
    </row>
    <row r="4018" spans="9:18" x14ac:dyDescent="0.25">
      <c r="I4018" s="46"/>
      <c r="J4018" s="26"/>
      <c r="K4018" s="26"/>
      <c r="L4018" s="26"/>
      <c r="M4018" s="26"/>
      <c r="N4018" s="26"/>
      <c r="O4018" s="26"/>
      <c r="P4018" s="26"/>
      <c r="Q4018" s="26"/>
      <c r="R4018" s="26"/>
    </row>
    <row r="4019" spans="9:18" x14ac:dyDescent="0.25">
      <c r="I4019" s="46"/>
      <c r="J4019" s="26"/>
      <c r="K4019" s="26"/>
      <c r="L4019" s="26"/>
      <c r="M4019" s="26"/>
      <c r="N4019" s="26"/>
      <c r="O4019" s="26"/>
      <c r="P4019" s="26"/>
      <c r="Q4019" s="26"/>
      <c r="R4019" s="26"/>
    </row>
    <row r="4020" spans="9:18" x14ac:dyDescent="0.25">
      <c r="I4020" s="46"/>
      <c r="J4020" s="26"/>
      <c r="K4020" s="26"/>
      <c r="L4020" s="26"/>
      <c r="M4020" s="26"/>
      <c r="N4020" s="26"/>
      <c r="O4020" s="26"/>
      <c r="P4020" s="26"/>
      <c r="Q4020" s="26"/>
      <c r="R4020" s="26"/>
    </row>
    <row r="4021" spans="9:18" x14ac:dyDescent="0.25">
      <c r="I4021" s="46"/>
      <c r="J4021" s="26"/>
      <c r="K4021" s="26"/>
      <c r="L4021" s="26"/>
      <c r="M4021" s="26"/>
      <c r="N4021" s="26"/>
      <c r="O4021" s="26"/>
      <c r="P4021" s="26"/>
      <c r="Q4021" s="26"/>
      <c r="R4021" s="26"/>
    </row>
    <row r="4022" spans="9:18" x14ac:dyDescent="0.25">
      <c r="I4022" s="46"/>
      <c r="J4022" s="26"/>
      <c r="K4022" s="26"/>
      <c r="L4022" s="26"/>
      <c r="M4022" s="26"/>
      <c r="N4022" s="26"/>
      <c r="O4022" s="26"/>
      <c r="P4022" s="26"/>
      <c r="Q4022" s="26"/>
      <c r="R4022" s="26"/>
    </row>
    <row r="4023" spans="9:18" x14ac:dyDescent="0.25">
      <c r="I4023" s="46"/>
      <c r="J4023" s="26"/>
      <c r="K4023" s="26"/>
      <c r="L4023" s="26"/>
      <c r="M4023" s="26"/>
      <c r="N4023" s="26"/>
      <c r="O4023" s="26"/>
      <c r="P4023" s="26"/>
      <c r="Q4023" s="26"/>
      <c r="R4023" s="26"/>
    </row>
    <row r="4024" spans="9:18" x14ac:dyDescent="0.25">
      <c r="I4024" s="46"/>
      <c r="J4024" s="26"/>
      <c r="K4024" s="26"/>
      <c r="L4024" s="26"/>
      <c r="M4024" s="26"/>
      <c r="N4024" s="26"/>
      <c r="O4024" s="26"/>
      <c r="P4024" s="26"/>
      <c r="Q4024" s="26"/>
      <c r="R4024" s="26"/>
    </row>
    <row r="4025" spans="9:18" x14ac:dyDescent="0.25">
      <c r="I4025" s="46"/>
      <c r="J4025" s="26"/>
      <c r="K4025" s="26"/>
      <c r="L4025" s="26"/>
      <c r="M4025" s="26"/>
      <c r="N4025" s="26"/>
      <c r="O4025" s="26"/>
      <c r="P4025" s="26"/>
      <c r="Q4025" s="26"/>
      <c r="R4025" s="26"/>
    </row>
    <row r="4026" spans="9:18" x14ac:dyDescent="0.25">
      <c r="I4026" s="46"/>
      <c r="J4026" s="26"/>
      <c r="K4026" s="26"/>
      <c r="L4026" s="26"/>
      <c r="M4026" s="26"/>
      <c r="N4026" s="26"/>
      <c r="O4026" s="26"/>
      <c r="P4026" s="26"/>
      <c r="Q4026" s="26"/>
      <c r="R4026" s="26"/>
    </row>
    <row r="4027" spans="9:18" x14ac:dyDescent="0.25">
      <c r="I4027" s="46"/>
      <c r="J4027" s="26"/>
      <c r="K4027" s="26"/>
      <c r="L4027" s="26"/>
      <c r="M4027" s="26"/>
      <c r="N4027" s="26"/>
      <c r="O4027" s="26"/>
      <c r="P4027" s="26"/>
      <c r="Q4027" s="26"/>
      <c r="R4027" s="26"/>
    </row>
    <row r="4028" spans="9:18" x14ac:dyDescent="0.25">
      <c r="I4028" s="46"/>
      <c r="J4028" s="26"/>
      <c r="K4028" s="26"/>
      <c r="L4028" s="26"/>
      <c r="M4028" s="26"/>
      <c r="N4028" s="26"/>
      <c r="O4028" s="26"/>
      <c r="P4028" s="26"/>
      <c r="Q4028" s="26"/>
      <c r="R4028" s="26"/>
    </row>
    <row r="4029" spans="9:18" x14ac:dyDescent="0.25">
      <c r="I4029" s="46"/>
      <c r="J4029" s="26"/>
      <c r="K4029" s="26"/>
      <c r="L4029" s="26"/>
      <c r="M4029" s="26"/>
      <c r="N4029" s="26"/>
      <c r="O4029" s="26"/>
      <c r="P4029" s="26"/>
      <c r="Q4029" s="26"/>
      <c r="R4029" s="26"/>
    </row>
    <row r="4030" spans="9:18" x14ac:dyDescent="0.25">
      <c r="I4030" s="46"/>
      <c r="J4030" s="26"/>
      <c r="K4030" s="26"/>
      <c r="L4030" s="26"/>
      <c r="M4030" s="26"/>
      <c r="N4030" s="26"/>
      <c r="O4030" s="26"/>
      <c r="P4030" s="26"/>
      <c r="Q4030" s="26"/>
      <c r="R4030" s="26"/>
    </row>
    <row r="4031" spans="9:18" x14ac:dyDescent="0.25">
      <c r="I4031" s="46"/>
      <c r="J4031" s="26"/>
      <c r="K4031" s="26"/>
      <c r="L4031" s="26"/>
      <c r="M4031" s="26"/>
      <c r="N4031" s="26"/>
      <c r="O4031" s="26"/>
      <c r="P4031" s="26"/>
      <c r="Q4031" s="26"/>
      <c r="R4031" s="26"/>
    </row>
    <row r="4032" spans="9:18" x14ac:dyDescent="0.25">
      <c r="I4032" s="46"/>
      <c r="J4032" s="26"/>
      <c r="K4032" s="26"/>
      <c r="L4032" s="26"/>
      <c r="M4032" s="26"/>
      <c r="N4032" s="26"/>
      <c r="O4032" s="26"/>
      <c r="P4032" s="26"/>
      <c r="Q4032" s="26"/>
      <c r="R4032" s="26"/>
    </row>
    <row r="4033" spans="9:18" x14ac:dyDescent="0.25">
      <c r="I4033" s="46"/>
      <c r="J4033" s="26"/>
      <c r="K4033" s="26"/>
      <c r="L4033" s="26"/>
      <c r="M4033" s="26"/>
      <c r="N4033" s="26"/>
      <c r="O4033" s="26"/>
      <c r="P4033" s="26"/>
      <c r="Q4033" s="26"/>
      <c r="R4033" s="26"/>
    </row>
    <row r="4034" spans="9:18" x14ac:dyDescent="0.25">
      <c r="I4034" s="46"/>
      <c r="J4034" s="26"/>
      <c r="K4034" s="26"/>
      <c r="L4034" s="26"/>
      <c r="M4034" s="26"/>
      <c r="N4034" s="26"/>
      <c r="O4034" s="26"/>
      <c r="P4034" s="26"/>
      <c r="Q4034" s="26"/>
      <c r="R4034" s="26"/>
    </row>
    <row r="4035" spans="9:18" x14ac:dyDescent="0.25">
      <c r="I4035" s="46"/>
      <c r="J4035" s="26"/>
      <c r="K4035" s="26"/>
      <c r="L4035" s="26"/>
      <c r="M4035" s="26"/>
      <c r="N4035" s="26"/>
      <c r="O4035" s="26"/>
      <c r="P4035" s="26"/>
      <c r="Q4035" s="26"/>
      <c r="R4035" s="26"/>
    </row>
    <row r="4036" spans="9:18" x14ac:dyDescent="0.25">
      <c r="I4036" s="46"/>
      <c r="J4036" s="26"/>
      <c r="K4036" s="26"/>
      <c r="L4036" s="26"/>
      <c r="M4036" s="26"/>
      <c r="N4036" s="26"/>
      <c r="O4036" s="26"/>
      <c r="P4036" s="26"/>
      <c r="Q4036" s="26"/>
      <c r="R4036" s="26"/>
    </row>
    <row r="4037" spans="9:18" x14ac:dyDescent="0.25">
      <c r="I4037" s="46"/>
      <c r="J4037" s="26"/>
      <c r="K4037" s="26"/>
      <c r="L4037" s="26"/>
      <c r="M4037" s="26"/>
      <c r="N4037" s="26"/>
      <c r="O4037" s="26"/>
      <c r="P4037" s="26"/>
      <c r="Q4037" s="26"/>
      <c r="R4037" s="26"/>
    </row>
    <row r="4038" spans="9:18" x14ac:dyDescent="0.25">
      <c r="I4038" s="46"/>
      <c r="J4038" s="26"/>
      <c r="K4038" s="26"/>
      <c r="L4038" s="26"/>
      <c r="M4038" s="26"/>
      <c r="N4038" s="26"/>
      <c r="O4038" s="26"/>
      <c r="P4038" s="26"/>
      <c r="Q4038" s="26"/>
      <c r="R4038" s="26"/>
    </row>
    <row r="4039" spans="9:18" x14ac:dyDescent="0.25">
      <c r="I4039" s="46"/>
      <c r="J4039" s="26"/>
      <c r="K4039" s="26"/>
      <c r="L4039" s="26"/>
      <c r="M4039" s="26"/>
      <c r="N4039" s="26"/>
      <c r="O4039" s="26"/>
      <c r="P4039" s="26"/>
      <c r="Q4039" s="26"/>
      <c r="R4039" s="26"/>
    </row>
    <row r="4040" spans="9:18" x14ac:dyDescent="0.25">
      <c r="I4040" s="46"/>
      <c r="J4040" s="26"/>
      <c r="K4040" s="26"/>
      <c r="L4040" s="26"/>
      <c r="M4040" s="26"/>
      <c r="N4040" s="26"/>
      <c r="O4040" s="26"/>
      <c r="P4040" s="26"/>
      <c r="Q4040" s="26"/>
      <c r="R4040" s="26"/>
    </row>
    <row r="4041" spans="9:18" x14ac:dyDescent="0.25">
      <c r="I4041" s="46"/>
      <c r="J4041" s="26"/>
      <c r="K4041" s="26"/>
      <c r="L4041" s="26"/>
      <c r="M4041" s="26"/>
      <c r="N4041" s="26"/>
      <c r="O4041" s="26"/>
      <c r="P4041" s="26"/>
      <c r="Q4041" s="26"/>
      <c r="R4041" s="26"/>
    </row>
    <row r="4042" spans="9:18" x14ac:dyDescent="0.25">
      <c r="I4042" s="46"/>
      <c r="J4042" s="26"/>
      <c r="K4042" s="26"/>
      <c r="L4042" s="26"/>
      <c r="M4042" s="26"/>
      <c r="N4042" s="26"/>
      <c r="O4042" s="26"/>
      <c r="P4042" s="26"/>
      <c r="Q4042" s="26"/>
      <c r="R4042" s="26"/>
    </row>
    <row r="4043" spans="9:18" x14ac:dyDescent="0.25">
      <c r="I4043" s="46"/>
      <c r="J4043" s="26"/>
      <c r="K4043" s="26"/>
      <c r="L4043" s="26"/>
      <c r="M4043" s="26"/>
      <c r="N4043" s="26"/>
      <c r="O4043" s="26"/>
      <c r="P4043" s="26"/>
      <c r="Q4043" s="26"/>
      <c r="R4043" s="26"/>
    </row>
    <row r="4044" spans="9:18" x14ac:dyDescent="0.25">
      <c r="I4044" s="46"/>
      <c r="J4044" s="26"/>
      <c r="K4044" s="26"/>
      <c r="L4044" s="26"/>
      <c r="M4044" s="26"/>
      <c r="N4044" s="26"/>
      <c r="O4044" s="26"/>
      <c r="P4044" s="26"/>
      <c r="Q4044" s="26"/>
      <c r="R4044" s="26"/>
    </row>
    <row r="4045" spans="9:18" x14ac:dyDescent="0.25">
      <c r="I4045" s="46"/>
      <c r="J4045" s="26"/>
      <c r="K4045" s="26"/>
      <c r="L4045" s="26"/>
      <c r="M4045" s="26"/>
      <c r="N4045" s="26"/>
      <c r="O4045" s="26"/>
      <c r="P4045" s="26"/>
      <c r="Q4045" s="26"/>
      <c r="R4045" s="26"/>
    </row>
    <row r="4046" spans="9:18" x14ac:dyDescent="0.25">
      <c r="I4046" s="46"/>
      <c r="J4046" s="26"/>
      <c r="K4046" s="26"/>
      <c r="L4046" s="26"/>
      <c r="M4046" s="26"/>
      <c r="N4046" s="26"/>
      <c r="O4046" s="26"/>
      <c r="P4046" s="26"/>
      <c r="Q4046" s="26"/>
      <c r="R4046" s="26"/>
    </row>
    <row r="4047" spans="9:18" x14ac:dyDescent="0.25">
      <c r="I4047" s="46"/>
      <c r="J4047" s="26"/>
      <c r="K4047" s="26"/>
      <c r="L4047" s="26"/>
      <c r="M4047" s="26"/>
      <c r="N4047" s="26"/>
      <c r="O4047" s="26"/>
      <c r="P4047" s="26"/>
      <c r="Q4047" s="26"/>
      <c r="R4047" s="26"/>
    </row>
    <row r="4048" spans="9:18" x14ac:dyDescent="0.25">
      <c r="I4048" s="46"/>
      <c r="J4048" s="26"/>
      <c r="K4048" s="26"/>
      <c r="L4048" s="26"/>
      <c r="M4048" s="26"/>
      <c r="N4048" s="26"/>
      <c r="O4048" s="26"/>
      <c r="P4048" s="26"/>
      <c r="Q4048" s="26"/>
      <c r="R4048" s="26"/>
    </row>
    <row r="4049" spans="9:18" x14ac:dyDescent="0.25">
      <c r="I4049" s="46"/>
      <c r="J4049" s="26"/>
      <c r="K4049" s="26"/>
      <c r="L4049" s="26"/>
      <c r="M4049" s="26"/>
      <c r="N4049" s="26"/>
      <c r="O4049" s="26"/>
      <c r="P4049" s="26"/>
      <c r="Q4049" s="26"/>
      <c r="R4049" s="26"/>
    </row>
    <row r="4050" spans="9:18" x14ac:dyDescent="0.25">
      <c r="I4050" s="46"/>
      <c r="J4050" s="26"/>
      <c r="K4050" s="26"/>
      <c r="L4050" s="26"/>
      <c r="M4050" s="26"/>
      <c r="N4050" s="26"/>
      <c r="O4050" s="26"/>
      <c r="P4050" s="26"/>
      <c r="Q4050" s="26"/>
      <c r="R4050" s="26"/>
    </row>
    <row r="4051" spans="9:18" x14ac:dyDescent="0.25">
      <c r="I4051" s="46"/>
      <c r="J4051" s="26"/>
      <c r="K4051" s="26"/>
      <c r="L4051" s="26"/>
      <c r="M4051" s="26"/>
      <c r="N4051" s="26"/>
      <c r="O4051" s="26"/>
      <c r="P4051" s="26"/>
      <c r="Q4051" s="26"/>
      <c r="R4051" s="26"/>
    </row>
    <row r="4052" spans="9:18" x14ac:dyDescent="0.25">
      <c r="I4052" s="46"/>
      <c r="J4052" s="26"/>
      <c r="K4052" s="26"/>
      <c r="L4052" s="26"/>
      <c r="M4052" s="26"/>
      <c r="N4052" s="26"/>
      <c r="O4052" s="26"/>
      <c r="P4052" s="26"/>
      <c r="Q4052" s="26"/>
      <c r="R4052" s="26"/>
    </row>
    <row r="4053" spans="9:18" x14ac:dyDescent="0.25">
      <c r="I4053" s="46"/>
      <c r="J4053" s="26"/>
      <c r="K4053" s="26"/>
      <c r="L4053" s="26"/>
      <c r="M4053" s="26"/>
      <c r="N4053" s="26"/>
      <c r="O4053" s="26"/>
      <c r="P4053" s="26"/>
      <c r="Q4053" s="26"/>
      <c r="R4053" s="26"/>
    </row>
    <row r="4054" spans="9:18" x14ac:dyDescent="0.25">
      <c r="I4054" s="46"/>
      <c r="J4054" s="26"/>
      <c r="K4054" s="26"/>
      <c r="L4054" s="26"/>
      <c r="M4054" s="26"/>
      <c r="N4054" s="26"/>
      <c r="O4054" s="26"/>
      <c r="P4054" s="26"/>
      <c r="Q4054" s="26"/>
      <c r="R4054" s="26"/>
    </row>
    <row r="4055" spans="9:18" x14ac:dyDescent="0.25">
      <c r="I4055" s="46"/>
      <c r="J4055" s="26"/>
      <c r="K4055" s="26"/>
      <c r="L4055" s="26"/>
      <c r="M4055" s="26"/>
      <c r="N4055" s="26"/>
      <c r="O4055" s="26"/>
      <c r="P4055" s="26"/>
      <c r="Q4055" s="26"/>
      <c r="R4055" s="26"/>
    </row>
    <row r="4056" spans="9:18" x14ac:dyDescent="0.25">
      <c r="I4056" s="46"/>
      <c r="J4056" s="26"/>
      <c r="K4056" s="26"/>
      <c r="L4056" s="26"/>
      <c r="M4056" s="26"/>
      <c r="N4056" s="26"/>
      <c r="O4056" s="26"/>
      <c r="P4056" s="26"/>
      <c r="Q4056" s="26"/>
      <c r="R4056" s="26"/>
    </row>
    <row r="4057" spans="9:18" x14ac:dyDescent="0.25">
      <c r="I4057" s="46"/>
      <c r="J4057" s="26"/>
      <c r="K4057" s="26"/>
      <c r="L4057" s="26"/>
      <c r="M4057" s="26"/>
      <c r="N4057" s="26"/>
      <c r="O4057" s="26"/>
      <c r="P4057" s="26"/>
      <c r="Q4057" s="26"/>
      <c r="R4057" s="26"/>
    </row>
    <row r="4058" spans="9:18" x14ac:dyDescent="0.25">
      <c r="I4058" s="46"/>
      <c r="J4058" s="26"/>
      <c r="K4058" s="26"/>
      <c r="L4058" s="26"/>
      <c r="M4058" s="26"/>
      <c r="N4058" s="26"/>
      <c r="O4058" s="26"/>
      <c r="P4058" s="26"/>
      <c r="Q4058" s="26"/>
      <c r="R4058" s="26"/>
    </row>
    <row r="4059" spans="9:18" x14ac:dyDescent="0.25">
      <c r="I4059" s="46"/>
      <c r="J4059" s="26"/>
      <c r="K4059" s="26"/>
      <c r="L4059" s="26"/>
      <c r="M4059" s="26"/>
      <c r="N4059" s="26"/>
      <c r="O4059" s="26"/>
      <c r="P4059" s="26"/>
      <c r="Q4059" s="26"/>
      <c r="R4059" s="26"/>
    </row>
    <row r="4060" spans="9:18" x14ac:dyDescent="0.25">
      <c r="I4060" s="46"/>
      <c r="J4060" s="26"/>
      <c r="K4060" s="26"/>
      <c r="L4060" s="26"/>
      <c r="M4060" s="26"/>
      <c r="N4060" s="26"/>
      <c r="O4060" s="26"/>
      <c r="P4060" s="26"/>
      <c r="Q4060" s="26"/>
      <c r="R4060" s="26"/>
    </row>
    <row r="4061" spans="9:18" x14ac:dyDescent="0.25">
      <c r="I4061" s="46"/>
      <c r="J4061" s="26"/>
      <c r="K4061" s="26"/>
      <c r="L4061" s="26"/>
      <c r="M4061" s="26"/>
      <c r="N4061" s="26"/>
      <c r="O4061" s="26"/>
      <c r="P4061" s="26"/>
      <c r="Q4061" s="26"/>
      <c r="R4061" s="26"/>
    </row>
    <row r="4062" spans="9:18" x14ac:dyDescent="0.25">
      <c r="I4062" s="46"/>
      <c r="J4062" s="26"/>
      <c r="K4062" s="26"/>
      <c r="L4062" s="26"/>
      <c r="M4062" s="26"/>
      <c r="N4062" s="26"/>
      <c r="O4062" s="26"/>
      <c r="P4062" s="26"/>
      <c r="Q4062" s="26"/>
      <c r="R4062" s="26"/>
    </row>
    <row r="4063" spans="9:18" x14ac:dyDescent="0.25">
      <c r="I4063" s="46"/>
      <c r="J4063" s="26"/>
      <c r="K4063" s="26"/>
      <c r="L4063" s="26"/>
      <c r="M4063" s="26"/>
      <c r="N4063" s="26"/>
      <c r="O4063" s="26"/>
      <c r="P4063" s="26"/>
      <c r="Q4063" s="26"/>
      <c r="R4063" s="26"/>
    </row>
    <row r="4064" spans="9:18" x14ac:dyDescent="0.25">
      <c r="I4064" s="46"/>
      <c r="J4064" s="26"/>
      <c r="K4064" s="26"/>
      <c r="L4064" s="26"/>
      <c r="M4064" s="26"/>
      <c r="N4064" s="26"/>
      <c r="O4064" s="26"/>
      <c r="P4064" s="26"/>
      <c r="Q4064" s="26"/>
      <c r="R4064" s="26"/>
    </row>
    <row r="4065" spans="9:18" x14ac:dyDescent="0.25">
      <c r="I4065" s="46"/>
      <c r="J4065" s="26"/>
      <c r="K4065" s="26"/>
      <c r="L4065" s="26"/>
      <c r="M4065" s="26"/>
      <c r="N4065" s="26"/>
      <c r="O4065" s="26"/>
      <c r="P4065" s="26"/>
      <c r="Q4065" s="26"/>
      <c r="R4065" s="26"/>
    </row>
    <row r="4066" spans="9:18" x14ac:dyDescent="0.25">
      <c r="I4066" s="46"/>
      <c r="J4066" s="26"/>
      <c r="K4066" s="26"/>
      <c r="L4066" s="26"/>
      <c r="M4066" s="26"/>
      <c r="N4066" s="26"/>
      <c r="O4066" s="26"/>
      <c r="P4066" s="26"/>
      <c r="Q4066" s="26"/>
      <c r="R4066" s="26"/>
    </row>
    <row r="4067" spans="9:18" x14ac:dyDescent="0.25">
      <c r="I4067" s="46"/>
      <c r="J4067" s="26"/>
      <c r="K4067" s="26"/>
      <c r="L4067" s="26"/>
      <c r="M4067" s="26"/>
      <c r="N4067" s="26"/>
      <c r="O4067" s="26"/>
      <c r="P4067" s="26"/>
      <c r="Q4067" s="26"/>
      <c r="R4067" s="26"/>
    </row>
    <row r="4068" spans="9:18" x14ac:dyDescent="0.25">
      <c r="I4068" s="46"/>
      <c r="J4068" s="26"/>
      <c r="K4068" s="26"/>
      <c r="L4068" s="26"/>
      <c r="M4068" s="26"/>
      <c r="N4068" s="26"/>
      <c r="O4068" s="26"/>
      <c r="P4068" s="26"/>
      <c r="Q4068" s="26"/>
      <c r="R4068" s="26"/>
    </row>
    <row r="4069" spans="9:18" x14ac:dyDescent="0.25">
      <c r="I4069" s="46"/>
      <c r="J4069" s="26"/>
      <c r="K4069" s="26"/>
      <c r="L4069" s="26"/>
      <c r="M4069" s="26"/>
      <c r="N4069" s="26"/>
      <c r="O4069" s="26"/>
      <c r="P4069" s="26"/>
      <c r="Q4069" s="26"/>
      <c r="R4069" s="26"/>
    </row>
    <row r="4070" spans="9:18" x14ac:dyDescent="0.25">
      <c r="I4070" s="46"/>
      <c r="J4070" s="26"/>
      <c r="K4070" s="26"/>
      <c r="L4070" s="26"/>
      <c r="M4070" s="26"/>
      <c r="N4070" s="26"/>
      <c r="O4070" s="26"/>
      <c r="P4070" s="26"/>
      <c r="Q4070" s="26"/>
      <c r="R4070" s="26"/>
    </row>
    <row r="4071" spans="9:18" x14ac:dyDescent="0.25">
      <c r="I4071" s="46"/>
      <c r="J4071" s="26"/>
      <c r="K4071" s="26"/>
      <c r="L4071" s="26"/>
      <c r="M4071" s="26"/>
      <c r="N4071" s="26"/>
      <c r="O4071" s="26"/>
      <c r="P4071" s="26"/>
      <c r="Q4071" s="26"/>
      <c r="R4071" s="26"/>
    </row>
    <row r="4072" spans="9:18" x14ac:dyDescent="0.25">
      <c r="I4072" s="46"/>
      <c r="J4072" s="26"/>
      <c r="K4072" s="26"/>
      <c r="L4072" s="26"/>
      <c r="M4072" s="26"/>
      <c r="N4072" s="26"/>
      <c r="O4072" s="26"/>
      <c r="P4072" s="26"/>
      <c r="Q4072" s="26"/>
      <c r="R4072" s="26"/>
    </row>
    <row r="4073" spans="9:18" x14ac:dyDescent="0.25">
      <c r="I4073" s="46"/>
      <c r="J4073" s="26"/>
      <c r="K4073" s="26"/>
      <c r="L4073" s="26"/>
      <c r="M4073" s="26"/>
      <c r="N4073" s="26"/>
      <c r="O4073" s="26"/>
      <c r="P4073" s="26"/>
      <c r="Q4073" s="26"/>
      <c r="R4073" s="26"/>
    </row>
    <row r="4074" spans="9:18" x14ac:dyDescent="0.25">
      <c r="I4074" s="46"/>
      <c r="J4074" s="26"/>
      <c r="K4074" s="26"/>
      <c r="L4074" s="26"/>
      <c r="M4074" s="26"/>
      <c r="N4074" s="26"/>
      <c r="O4074" s="26"/>
      <c r="P4074" s="26"/>
      <c r="Q4074" s="26"/>
      <c r="R4074" s="26"/>
    </row>
    <row r="4075" spans="9:18" x14ac:dyDescent="0.25">
      <c r="I4075" s="46"/>
      <c r="J4075" s="26"/>
      <c r="K4075" s="26"/>
      <c r="L4075" s="26"/>
      <c r="M4075" s="26"/>
      <c r="N4075" s="26"/>
      <c r="O4075" s="26"/>
      <c r="P4075" s="26"/>
      <c r="Q4075" s="26"/>
      <c r="R4075" s="26"/>
    </row>
    <row r="4076" spans="9:18" x14ac:dyDescent="0.25">
      <c r="I4076" s="46"/>
      <c r="J4076" s="26"/>
      <c r="K4076" s="26"/>
      <c r="L4076" s="26"/>
      <c r="M4076" s="26"/>
      <c r="N4076" s="26"/>
      <c r="O4076" s="26"/>
      <c r="P4076" s="26"/>
      <c r="Q4076" s="26"/>
      <c r="R4076" s="26"/>
    </row>
    <row r="4077" spans="9:18" x14ac:dyDescent="0.25">
      <c r="I4077" s="46"/>
      <c r="J4077" s="26"/>
      <c r="K4077" s="26"/>
      <c r="L4077" s="26"/>
      <c r="M4077" s="26"/>
      <c r="N4077" s="26"/>
      <c r="O4077" s="26"/>
      <c r="P4077" s="26"/>
      <c r="Q4077" s="26"/>
      <c r="R4077" s="26"/>
    </row>
    <row r="4078" spans="9:18" x14ac:dyDescent="0.25">
      <c r="I4078" s="46"/>
      <c r="J4078" s="26"/>
      <c r="K4078" s="26"/>
      <c r="L4078" s="26"/>
      <c r="M4078" s="26"/>
      <c r="N4078" s="26"/>
      <c r="O4078" s="26"/>
      <c r="P4078" s="26"/>
      <c r="Q4078" s="26"/>
      <c r="R4078" s="26"/>
    </row>
    <row r="4079" spans="9:18" x14ac:dyDescent="0.25">
      <c r="I4079" s="46"/>
      <c r="J4079" s="26"/>
      <c r="K4079" s="26"/>
      <c r="L4079" s="26"/>
      <c r="M4079" s="26"/>
      <c r="N4079" s="26"/>
      <c r="O4079" s="26"/>
      <c r="P4079" s="26"/>
      <c r="Q4079" s="26"/>
      <c r="R4079" s="26"/>
    </row>
    <row r="4080" spans="9:18" x14ac:dyDescent="0.25">
      <c r="I4080" s="46"/>
      <c r="J4080" s="26"/>
      <c r="K4080" s="26"/>
      <c r="L4080" s="26"/>
      <c r="M4080" s="26"/>
      <c r="N4080" s="26"/>
      <c r="O4080" s="26"/>
      <c r="P4080" s="26"/>
      <c r="Q4080" s="26"/>
      <c r="R4080" s="26"/>
    </row>
    <row r="4081" spans="9:18" x14ac:dyDescent="0.25">
      <c r="I4081" s="46"/>
      <c r="J4081" s="26"/>
      <c r="K4081" s="26"/>
      <c r="L4081" s="26"/>
      <c r="M4081" s="26"/>
      <c r="N4081" s="26"/>
      <c r="O4081" s="26"/>
      <c r="P4081" s="26"/>
      <c r="Q4081" s="26"/>
      <c r="R4081" s="26"/>
    </row>
    <row r="4082" spans="9:18" x14ac:dyDescent="0.25">
      <c r="I4082" s="46"/>
      <c r="J4082" s="26"/>
      <c r="K4082" s="26"/>
      <c r="L4082" s="26"/>
      <c r="M4082" s="26"/>
      <c r="N4082" s="26"/>
      <c r="O4082" s="26"/>
      <c r="P4082" s="26"/>
      <c r="Q4082" s="26"/>
      <c r="R4082" s="26"/>
    </row>
    <row r="4083" spans="9:18" x14ac:dyDescent="0.25">
      <c r="I4083" s="46"/>
      <c r="J4083" s="26"/>
      <c r="K4083" s="26"/>
      <c r="L4083" s="26"/>
      <c r="M4083" s="26"/>
      <c r="N4083" s="26"/>
      <c r="O4083" s="26"/>
      <c r="P4083" s="26"/>
      <c r="Q4083" s="26"/>
      <c r="R4083" s="26"/>
    </row>
    <row r="4084" spans="9:18" x14ac:dyDescent="0.25">
      <c r="I4084" s="46"/>
      <c r="J4084" s="26"/>
      <c r="K4084" s="26"/>
      <c r="L4084" s="26"/>
      <c r="M4084" s="26"/>
      <c r="N4084" s="26"/>
      <c r="O4084" s="26"/>
      <c r="P4084" s="26"/>
      <c r="Q4084" s="26"/>
      <c r="R4084" s="26"/>
    </row>
    <row r="4085" spans="9:18" x14ac:dyDescent="0.25">
      <c r="I4085" s="46"/>
      <c r="J4085" s="26"/>
      <c r="K4085" s="26"/>
      <c r="L4085" s="26"/>
      <c r="M4085" s="26"/>
      <c r="N4085" s="26"/>
      <c r="O4085" s="26"/>
      <c r="P4085" s="26"/>
      <c r="Q4085" s="26"/>
      <c r="R4085" s="26"/>
    </row>
    <row r="4086" spans="9:18" x14ac:dyDescent="0.25">
      <c r="I4086" s="46"/>
      <c r="J4086" s="26"/>
      <c r="K4086" s="26"/>
      <c r="L4086" s="26"/>
      <c r="M4086" s="26"/>
      <c r="N4086" s="26"/>
      <c r="O4086" s="26"/>
      <c r="P4086" s="26"/>
      <c r="Q4086" s="26"/>
      <c r="R4086" s="26"/>
    </row>
    <row r="4087" spans="9:18" x14ac:dyDescent="0.25">
      <c r="I4087" s="46"/>
      <c r="J4087" s="26"/>
      <c r="K4087" s="26"/>
      <c r="L4087" s="26"/>
      <c r="M4087" s="26"/>
      <c r="N4087" s="26"/>
      <c r="O4087" s="26"/>
      <c r="P4087" s="26"/>
      <c r="Q4087" s="26"/>
      <c r="R4087" s="26"/>
    </row>
    <row r="4088" spans="9:18" x14ac:dyDescent="0.25">
      <c r="I4088" s="46"/>
      <c r="J4088" s="26"/>
      <c r="K4088" s="26"/>
      <c r="L4088" s="26"/>
      <c r="M4088" s="26"/>
      <c r="N4088" s="26"/>
      <c r="O4088" s="26"/>
      <c r="P4088" s="26"/>
      <c r="Q4088" s="26"/>
      <c r="R4088" s="26"/>
    </row>
    <row r="4089" spans="9:18" x14ac:dyDescent="0.25">
      <c r="I4089" s="46"/>
      <c r="J4089" s="26"/>
      <c r="K4089" s="26"/>
      <c r="L4089" s="26"/>
      <c r="M4089" s="26"/>
      <c r="N4089" s="26"/>
      <c r="O4089" s="26"/>
      <c r="P4089" s="26"/>
      <c r="Q4089" s="26"/>
      <c r="R4089" s="26"/>
    </row>
    <row r="4090" spans="9:18" x14ac:dyDescent="0.25">
      <c r="I4090" s="46"/>
      <c r="J4090" s="26"/>
      <c r="K4090" s="26"/>
      <c r="L4090" s="26"/>
      <c r="M4090" s="26"/>
      <c r="N4090" s="26"/>
      <c r="O4090" s="26"/>
      <c r="P4090" s="26"/>
      <c r="Q4090" s="26"/>
      <c r="R4090" s="26"/>
    </row>
    <row r="4091" spans="9:18" x14ac:dyDescent="0.25">
      <c r="I4091" s="46"/>
      <c r="J4091" s="26"/>
      <c r="K4091" s="26"/>
      <c r="L4091" s="26"/>
      <c r="M4091" s="26"/>
      <c r="N4091" s="26"/>
      <c r="O4091" s="26"/>
      <c r="P4091" s="26"/>
      <c r="Q4091" s="26"/>
      <c r="R4091" s="26"/>
    </row>
    <row r="4092" spans="9:18" x14ac:dyDescent="0.25">
      <c r="I4092" s="46"/>
      <c r="J4092" s="26"/>
      <c r="K4092" s="26"/>
      <c r="L4092" s="26"/>
      <c r="M4092" s="26"/>
      <c r="N4092" s="26"/>
      <c r="O4092" s="26"/>
      <c r="P4092" s="26"/>
      <c r="Q4092" s="26"/>
      <c r="R4092" s="26"/>
    </row>
    <row r="4093" spans="9:18" x14ac:dyDescent="0.25">
      <c r="I4093" s="46"/>
      <c r="J4093" s="26"/>
      <c r="K4093" s="26"/>
      <c r="L4093" s="26"/>
      <c r="M4093" s="26"/>
      <c r="N4093" s="26"/>
      <c r="O4093" s="26"/>
      <c r="P4093" s="26"/>
      <c r="Q4093" s="26"/>
      <c r="R4093" s="26"/>
    </row>
    <row r="4094" spans="9:18" x14ac:dyDescent="0.25">
      <c r="I4094" s="46"/>
      <c r="J4094" s="26"/>
      <c r="K4094" s="26"/>
      <c r="L4094" s="26"/>
      <c r="M4094" s="26"/>
      <c r="N4094" s="26"/>
      <c r="O4094" s="26"/>
      <c r="P4094" s="26"/>
      <c r="Q4094" s="26"/>
      <c r="R4094" s="26"/>
    </row>
    <row r="4095" spans="9:18" x14ac:dyDescent="0.25">
      <c r="I4095" s="46"/>
      <c r="J4095" s="26"/>
      <c r="K4095" s="26"/>
      <c r="L4095" s="26"/>
      <c r="M4095" s="26"/>
      <c r="N4095" s="26"/>
      <c r="O4095" s="26"/>
      <c r="P4095" s="26"/>
      <c r="Q4095" s="26"/>
      <c r="R4095" s="26"/>
    </row>
    <row r="4096" spans="9:18" x14ac:dyDescent="0.25">
      <c r="I4096" s="46"/>
      <c r="J4096" s="26"/>
      <c r="K4096" s="26"/>
      <c r="L4096" s="26"/>
      <c r="M4096" s="26"/>
      <c r="N4096" s="26"/>
      <c r="O4096" s="26"/>
      <c r="P4096" s="26"/>
      <c r="Q4096" s="26"/>
      <c r="R4096" s="26"/>
    </row>
    <row r="4097" spans="9:18" x14ac:dyDescent="0.25">
      <c r="I4097" s="46"/>
      <c r="J4097" s="26"/>
      <c r="K4097" s="26"/>
      <c r="L4097" s="26"/>
      <c r="M4097" s="26"/>
      <c r="N4097" s="26"/>
      <c r="O4097" s="26"/>
      <c r="P4097" s="26"/>
      <c r="Q4097" s="26"/>
      <c r="R4097" s="26"/>
    </row>
    <row r="4098" spans="9:18" x14ac:dyDescent="0.25">
      <c r="I4098" s="46"/>
      <c r="J4098" s="26"/>
      <c r="K4098" s="26"/>
      <c r="L4098" s="26"/>
      <c r="M4098" s="26"/>
      <c r="N4098" s="26"/>
      <c r="O4098" s="26"/>
      <c r="P4098" s="26"/>
      <c r="Q4098" s="26"/>
      <c r="R4098" s="26"/>
    </row>
    <row r="4099" spans="9:18" x14ac:dyDescent="0.25">
      <c r="I4099" s="46"/>
      <c r="J4099" s="26"/>
      <c r="K4099" s="26"/>
      <c r="L4099" s="26"/>
      <c r="M4099" s="26"/>
      <c r="N4099" s="26"/>
      <c r="O4099" s="26"/>
      <c r="P4099" s="26"/>
      <c r="Q4099" s="26"/>
      <c r="R4099" s="26"/>
    </row>
    <row r="4100" spans="9:18" x14ac:dyDescent="0.25">
      <c r="I4100" s="46"/>
      <c r="J4100" s="26"/>
      <c r="K4100" s="26"/>
      <c r="L4100" s="26"/>
      <c r="M4100" s="26"/>
      <c r="N4100" s="26"/>
      <c r="O4100" s="26"/>
      <c r="P4100" s="26"/>
      <c r="Q4100" s="26"/>
      <c r="R4100" s="26"/>
    </row>
    <row r="4101" spans="9:18" x14ac:dyDescent="0.25">
      <c r="I4101" s="46"/>
      <c r="J4101" s="26"/>
      <c r="K4101" s="26"/>
      <c r="L4101" s="26"/>
      <c r="M4101" s="26"/>
      <c r="N4101" s="26"/>
      <c r="O4101" s="26"/>
      <c r="P4101" s="26"/>
      <c r="Q4101" s="26"/>
      <c r="R4101" s="26"/>
    </row>
    <row r="4102" spans="9:18" x14ac:dyDescent="0.25">
      <c r="I4102" s="46"/>
      <c r="J4102" s="26"/>
      <c r="K4102" s="26"/>
      <c r="L4102" s="26"/>
      <c r="M4102" s="26"/>
      <c r="N4102" s="26"/>
      <c r="O4102" s="26"/>
      <c r="P4102" s="26"/>
      <c r="Q4102" s="26"/>
      <c r="R4102" s="26"/>
    </row>
    <row r="4103" spans="9:18" x14ac:dyDescent="0.25">
      <c r="I4103" s="46"/>
      <c r="J4103" s="26"/>
      <c r="K4103" s="26"/>
      <c r="L4103" s="26"/>
      <c r="M4103" s="26"/>
      <c r="N4103" s="26"/>
      <c r="O4103" s="26"/>
      <c r="P4103" s="26"/>
      <c r="Q4103" s="26"/>
      <c r="R4103" s="26"/>
    </row>
    <row r="4104" spans="9:18" x14ac:dyDescent="0.25">
      <c r="I4104" s="46"/>
      <c r="J4104" s="26"/>
      <c r="K4104" s="26"/>
      <c r="L4104" s="26"/>
      <c r="M4104" s="26"/>
      <c r="N4104" s="26"/>
      <c r="O4104" s="26"/>
      <c r="P4104" s="26"/>
      <c r="Q4104" s="26"/>
      <c r="R4104" s="26"/>
    </row>
    <row r="4105" spans="9:18" x14ac:dyDescent="0.25">
      <c r="I4105" s="46"/>
      <c r="J4105" s="26"/>
      <c r="K4105" s="26"/>
      <c r="L4105" s="26"/>
      <c r="M4105" s="26"/>
      <c r="N4105" s="26"/>
      <c r="O4105" s="26"/>
      <c r="P4105" s="26"/>
      <c r="Q4105" s="26"/>
      <c r="R4105" s="26"/>
    </row>
    <row r="4106" spans="9:18" x14ac:dyDescent="0.25">
      <c r="I4106" s="46"/>
      <c r="J4106" s="26"/>
      <c r="K4106" s="26"/>
      <c r="L4106" s="26"/>
      <c r="M4106" s="26"/>
      <c r="N4106" s="26"/>
      <c r="O4106" s="26"/>
      <c r="P4106" s="26"/>
      <c r="Q4106" s="26"/>
      <c r="R4106" s="26"/>
    </row>
    <row r="4107" spans="9:18" x14ac:dyDescent="0.25">
      <c r="I4107" s="46"/>
      <c r="J4107" s="26"/>
      <c r="K4107" s="26"/>
      <c r="L4107" s="26"/>
      <c r="M4107" s="26"/>
      <c r="N4107" s="26"/>
      <c r="O4107" s="26"/>
      <c r="P4107" s="26"/>
      <c r="Q4107" s="26"/>
      <c r="R4107" s="26"/>
    </row>
    <row r="4108" spans="9:18" x14ac:dyDescent="0.25">
      <c r="I4108" s="46"/>
      <c r="J4108" s="26"/>
      <c r="K4108" s="26"/>
      <c r="L4108" s="26"/>
      <c r="M4108" s="26"/>
      <c r="N4108" s="26"/>
      <c r="O4108" s="26"/>
      <c r="P4108" s="26"/>
      <c r="Q4108" s="26"/>
      <c r="R4108" s="26"/>
    </row>
    <row r="4109" spans="9:18" x14ac:dyDescent="0.25">
      <c r="I4109" s="46"/>
      <c r="J4109" s="26"/>
      <c r="K4109" s="26"/>
      <c r="L4109" s="26"/>
      <c r="M4109" s="26"/>
      <c r="N4109" s="26"/>
      <c r="O4109" s="26"/>
      <c r="P4109" s="26"/>
      <c r="Q4109" s="26"/>
      <c r="R4109" s="26"/>
    </row>
    <row r="4110" spans="9:18" x14ac:dyDescent="0.25">
      <c r="I4110" s="46"/>
      <c r="J4110" s="26"/>
      <c r="K4110" s="26"/>
      <c r="L4110" s="26"/>
      <c r="M4110" s="26"/>
      <c r="N4110" s="26"/>
      <c r="O4110" s="26"/>
      <c r="P4110" s="26"/>
      <c r="Q4110" s="26"/>
      <c r="R4110" s="26"/>
    </row>
    <row r="4111" spans="9:18" x14ac:dyDescent="0.25">
      <c r="I4111" s="46"/>
      <c r="J4111" s="26"/>
      <c r="K4111" s="26"/>
      <c r="L4111" s="26"/>
      <c r="M4111" s="26"/>
      <c r="N4111" s="26"/>
      <c r="O4111" s="26"/>
      <c r="P4111" s="26"/>
      <c r="Q4111" s="26"/>
      <c r="R4111" s="26"/>
    </row>
    <row r="4112" spans="9:18" x14ac:dyDescent="0.25">
      <c r="I4112" s="46"/>
      <c r="J4112" s="26"/>
      <c r="K4112" s="26"/>
      <c r="L4112" s="26"/>
      <c r="M4112" s="26"/>
      <c r="N4112" s="26"/>
      <c r="O4112" s="26"/>
      <c r="P4112" s="26"/>
      <c r="Q4112" s="26"/>
      <c r="R4112" s="26"/>
    </row>
    <row r="4113" spans="9:18" x14ac:dyDescent="0.25">
      <c r="I4113" s="46"/>
      <c r="J4113" s="26"/>
      <c r="K4113" s="26"/>
      <c r="L4113" s="26"/>
      <c r="M4113" s="26"/>
      <c r="N4113" s="26"/>
      <c r="O4113" s="26"/>
      <c r="P4113" s="26"/>
      <c r="Q4113" s="26"/>
      <c r="R4113" s="26"/>
    </row>
    <row r="4114" spans="9:18" x14ac:dyDescent="0.25">
      <c r="I4114" s="46"/>
      <c r="J4114" s="26"/>
      <c r="K4114" s="26"/>
      <c r="L4114" s="26"/>
      <c r="M4114" s="26"/>
      <c r="N4114" s="26"/>
      <c r="O4114" s="26"/>
      <c r="P4114" s="26"/>
      <c r="Q4114" s="26"/>
      <c r="R4114" s="26"/>
    </row>
    <row r="4115" spans="9:18" x14ac:dyDescent="0.25">
      <c r="I4115" s="46"/>
      <c r="J4115" s="26"/>
      <c r="K4115" s="26"/>
      <c r="L4115" s="26"/>
      <c r="M4115" s="26"/>
      <c r="N4115" s="26"/>
      <c r="O4115" s="26"/>
      <c r="P4115" s="26"/>
      <c r="Q4115" s="26"/>
      <c r="R4115" s="26"/>
    </row>
    <row r="4116" spans="9:18" x14ac:dyDescent="0.25">
      <c r="I4116" s="46"/>
      <c r="J4116" s="26"/>
      <c r="K4116" s="26"/>
      <c r="L4116" s="26"/>
      <c r="M4116" s="26"/>
      <c r="N4116" s="26"/>
      <c r="O4116" s="26"/>
      <c r="P4116" s="26"/>
      <c r="Q4116" s="26"/>
      <c r="R4116" s="26"/>
    </row>
    <row r="4117" spans="9:18" x14ac:dyDescent="0.25">
      <c r="I4117" s="46"/>
      <c r="J4117" s="26"/>
      <c r="K4117" s="26"/>
      <c r="L4117" s="26"/>
      <c r="M4117" s="26"/>
      <c r="N4117" s="26"/>
      <c r="O4117" s="26"/>
      <c r="P4117" s="26"/>
      <c r="Q4117" s="26"/>
      <c r="R4117" s="26"/>
    </row>
    <row r="4118" spans="9:18" x14ac:dyDescent="0.25">
      <c r="I4118" s="46"/>
      <c r="J4118" s="26"/>
      <c r="K4118" s="26"/>
      <c r="L4118" s="26"/>
      <c r="M4118" s="26"/>
      <c r="N4118" s="26"/>
      <c r="O4118" s="26"/>
      <c r="P4118" s="26"/>
      <c r="Q4118" s="26"/>
      <c r="R4118" s="26"/>
    </row>
    <row r="4119" spans="9:18" x14ac:dyDescent="0.25">
      <c r="I4119" s="46"/>
      <c r="J4119" s="26"/>
      <c r="K4119" s="26"/>
      <c r="L4119" s="26"/>
      <c r="M4119" s="26"/>
      <c r="N4119" s="26"/>
      <c r="O4119" s="26"/>
      <c r="P4119" s="26"/>
      <c r="Q4119" s="26"/>
      <c r="R4119" s="26"/>
    </row>
    <row r="4120" spans="9:18" x14ac:dyDescent="0.25">
      <c r="I4120" s="46"/>
      <c r="J4120" s="26"/>
      <c r="K4120" s="26"/>
      <c r="L4120" s="26"/>
      <c r="M4120" s="26"/>
      <c r="N4120" s="26"/>
      <c r="O4120" s="26"/>
      <c r="P4120" s="26"/>
      <c r="Q4120" s="26"/>
      <c r="R4120" s="26"/>
    </row>
    <row r="4121" spans="9:18" x14ac:dyDescent="0.25">
      <c r="I4121" s="46"/>
      <c r="J4121" s="26"/>
      <c r="K4121" s="26"/>
      <c r="L4121" s="26"/>
      <c r="M4121" s="26"/>
      <c r="N4121" s="26"/>
      <c r="O4121" s="26"/>
      <c r="P4121" s="26"/>
      <c r="Q4121" s="26"/>
      <c r="R4121" s="26"/>
    </row>
    <row r="4122" spans="9:18" x14ac:dyDescent="0.25">
      <c r="I4122" s="46"/>
      <c r="J4122" s="26"/>
      <c r="K4122" s="26"/>
      <c r="L4122" s="26"/>
      <c r="M4122" s="26"/>
      <c r="N4122" s="26"/>
      <c r="O4122" s="26"/>
      <c r="P4122" s="26"/>
      <c r="Q4122" s="26"/>
      <c r="R4122" s="26"/>
    </row>
    <row r="4123" spans="9:18" x14ac:dyDescent="0.25">
      <c r="I4123" s="46"/>
      <c r="J4123" s="26"/>
      <c r="K4123" s="26"/>
      <c r="L4123" s="26"/>
      <c r="M4123" s="26"/>
      <c r="N4123" s="26"/>
      <c r="O4123" s="26"/>
      <c r="P4123" s="26"/>
      <c r="Q4123" s="26"/>
      <c r="R4123" s="26"/>
    </row>
    <row r="4124" spans="9:18" x14ac:dyDescent="0.25">
      <c r="I4124" s="46"/>
      <c r="J4124" s="26"/>
      <c r="K4124" s="26"/>
      <c r="L4124" s="26"/>
      <c r="M4124" s="26"/>
      <c r="N4124" s="26"/>
      <c r="O4124" s="26"/>
      <c r="P4124" s="26"/>
      <c r="Q4124" s="26"/>
      <c r="R4124" s="26"/>
    </row>
    <row r="4125" spans="9:18" x14ac:dyDescent="0.25">
      <c r="I4125" s="46"/>
      <c r="J4125" s="26"/>
      <c r="K4125" s="26"/>
      <c r="L4125" s="26"/>
      <c r="M4125" s="26"/>
      <c r="N4125" s="26"/>
      <c r="O4125" s="26"/>
      <c r="P4125" s="26"/>
      <c r="Q4125" s="26"/>
      <c r="R4125" s="26"/>
    </row>
    <row r="4126" spans="9:18" x14ac:dyDescent="0.25">
      <c r="I4126" s="46"/>
      <c r="J4126" s="26"/>
      <c r="K4126" s="26"/>
      <c r="L4126" s="26"/>
      <c r="M4126" s="26"/>
      <c r="N4126" s="26"/>
      <c r="O4126" s="26"/>
      <c r="P4126" s="26"/>
      <c r="Q4126" s="26"/>
      <c r="R4126" s="26"/>
    </row>
    <row r="4127" spans="9:18" x14ac:dyDescent="0.25">
      <c r="I4127" s="46"/>
      <c r="J4127" s="26"/>
      <c r="K4127" s="26"/>
      <c r="L4127" s="26"/>
      <c r="M4127" s="26"/>
      <c r="N4127" s="26"/>
      <c r="O4127" s="26"/>
      <c r="P4127" s="26"/>
      <c r="Q4127" s="26"/>
      <c r="R4127" s="26"/>
    </row>
    <row r="4128" spans="9:18" x14ac:dyDescent="0.25">
      <c r="I4128" s="46"/>
      <c r="J4128" s="26"/>
      <c r="K4128" s="26"/>
      <c r="L4128" s="26"/>
      <c r="M4128" s="26"/>
      <c r="N4128" s="26"/>
      <c r="O4128" s="26"/>
      <c r="P4128" s="26"/>
      <c r="Q4128" s="26"/>
      <c r="R4128" s="26"/>
    </row>
    <row r="4129" spans="9:18" x14ac:dyDescent="0.25">
      <c r="I4129" s="46"/>
      <c r="J4129" s="26"/>
      <c r="K4129" s="26"/>
      <c r="L4129" s="26"/>
      <c r="M4129" s="26"/>
      <c r="N4129" s="26"/>
      <c r="O4129" s="26"/>
      <c r="P4129" s="26"/>
      <c r="Q4129" s="26"/>
      <c r="R4129" s="26"/>
    </row>
    <row r="4130" spans="9:18" x14ac:dyDescent="0.25">
      <c r="I4130" s="46"/>
      <c r="J4130" s="26"/>
      <c r="K4130" s="26"/>
      <c r="L4130" s="26"/>
      <c r="M4130" s="26"/>
      <c r="N4130" s="26"/>
      <c r="O4130" s="26"/>
      <c r="P4130" s="26"/>
      <c r="Q4130" s="26"/>
      <c r="R4130" s="26"/>
    </row>
    <row r="4131" spans="9:18" x14ac:dyDescent="0.25">
      <c r="I4131" s="46"/>
      <c r="J4131" s="26"/>
      <c r="K4131" s="26"/>
      <c r="L4131" s="26"/>
      <c r="M4131" s="26"/>
      <c r="N4131" s="26"/>
      <c r="O4131" s="26"/>
      <c r="P4131" s="26"/>
      <c r="Q4131" s="26"/>
      <c r="R4131" s="26"/>
    </row>
    <row r="4132" spans="9:18" x14ac:dyDescent="0.25">
      <c r="I4132" s="46"/>
      <c r="J4132" s="26"/>
      <c r="K4132" s="26"/>
      <c r="L4132" s="26"/>
      <c r="M4132" s="26"/>
      <c r="N4132" s="26"/>
      <c r="O4132" s="26"/>
      <c r="P4132" s="26"/>
      <c r="Q4132" s="26"/>
      <c r="R4132" s="26"/>
    </row>
    <row r="4133" spans="9:18" x14ac:dyDescent="0.25">
      <c r="I4133" s="46"/>
      <c r="J4133" s="26"/>
      <c r="K4133" s="26"/>
      <c r="L4133" s="26"/>
      <c r="M4133" s="26"/>
      <c r="N4133" s="26"/>
      <c r="O4133" s="26"/>
      <c r="P4133" s="26"/>
      <c r="Q4133" s="26"/>
      <c r="R4133" s="26"/>
    </row>
    <row r="4134" spans="9:18" x14ac:dyDescent="0.25">
      <c r="I4134" s="46"/>
      <c r="J4134" s="26"/>
      <c r="K4134" s="26"/>
      <c r="L4134" s="26"/>
      <c r="M4134" s="26"/>
      <c r="N4134" s="26"/>
      <c r="O4134" s="26"/>
      <c r="P4134" s="26"/>
      <c r="Q4134" s="26"/>
      <c r="R4134" s="26"/>
    </row>
    <row r="4135" spans="9:18" x14ac:dyDescent="0.25">
      <c r="I4135" s="46"/>
      <c r="J4135" s="26"/>
      <c r="K4135" s="26"/>
      <c r="L4135" s="26"/>
      <c r="M4135" s="26"/>
      <c r="N4135" s="26"/>
      <c r="O4135" s="26"/>
      <c r="P4135" s="26"/>
      <c r="Q4135" s="26"/>
      <c r="R4135" s="26"/>
    </row>
    <row r="4136" spans="9:18" x14ac:dyDescent="0.25">
      <c r="I4136" s="46"/>
      <c r="J4136" s="26"/>
      <c r="K4136" s="26"/>
      <c r="L4136" s="26"/>
      <c r="M4136" s="26"/>
      <c r="N4136" s="26"/>
      <c r="O4136" s="26"/>
      <c r="P4136" s="26"/>
      <c r="Q4136" s="26"/>
      <c r="R4136" s="26"/>
    </row>
    <row r="4137" spans="9:18" x14ac:dyDescent="0.25">
      <c r="I4137" s="46"/>
      <c r="J4137" s="26"/>
      <c r="K4137" s="26"/>
      <c r="L4137" s="26"/>
      <c r="M4137" s="26"/>
      <c r="N4137" s="26"/>
      <c r="O4137" s="26"/>
      <c r="P4137" s="26"/>
      <c r="Q4137" s="26"/>
      <c r="R4137" s="26"/>
    </row>
    <row r="4138" spans="9:18" x14ac:dyDescent="0.25">
      <c r="I4138" s="46"/>
      <c r="J4138" s="26"/>
      <c r="K4138" s="26"/>
      <c r="L4138" s="26"/>
      <c r="M4138" s="26"/>
      <c r="N4138" s="26"/>
      <c r="O4138" s="26"/>
      <c r="P4138" s="26"/>
      <c r="Q4138" s="26"/>
      <c r="R4138" s="26"/>
    </row>
    <row r="4139" spans="9:18" x14ac:dyDescent="0.25">
      <c r="I4139" s="46"/>
      <c r="J4139" s="26"/>
      <c r="K4139" s="26"/>
      <c r="L4139" s="26"/>
      <c r="M4139" s="26"/>
      <c r="N4139" s="26"/>
      <c r="O4139" s="26"/>
      <c r="P4139" s="26"/>
      <c r="Q4139" s="26"/>
      <c r="R4139" s="26"/>
    </row>
    <row r="4140" spans="9:18" x14ac:dyDescent="0.25">
      <c r="I4140" s="46"/>
      <c r="J4140" s="26"/>
      <c r="K4140" s="26"/>
      <c r="L4140" s="26"/>
      <c r="M4140" s="26"/>
      <c r="N4140" s="26"/>
      <c r="O4140" s="26"/>
      <c r="P4140" s="26"/>
      <c r="Q4140" s="26"/>
      <c r="R4140" s="26"/>
    </row>
    <row r="4141" spans="9:18" x14ac:dyDescent="0.25">
      <c r="I4141" s="46"/>
      <c r="J4141" s="26"/>
      <c r="K4141" s="26"/>
      <c r="L4141" s="26"/>
      <c r="M4141" s="26"/>
      <c r="N4141" s="26"/>
      <c r="O4141" s="26"/>
      <c r="P4141" s="26"/>
      <c r="Q4141" s="26"/>
      <c r="R4141" s="26"/>
    </row>
    <row r="4142" spans="9:18" x14ac:dyDescent="0.25">
      <c r="I4142" s="46"/>
      <c r="J4142" s="26"/>
      <c r="K4142" s="26"/>
      <c r="L4142" s="26"/>
      <c r="M4142" s="26"/>
      <c r="N4142" s="26"/>
      <c r="O4142" s="26"/>
      <c r="P4142" s="26"/>
      <c r="Q4142" s="26"/>
      <c r="R4142" s="26"/>
    </row>
    <row r="4143" spans="9:18" x14ac:dyDescent="0.25">
      <c r="I4143" s="46"/>
      <c r="J4143" s="26"/>
      <c r="K4143" s="26"/>
      <c r="L4143" s="26"/>
      <c r="M4143" s="26"/>
      <c r="N4143" s="26"/>
      <c r="O4143" s="26"/>
      <c r="P4143" s="26"/>
      <c r="Q4143" s="26"/>
      <c r="R4143" s="26"/>
    </row>
    <row r="4144" spans="9:18" x14ac:dyDescent="0.25">
      <c r="I4144" s="46"/>
      <c r="J4144" s="26"/>
      <c r="K4144" s="26"/>
      <c r="L4144" s="26"/>
      <c r="M4144" s="26"/>
      <c r="N4144" s="26"/>
      <c r="O4144" s="26"/>
      <c r="P4144" s="26"/>
      <c r="Q4144" s="26"/>
      <c r="R4144" s="26"/>
    </row>
    <row r="4145" spans="9:18" x14ac:dyDescent="0.25">
      <c r="I4145" s="46"/>
      <c r="J4145" s="26"/>
      <c r="K4145" s="26"/>
      <c r="L4145" s="26"/>
      <c r="M4145" s="26"/>
      <c r="N4145" s="26"/>
      <c r="O4145" s="26"/>
      <c r="P4145" s="26"/>
      <c r="Q4145" s="26"/>
      <c r="R4145" s="26"/>
    </row>
    <row r="4146" spans="9:18" x14ac:dyDescent="0.25">
      <c r="I4146" s="46"/>
      <c r="J4146" s="26"/>
      <c r="K4146" s="26"/>
      <c r="L4146" s="26"/>
      <c r="M4146" s="26"/>
      <c r="N4146" s="26"/>
      <c r="O4146" s="26"/>
      <c r="P4146" s="26"/>
      <c r="Q4146" s="26"/>
      <c r="R4146" s="26"/>
    </row>
    <row r="4147" spans="9:18" x14ac:dyDescent="0.25">
      <c r="I4147" s="46"/>
      <c r="J4147" s="26"/>
      <c r="K4147" s="26"/>
      <c r="L4147" s="26"/>
      <c r="M4147" s="26"/>
      <c r="N4147" s="26"/>
      <c r="O4147" s="26"/>
      <c r="P4147" s="26"/>
      <c r="Q4147" s="26"/>
      <c r="R4147" s="26"/>
    </row>
    <row r="4148" spans="9:18" x14ac:dyDescent="0.25">
      <c r="I4148" s="46"/>
      <c r="J4148" s="26"/>
      <c r="K4148" s="26"/>
      <c r="L4148" s="26"/>
      <c r="M4148" s="26"/>
      <c r="N4148" s="26"/>
      <c r="O4148" s="26"/>
      <c r="P4148" s="26"/>
      <c r="Q4148" s="26"/>
      <c r="R4148" s="26"/>
    </row>
    <row r="4149" spans="9:18" x14ac:dyDescent="0.25">
      <c r="I4149" s="46"/>
      <c r="J4149" s="26"/>
      <c r="K4149" s="26"/>
      <c r="L4149" s="26"/>
      <c r="M4149" s="26"/>
      <c r="N4149" s="26"/>
      <c r="O4149" s="26"/>
      <c r="P4149" s="26"/>
      <c r="Q4149" s="26"/>
      <c r="R4149" s="26"/>
    </row>
    <row r="4150" spans="9:18" x14ac:dyDescent="0.25">
      <c r="I4150" s="46"/>
      <c r="J4150" s="26"/>
      <c r="K4150" s="26"/>
      <c r="L4150" s="26"/>
      <c r="M4150" s="26"/>
      <c r="N4150" s="26"/>
      <c r="O4150" s="26"/>
      <c r="P4150" s="26"/>
      <c r="Q4150" s="26"/>
      <c r="R4150" s="26"/>
    </row>
    <row r="4151" spans="9:18" x14ac:dyDescent="0.25">
      <c r="I4151" s="46"/>
      <c r="J4151" s="26"/>
      <c r="K4151" s="26"/>
      <c r="L4151" s="26"/>
      <c r="M4151" s="26"/>
      <c r="N4151" s="26"/>
      <c r="O4151" s="26"/>
      <c r="P4151" s="26"/>
      <c r="Q4151" s="26"/>
      <c r="R4151" s="26"/>
    </row>
    <row r="4152" spans="9:18" x14ac:dyDescent="0.25">
      <c r="I4152" s="46"/>
      <c r="J4152" s="26"/>
      <c r="K4152" s="26"/>
      <c r="L4152" s="26"/>
      <c r="M4152" s="26"/>
      <c r="N4152" s="26"/>
      <c r="O4152" s="26"/>
      <c r="P4152" s="26"/>
      <c r="Q4152" s="26"/>
      <c r="R4152" s="26"/>
    </row>
    <row r="4153" spans="9:18" x14ac:dyDescent="0.25">
      <c r="I4153" s="46"/>
      <c r="J4153" s="26"/>
      <c r="K4153" s="26"/>
      <c r="L4153" s="26"/>
      <c r="M4153" s="26"/>
      <c r="N4153" s="26"/>
      <c r="O4153" s="26"/>
      <c r="P4153" s="26"/>
      <c r="Q4153" s="26"/>
      <c r="R4153" s="26"/>
    </row>
    <row r="4154" spans="9:18" x14ac:dyDescent="0.25">
      <c r="I4154" s="46"/>
      <c r="J4154" s="26"/>
      <c r="K4154" s="26"/>
      <c r="L4154" s="26"/>
      <c r="M4154" s="26"/>
      <c r="N4154" s="26"/>
      <c r="O4154" s="26"/>
      <c r="P4154" s="26"/>
      <c r="Q4154" s="26"/>
      <c r="R4154" s="26"/>
    </row>
    <row r="4155" spans="9:18" x14ac:dyDescent="0.25">
      <c r="I4155" s="46"/>
      <c r="J4155" s="26"/>
      <c r="K4155" s="26"/>
      <c r="L4155" s="26"/>
      <c r="M4155" s="26"/>
      <c r="N4155" s="26"/>
      <c r="O4155" s="26"/>
      <c r="P4155" s="26"/>
      <c r="Q4155" s="26"/>
      <c r="R4155" s="26"/>
    </row>
    <row r="4156" spans="9:18" x14ac:dyDescent="0.25">
      <c r="I4156" s="46"/>
      <c r="J4156" s="26"/>
      <c r="K4156" s="26"/>
      <c r="L4156" s="26"/>
      <c r="M4156" s="26"/>
      <c r="N4156" s="26"/>
      <c r="O4156" s="26"/>
      <c r="P4156" s="26"/>
      <c r="Q4156" s="26"/>
      <c r="R4156" s="26"/>
    </row>
    <row r="4157" spans="9:18" x14ac:dyDescent="0.25">
      <c r="I4157" s="46"/>
      <c r="J4157" s="26"/>
      <c r="K4157" s="26"/>
      <c r="L4157" s="26"/>
      <c r="M4157" s="26"/>
      <c r="N4157" s="26"/>
      <c r="O4157" s="26"/>
      <c r="P4157" s="26"/>
      <c r="Q4157" s="26"/>
      <c r="R4157" s="26"/>
    </row>
    <row r="4158" spans="9:18" x14ac:dyDescent="0.25">
      <c r="I4158" s="46"/>
      <c r="J4158" s="26"/>
      <c r="K4158" s="26"/>
      <c r="L4158" s="26"/>
      <c r="M4158" s="26"/>
      <c r="N4158" s="26"/>
      <c r="O4158" s="26"/>
      <c r="P4158" s="26"/>
      <c r="Q4158" s="26"/>
      <c r="R4158" s="26"/>
    </row>
    <row r="4159" spans="9:18" x14ac:dyDescent="0.25">
      <c r="I4159" s="46"/>
      <c r="J4159" s="26"/>
      <c r="K4159" s="26"/>
      <c r="L4159" s="26"/>
      <c r="M4159" s="26"/>
      <c r="N4159" s="26"/>
      <c r="O4159" s="26"/>
      <c r="P4159" s="26"/>
      <c r="Q4159" s="26"/>
      <c r="R4159" s="26"/>
    </row>
    <row r="4160" spans="9:18" x14ac:dyDescent="0.25">
      <c r="I4160" s="46"/>
      <c r="J4160" s="26"/>
      <c r="K4160" s="26"/>
      <c r="L4160" s="26"/>
      <c r="M4160" s="26"/>
      <c r="N4160" s="26"/>
      <c r="O4160" s="26"/>
      <c r="P4160" s="26"/>
      <c r="Q4160" s="26"/>
      <c r="R4160" s="26"/>
    </row>
    <row r="4161" spans="9:18" x14ac:dyDescent="0.25">
      <c r="I4161" s="46"/>
      <c r="J4161" s="26"/>
      <c r="K4161" s="26"/>
      <c r="L4161" s="26"/>
      <c r="M4161" s="26"/>
      <c r="N4161" s="26"/>
      <c r="O4161" s="26"/>
      <c r="P4161" s="26"/>
      <c r="Q4161" s="26"/>
      <c r="R4161" s="26"/>
    </row>
    <row r="4162" spans="9:18" x14ac:dyDescent="0.25">
      <c r="I4162" s="46"/>
      <c r="J4162" s="26"/>
      <c r="K4162" s="26"/>
      <c r="L4162" s="26"/>
      <c r="M4162" s="26"/>
      <c r="N4162" s="26"/>
      <c r="O4162" s="26"/>
      <c r="P4162" s="26"/>
      <c r="Q4162" s="26"/>
      <c r="R4162" s="26"/>
    </row>
    <row r="4163" spans="9:18" x14ac:dyDescent="0.25">
      <c r="I4163" s="46"/>
      <c r="J4163" s="26"/>
      <c r="K4163" s="26"/>
      <c r="L4163" s="26"/>
      <c r="M4163" s="26"/>
      <c r="N4163" s="26"/>
      <c r="O4163" s="26"/>
      <c r="P4163" s="26"/>
      <c r="Q4163" s="26"/>
      <c r="R4163" s="26"/>
    </row>
    <row r="4164" spans="9:18" x14ac:dyDescent="0.25">
      <c r="I4164" s="46"/>
      <c r="J4164" s="26"/>
      <c r="K4164" s="26"/>
      <c r="L4164" s="26"/>
      <c r="M4164" s="26"/>
      <c r="N4164" s="26"/>
      <c r="O4164" s="26"/>
      <c r="P4164" s="26"/>
      <c r="Q4164" s="26"/>
      <c r="R4164" s="26"/>
    </row>
    <row r="4165" spans="9:18" x14ac:dyDescent="0.25">
      <c r="I4165" s="46"/>
      <c r="J4165" s="26"/>
      <c r="K4165" s="26"/>
      <c r="L4165" s="26"/>
      <c r="M4165" s="26"/>
      <c r="N4165" s="26"/>
      <c r="O4165" s="26"/>
      <c r="P4165" s="26"/>
      <c r="Q4165" s="26"/>
      <c r="R4165" s="26"/>
    </row>
    <row r="4166" spans="9:18" x14ac:dyDescent="0.25">
      <c r="I4166" s="46"/>
      <c r="J4166" s="26"/>
      <c r="K4166" s="26"/>
      <c r="L4166" s="26"/>
      <c r="M4166" s="26"/>
      <c r="N4166" s="26"/>
      <c r="O4166" s="26"/>
      <c r="P4166" s="26"/>
      <c r="Q4166" s="26"/>
      <c r="R4166" s="26"/>
    </row>
    <row r="4167" spans="9:18" x14ac:dyDescent="0.25">
      <c r="I4167" s="46"/>
      <c r="J4167" s="26"/>
      <c r="K4167" s="26"/>
      <c r="L4167" s="26"/>
      <c r="M4167" s="26"/>
      <c r="N4167" s="26"/>
      <c r="O4167" s="26"/>
      <c r="P4167" s="26"/>
      <c r="Q4167" s="26"/>
      <c r="R4167" s="26"/>
    </row>
    <row r="4168" spans="9:18" x14ac:dyDescent="0.25">
      <c r="I4168" s="46"/>
      <c r="J4168" s="26"/>
      <c r="K4168" s="26"/>
      <c r="L4168" s="26"/>
      <c r="M4168" s="26"/>
      <c r="N4168" s="26"/>
      <c r="O4168" s="26"/>
      <c r="P4168" s="26"/>
      <c r="Q4168" s="26"/>
      <c r="R4168" s="26"/>
    </row>
    <row r="4169" spans="9:18" x14ac:dyDescent="0.25">
      <c r="I4169" s="46"/>
      <c r="J4169" s="26"/>
      <c r="K4169" s="26"/>
      <c r="L4169" s="26"/>
      <c r="M4169" s="26"/>
      <c r="N4169" s="26"/>
      <c r="O4169" s="26"/>
      <c r="P4169" s="26"/>
      <c r="Q4169" s="26"/>
      <c r="R4169" s="26"/>
    </row>
    <row r="4170" spans="9:18" x14ac:dyDescent="0.25">
      <c r="I4170" s="46"/>
      <c r="J4170" s="26"/>
      <c r="K4170" s="26"/>
      <c r="L4170" s="26"/>
      <c r="M4170" s="26"/>
      <c r="N4170" s="26"/>
      <c r="O4170" s="26"/>
      <c r="P4170" s="26"/>
      <c r="Q4170" s="26"/>
      <c r="R4170" s="26"/>
    </row>
    <row r="4171" spans="9:18" x14ac:dyDescent="0.25">
      <c r="I4171" s="46"/>
      <c r="J4171" s="26"/>
      <c r="K4171" s="26"/>
      <c r="L4171" s="26"/>
      <c r="M4171" s="26"/>
      <c r="N4171" s="26"/>
      <c r="O4171" s="26"/>
      <c r="P4171" s="26"/>
      <c r="Q4171" s="26"/>
      <c r="R4171" s="26"/>
    </row>
    <row r="4172" spans="9:18" x14ac:dyDescent="0.25">
      <c r="I4172" s="46"/>
      <c r="J4172" s="26"/>
      <c r="K4172" s="26"/>
      <c r="L4172" s="26"/>
      <c r="M4172" s="26"/>
      <c r="N4172" s="26"/>
      <c r="O4172" s="26"/>
      <c r="P4172" s="26"/>
      <c r="Q4172" s="26"/>
      <c r="R4172" s="26"/>
    </row>
    <row r="4173" spans="9:18" x14ac:dyDescent="0.25">
      <c r="I4173" s="46"/>
      <c r="J4173" s="26"/>
      <c r="K4173" s="26"/>
      <c r="L4173" s="26"/>
      <c r="M4173" s="26"/>
      <c r="N4173" s="26"/>
      <c r="O4173" s="26"/>
      <c r="P4173" s="26"/>
      <c r="Q4173" s="26"/>
      <c r="R4173" s="26"/>
    </row>
    <row r="4174" spans="9:18" x14ac:dyDescent="0.25">
      <c r="I4174" s="46"/>
      <c r="J4174" s="26"/>
      <c r="K4174" s="26"/>
      <c r="L4174" s="26"/>
      <c r="M4174" s="26"/>
      <c r="N4174" s="26"/>
      <c r="O4174" s="26"/>
      <c r="P4174" s="26"/>
      <c r="Q4174" s="26"/>
      <c r="R4174" s="26"/>
    </row>
    <row r="4175" spans="9:18" x14ac:dyDescent="0.25">
      <c r="I4175" s="46"/>
      <c r="J4175" s="26"/>
      <c r="K4175" s="26"/>
      <c r="L4175" s="26"/>
      <c r="M4175" s="26"/>
      <c r="N4175" s="26"/>
      <c r="O4175" s="26"/>
      <c r="P4175" s="26"/>
      <c r="Q4175" s="26"/>
      <c r="R4175" s="26"/>
    </row>
    <row r="4176" spans="9:18" x14ac:dyDescent="0.25">
      <c r="I4176" s="46"/>
      <c r="J4176" s="26"/>
      <c r="K4176" s="26"/>
      <c r="L4176" s="26"/>
      <c r="M4176" s="26"/>
      <c r="N4176" s="26"/>
      <c r="O4176" s="26"/>
      <c r="P4176" s="26"/>
      <c r="Q4176" s="26"/>
      <c r="R4176" s="26"/>
    </row>
    <row r="4177" spans="9:18" x14ac:dyDescent="0.25">
      <c r="I4177" s="46"/>
      <c r="J4177" s="26"/>
      <c r="K4177" s="26"/>
      <c r="L4177" s="26"/>
      <c r="M4177" s="26"/>
      <c r="N4177" s="26"/>
      <c r="O4177" s="26"/>
      <c r="P4177" s="26"/>
      <c r="Q4177" s="26"/>
      <c r="R4177" s="26"/>
    </row>
    <row r="4178" spans="9:18" x14ac:dyDescent="0.25">
      <c r="I4178" s="46"/>
      <c r="J4178" s="26"/>
      <c r="K4178" s="26"/>
      <c r="L4178" s="26"/>
      <c r="M4178" s="26"/>
      <c r="N4178" s="26"/>
      <c r="O4178" s="26"/>
      <c r="P4178" s="26"/>
      <c r="Q4178" s="26"/>
      <c r="R4178" s="26"/>
    </row>
    <row r="4179" spans="9:18" x14ac:dyDescent="0.25">
      <c r="I4179" s="46"/>
      <c r="J4179" s="26"/>
      <c r="K4179" s="26"/>
      <c r="L4179" s="26"/>
      <c r="M4179" s="26"/>
      <c r="N4179" s="26"/>
      <c r="O4179" s="26"/>
      <c r="P4179" s="26"/>
      <c r="Q4179" s="26"/>
      <c r="R4179" s="26"/>
    </row>
    <row r="4180" spans="9:18" x14ac:dyDescent="0.25">
      <c r="I4180" s="46"/>
      <c r="J4180" s="26"/>
      <c r="K4180" s="26"/>
      <c r="L4180" s="26"/>
      <c r="M4180" s="26"/>
      <c r="N4180" s="26"/>
      <c r="O4180" s="26"/>
      <c r="P4180" s="26"/>
      <c r="Q4180" s="26"/>
      <c r="R4180" s="26"/>
    </row>
    <row r="4181" spans="9:18" x14ac:dyDescent="0.25">
      <c r="I4181" s="46"/>
      <c r="J4181" s="26"/>
      <c r="K4181" s="26"/>
      <c r="L4181" s="26"/>
      <c r="M4181" s="26"/>
      <c r="N4181" s="26"/>
      <c r="O4181" s="26"/>
      <c r="P4181" s="26"/>
      <c r="Q4181" s="26"/>
      <c r="R4181" s="26"/>
    </row>
    <row r="4182" spans="9:18" x14ac:dyDescent="0.25">
      <c r="I4182" s="46"/>
      <c r="J4182" s="26"/>
      <c r="K4182" s="26"/>
      <c r="L4182" s="26"/>
      <c r="M4182" s="26"/>
      <c r="N4182" s="26"/>
      <c r="O4182" s="26"/>
      <c r="P4182" s="26"/>
      <c r="Q4182" s="26"/>
      <c r="R4182" s="26"/>
    </row>
    <row r="4183" spans="9:18" x14ac:dyDescent="0.25">
      <c r="I4183" s="46"/>
      <c r="J4183" s="26"/>
      <c r="K4183" s="26"/>
      <c r="L4183" s="26"/>
      <c r="M4183" s="26"/>
      <c r="N4183" s="26"/>
      <c r="O4183" s="26"/>
      <c r="P4183" s="26"/>
      <c r="Q4183" s="26"/>
      <c r="R4183" s="26"/>
    </row>
    <row r="4184" spans="9:18" x14ac:dyDescent="0.25">
      <c r="I4184" s="46"/>
      <c r="J4184" s="26"/>
      <c r="K4184" s="26"/>
      <c r="L4184" s="26"/>
      <c r="M4184" s="26"/>
      <c r="N4184" s="26"/>
      <c r="O4184" s="26"/>
      <c r="P4184" s="26"/>
      <c r="Q4184" s="26"/>
      <c r="R4184" s="26"/>
    </row>
    <row r="4185" spans="9:18" x14ac:dyDescent="0.25">
      <c r="I4185" s="46"/>
      <c r="J4185" s="26"/>
      <c r="K4185" s="26"/>
      <c r="L4185" s="26"/>
      <c r="M4185" s="26"/>
      <c r="N4185" s="26"/>
      <c r="O4185" s="26"/>
      <c r="P4185" s="26"/>
      <c r="Q4185" s="26"/>
      <c r="R4185" s="26"/>
    </row>
    <row r="4186" spans="9:18" x14ac:dyDescent="0.25">
      <c r="I4186" s="46"/>
      <c r="J4186" s="26"/>
      <c r="K4186" s="26"/>
      <c r="L4186" s="26"/>
      <c r="M4186" s="26"/>
      <c r="N4186" s="26"/>
      <c r="O4186" s="26"/>
      <c r="P4186" s="26"/>
      <c r="Q4186" s="26"/>
      <c r="R4186" s="26"/>
    </row>
    <row r="4187" spans="9:18" x14ac:dyDescent="0.25">
      <c r="I4187" s="46"/>
      <c r="J4187" s="26"/>
      <c r="K4187" s="26"/>
      <c r="L4187" s="26"/>
      <c r="M4187" s="26"/>
      <c r="N4187" s="26"/>
      <c r="O4187" s="26"/>
      <c r="P4187" s="26"/>
      <c r="Q4187" s="26"/>
      <c r="R4187" s="26"/>
    </row>
    <row r="4188" spans="9:18" x14ac:dyDescent="0.25">
      <c r="I4188" s="46"/>
      <c r="J4188" s="26"/>
      <c r="K4188" s="26"/>
      <c r="L4188" s="26"/>
      <c r="M4188" s="26"/>
      <c r="N4188" s="26"/>
      <c r="O4188" s="26"/>
      <c r="P4188" s="26"/>
      <c r="Q4188" s="26"/>
      <c r="R4188" s="26"/>
    </row>
    <row r="4189" spans="9:18" x14ac:dyDescent="0.25">
      <c r="I4189" s="46"/>
      <c r="J4189" s="26"/>
      <c r="K4189" s="26"/>
      <c r="L4189" s="26"/>
      <c r="M4189" s="26"/>
      <c r="N4189" s="26"/>
      <c r="O4189" s="26"/>
      <c r="P4189" s="26"/>
      <c r="Q4189" s="26"/>
      <c r="R4189" s="26"/>
    </row>
    <row r="4190" spans="9:18" x14ac:dyDescent="0.25">
      <c r="I4190" s="46"/>
      <c r="J4190" s="26"/>
      <c r="K4190" s="26"/>
      <c r="L4190" s="26"/>
      <c r="M4190" s="26"/>
      <c r="N4190" s="26"/>
      <c r="O4190" s="26"/>
      <c r="P4190" s="26"/>
      <c r="Q4190" s="26"/>
      <c r="R4190" s="26"/>
    </row>
    <row r="4191" spans="9:18" x14ac:dyDescent="0.25">
      <c r="I4191" s="46"/>
      <c r="J4191" s="26"/>
      <c r="K4191" s="26"/>
      <c r="L4191" s="26"/>
      <c r="M4191" s="26"/>
      <c r="N4191" s="26"/>
      <c r="O4191" s="26"/>
      <c r="P4191" s="26"/>
      <c r="Q4191" s="26"/>
      <c r="R4191" s="26"/>
    </row>
    <row r="4192" spans="9:18" x14ac:dyDescent="0.25">
      <c r="I4192" s="46"/>
      <c r="J4192" s="26"/>
      <c r="K4192" s="26"/>
      <c r="L4192" s="26"/>
      <c r="M4192" s="26"/>
      <c r="N4192" s="26"/>
      <c r="O4192" s="26"/>
      <c r="P4192" s="26"/>
      <c r="Q4192" s="26"/>
      <c r="R4192" s="26"/>
    </row>
    <row r="4193" spans="9:18" x14ac:dyDescent="0.25">
      <c r="I4193" s="46"/>
      <c r="J4193" s="26"/>
      <c r="K4193" s="26"/>
      <c r="L4193" s="26"/>
      <c r="M4193" s="26"/>
      <c r="N4193" s="26"/>
      <c r="O4193" s="26"/>
      <c r="P4193" s="26"/>
      <c r="Q4193" s="26"/>
      <c r="R4193" s="26"/>
    </row>
    <row r="4194" spans="9:18" x14ac:dyDescent="0.25">
      <c r="I4194" s="46"/>
      <c r="J4194" s="26"/>
      <c r="K4194" s="26"/>
      <c r="L4194" s="26"/>
      <c r="M4194" s="26"/>
      <c r="N4194" s="26"/>
      <c r="O4194" s="26"/>
      <c r="P4194" s="26"/>
      <c r="Q4194" s="26"/>
      <c r="R4194" s="26"/>
    </row>
    <row r="4195" spans="9:18" x14ac:dyDescent="0.25">
      <c r="I4195" s="46"/>
      <c r="J4195" s="26"/>
      <c r="K4195" s="26"/>
      <c r="L4195" s="26"/>
      <c r="M4195" s="26"/>
      <c r="N4195" s="26"/>
      <c r="O4195" s="26"/>
      <c r="P4195" s="26"/>
      <c r="Q4195" s="26"/>
      <c r="R4195" s="26"/>
    </row>
    <row r="4196" spans="9:18" x14ac:dyDescent="0.25">
      <c r="I4196" s="46"/>
      <c r="J4196" s="26"/>
      <c r="K4196" s="26"/>
      <c r="L4196" s="26"/>
      <c r="M4196" s="26"/>
      <c r="N4196" s="26"/>
      <c r="O4196" s="26"/>
      <c r="P4196" s="26"/>
      <c r="Q4196" s="26"/>
      <c r="R4196" s="26"/>
    </row>
    <row r="4197" spans="9:18" x14ac:dyDescent="0.25">
      <c r="I4197" s="46"/>
      <c r="J4197" s="26"/>
      <c r="K4197" s="26"/>
      <c r="L4197" s="26"/>
      <c r="M4197" s="26"/>
      <c r="N4197" s="26"/>
      <c r="O4197" s="26"/>
      <c r="P4197" s="26"/>
      <c r="Q4197" s="26"/>
      <c r="R4197" s="26"/>
    </row>
    <row r="4198" spans="9:18" x14ac:dyDescent="0.25">
      <c r="I4198" s="46"/>
      <c r="J4198" s="26"/>
      <c r="K4198" s="26"/>
      <c r="L4198" s="26"/>
      <c r="M4198" s="26"/>
      <c r="N4198" s="26"/>
      <c r="O4198" s="26"/>
      <c r="P4198" s="26"/>
      <c r="Q4198" s="26"/>
      <c r="R4198" s="26"/>
    </row>
    <row r="4199" spans="9:18" x14ac:dyDescent="0.25">
      <c r="I4199" s="46"/>
      <c r="J4199" s="26"/>
      <c r="K4199" s="26"/>
      <c r="L4199" s="26"/>
      <c r="M4199" s="26"/>
      <c r="N4199" s="26"/>
      <c r="O4199" s="26"/>
      <c r="P4199" s="26"/>
      <c r="Q4199" s="26"/>
      <c r="R4199" s="26"/>
    </row>
    <row r="4200" spans="9:18" x14ac:dyDescent="0.25">
      <c r="I4200" s="46"/>
      <c r="J4200" s="26"/>
      <c r="K4200" s="26"/>
      <c r="L4200" s="26"/>
      <c r="M4200" s="26"/>
      <c r="N4200" s="26"/>
      <c r="O4200" s="26"/>
      <c r="P4200" s="26"/>
      <c r="Q4200" s="26"/>
      <c r="R4200" s="26"/>
    </row>
    <row r="4201" spans="9:18" x14ac:dyDescent="0.25">
      <c r="I4201" s="46"/>
      <c r="J4201" s="26"/>
      <c r="K4201" s="26"/>
      <c r="L4201" s="26"/>
      <c r="M4201" s="26"/>
      <c r="N4201" s="26"/>
      <c r="O4201" s="26"/>
      <c r="P4201" s="26"/>
      <c r="Q4201" s="26"/>
      <c r="R4201" s="26"/>
    </row>
    <row r="4202" spans="9:18" x14ac:dyDescent="0.25">
      <c r="I4202" s="46"/>
      <c r="J4202" s="26"/>
      <c r="K4202" s="26"/>
      <c r="L4202" s="26"/>
      <c r="M4202" s="26"/>
      <c r="N4202" s="26"/>
      <c r="O4202" s="26"/>
      <c r="P4202" s="26"/>
      <c r="Q4202" s="26"/>
      <c r="R4202" s="26"/>
    </row>
    <row r="4203" spans="9:18" x14ac:dyDescent="0.25">
      <c r="I4203" s="46"/>
      <c r="J4203" s="26"/>
      <c r="K4203" s="26"/>
      <c r="L4203" s="26"/>
      <c r="M4203" s="26"/>
      <c r="N4203" s="26"/>
      <c r="O4203" s="26"/>
      <c r="P4203" s="26"/>
      <c r="Q4203" s="26"/>
      <c r="R4203" s="26"/>
    </row>
    <row r="4204" spans="9:18" x14ac:dyDescent="0.25">
      <c r="I4204" s="46"/>
      <c r="J4204" s="26"/>
      <c r="K4204" s="26"/>
      <c r="L4204" s="26"/>
      <c r="M4204" s="26"/>
      <c r="N4204" s="26"/>
      <c r="O4204" s="26"/>
      <c r="P4204" s="26"/>
      <c r="Q4204" s="26"/>
      <c r="R4204" s="26"/>
    </row>
    <row r="4205" spans="9:18" x14ac:dyDescent="0.25">
      <c r="I4205" s="46"/>
      <c r="J4205" s="26"/>
      <c r="K4205" s="26"/>
      <c r="L4205" s="26"/>
      <c r="M4205" s="26"/>
      <c r="N4205" s="26"/>
      <c r="O4205" s="26"/>
      <c r="P4205" s="26"/>
      <c r="Q4205" s="26"/>
      <c r="R4205" s="26"/>
    </row>
    <row r="4206" spans="9:18" x14ac:dyDescent="0.25">
      <c r="I4206" s="46"/>
      <c r="J4206" s="26"/>
      <c r="K4206" s="26"/>
      <c r="L4206" s="26"/>
      <c r="M4206" s="26"/>
      <c r="N4206" s="26"/>
      <c r="O4206" s="26"/>
      <c r="P4206" s="26"/>
      <c r="Q4206" s="26"/>
      <c r="R4206" s="26"/>
    </row>
    <row r="4207" spans="9:18" x14ac:dyDescent="0.25">
      <c r="I4207" s="46"/>
      <c r="J4207" s="26"/>
      <c r="K4207" s="26"/>
      <c r="L4207" s="26"/>
      <c r="M4207" s="26"/>
      <c r="N4207" s="26"/>
      <c r="O4207" s="26"/>
      <c r="P4207" s="26"/>
      <c r="Q4207" s="26"/>
      <c r="R4207" s="26"/>
    </row>
    <row r="4208" spans="9:18" x14ac:dyDescent="0.25">
      <c r="I4208" s="46"/>
      <c r="J4208" s="26"/>
      <c r="K4208" s="26"/>
      <c r="L4208" s="26"/>
      <c r="M4208" s="26"/>
      <c r="N4208" s="26"/>
      <c r="O4208" s="26"/>
      <c r="P4208" s="26"/>
      <c r="Q4208" s="26"/>
      <c r="R4208" s="26"/>
    </row>
    <row r="4209" spans="9:18" x14ac:dyDescent="0.25">
      <c r="I4209" s="46"/>
      <c r="J4209" s="26"/>
      <c r="K4209" s="26"/>
      <c r="L4209" s="26"/>
      <c r="M4209" s="26"/>
      <c r="N4209" s="26"/>
      <c r="O4209" s="26"/>
      <c r="P4209" s="26"/>
      <c r="Q4209" s="26"/>
      <c r="R4209" s="26"/>
    </row>
    <row r="4210" spans="9:18" x14ac:dyDescent="0.25">
      <c r="I4210" s="46"/>
      <c r="J4210" s="26"/>
      <c r="K4210" s="26"/>
      <c r="L4210" s="26"/>
      <c r="M4210" s="26"/>
      <c r="N4210" s="26"/>
      <c r="O4210" s="26"/>
      <c r="P4210" s="26"/>
      <c r="Q4210" s="26"/>
      <c r="R4210" s="26"/>
    </row>
    <row r="4211" spans="9:18" x14ac:dyDescent="0.25">
      <c r="I4211" s="46"/>
      <c r="J4211" s="26"/>
      <c r="K4211" s="26"/>
      <c r="L4211" s="26"/>
      <c r="M4211" s="26"/>
      <c r="N4211" s="26"/>
      <c r="O4211" s="26"/>
      <c r="P4211" s="26"/>
      <c r="Q4211" s="26"/>
      <c r="R4211" s="26"/>
    </row>
    <row r="4212" spans="9:18" x14ac:dyDescent="0.25">
      <c r="I4212" s="46"/>
      <c r="J4212" s="26"/>
      <c r="K4212" s="26"/>
      <c r="L4212" s="26"/>
      <c r="M4212" s="26"/>
      <c r="N4212" s="26"/>
      <c r="O4212" s="26"/>
      <c r="P4212" s="26"/>
      <c r="Q4212" s="26"/>
      <c r="R4212" s="26"/>
    </row>
    <row r="4213" spans="9:18" x14ac:dyDescent="0.25">
      <c r="I4213" s="46"/>
      <c r="J4213" s="26"/>
      <c r="K4213" s="26"/>
      <c r="L4213" s="26"/>
      <c r="M4213" s="26"/>
      <c r="N4213" s="26"/>
      <c r="O4213" s="26"/>
      <c r="P4213" s="26"/>
      <c r="Q4213" s="26"/>
      <c r="R4213" s="26"/>
    </row>
    <row r="4214" spans="9:18" x14ac:dyDescent="0.25">
      <c r="I4214" s="46"/>
      <c r="J4214" s="26"/>
      <c r="K4214" s="26"/>
      <c r="L4214" s="26"/>
      <c r="M4214" s="26"/>
      <c r="N4214" s="26"/>
      <c r="O4214" s="26"/>
      <c r="P4214" s="26"/>
      <c r="Q4214" s="26"/>
      <c r="R4214" s="26"/>
    </row>
    <row r="4215" spans="9:18" x14ac:dyDescent="0.25">
      <c r="I4215" s="46"/>
      <c r="J4215" s="26"/>
      <c r="K4215" s="26"/>
      <c r="L4215" s="26"/>
      <c r="M4215" s="26"/>
      <c r="N4215" s="26"/>
      <c r="O4215" s="26"/>
      <c r="P4215" s="26"/>
      <c r="Q4215" s="26"/>
      <c r="R4215" s="26"/>
    </row>
    <row r="4216" spans="9:18" x14ac:dyDescent="0.25">
      <c r="I4216" s="46"/>
      <c r="J4216" s="26"/>
      <c r="K4216" s="26"/>
      <c r="L4216" s="26"/>
      <c r="M4216" s="26"/>
      <c r="N4216" s="26"/>
      <c r="O4216" s="26"/>
      <c r="P4216" s="26"/>
      <c r="Q4216" s="26"/>
      <c r="R4216" s="26"/>
    </row>
    <row r="4217" spans="9:18" x14ac:dyDescent="0.25">
      <c r="I4217" s="46"/>
      <c r="J4217" s="26"/>
      <c r="K4217" s="26"/>
      <c r="L4217" s="26"/>
      <c r="M4217" s="26"/>
      <c r="N4217" s="26"/>
      <c r="O4217" s="26"/>
      <c r="P4217" s="26"/>
      <c r="Q4217" s="26"/>
      <c r="R4217" s="26"/>
    </row>
    <row r="4218" spans="9:18" x14ac:dyDescent="0.25">
      <c r="I4218" s="46"/>
      <c r="J4218" s="26"/>
      <c r="K4218" s="26"/>
      <c r="L4218" s="26"/>
      <c r="M4218" s="26"/>
      <c r="N4218" s="26"/>
      <c r="O4218" s="26"/>
      <c r="P4218" s="26"/>
      <c r="Q4218" s="26"/>
      <c r="R4218" s="26"/>
    </row>
    <row r="4219" spans="9:18" x14ac:dyDescent="0.25">
      <c r="I4219" s="46"/>
      <c r="J4219" s="26"/>
      <c r="K4219" s="26"/>
      <c r="L4219" s="26"/>
      <c r="M4219" s="26"/>
      <c r="N4219" s="26"/>
      <c r="O4219" s="26"/>
      <c r="P4219" s="26"/>
      <c r="Q4219" s="26"/>
      <c r="R4219" s="26"/>
    </row>
    <row r="4220" spans="9:18" x14ac:dyDescent="0.25">
      <c r="I4220" s="46"/>
      <c r="J4220" s="26"/>
      <c r="K4220" s="26"/>
      <c r="L4220" s="26"/>
      <c r="M4220" s="26"/>
      <c r="N4220" s="26"/>
      <c r="O4220" s="26"/>
      <c r="P4220" s="26"/>
      <c r="Q4220" s="26"/>
      <c r="R4220" s="26"/>
    </row>
    <row r="4221" spans="9:18" x14ac:dyDescent="0.25">
      <c r="I4221" s="46"/>
      <c r="J4221" s="26"/>
      <c r="K4221" s="26"/>
      <c r="L4221" s="26"/>
      <c r="M4221" s="26"/>
      <c r="N4221" s="26"/>
      <c r="O4221" s="26"/>
      <c r="P4221" s="26"/>
      <c r="Q4221" s="26"/>
      <c r="R4221" s="26"/>
    </row>
    <row r="4222" spans="9:18" x14ac:dyDescent="0.25">
      <c r="I4222" s="46"/>
      <c r="J4222" s="26"/>
      <c r="K4222" s="26"/>
      <c r="L4222" s="26"/>
      <c r="M4222" s="26"/>
      <c r="N4222" s="26"/>
      <c r="O4222" s="26"/>
      <c r="P4222" s="26"/>
      <c r="Q4222" s="26"/>
      <c r="R4222" s="26"/>
    </row>
    <row r="4223" spans="9:18" x14ac:dyDescent="0.25">
      <c r="I4223" s="46"/>
      <c r="J4223" s="26"/>
      <c r="K4223" s="26"/>
      <c r="L4223" s="26"/>
      <c r="M4223" s="26"/>
      <c r="N4223" s="26"/>
      <c r="O4223" s="26"/>
      <c r="P4223" s="26"/>
      <c r="Q4223" s="26"/>
      <c r="R4223" s="26"/>
    </row>
    <row r="4224" spans="9:18" x14ac:dyDescent="0.25">
      <c r="I4224" s="46"/>
      <c r="J4224" s="26"/>
      <c r="K4224" s="26"/>
      <c r="L4224" s="26"/>
      <c r="M4224" s="26"/>
      <c r="N4224" s="26"/>
      <c r="O4224" s="26"/>
      <c r="P4224" s="26"/>
      <c r="Q4224" s="26"/>
      <c r="R4224" s="26"/>
    </row>
    <row r="4225" spans="9:18" x14ac:dyDescent="0.25">
      <c r="I4225" s="46"/>
      <c r="J4225" s="26"/>
      <c r="K4225" s="26"/>
      <c r="L4225" s="26"/>
      <c r="M4225" s="26"/>
      <c r="N4225" s="26"/>
      <c r="O4225" s="26"/>
      <c r="P4225" s="26"/>
      <c r="Q4225" s="26"/>
      <c r="R4225" s="26"/>
    </row>
    <row r="4226" spans="9:18" x14ac:dyDescent="0.25">
      <c r="I4226" s="46"/>
      <c r="J4226" s="26"/>
      <c r="K4226" s="26"/>
      <c r="L4226" s="26"/>
      <c r="M4226" s="26"/>
      <c r="N4226" s="26"/>
      <c r="O4226" s="26"/>
      <c r="P4226" s="26"/>
      <c r="Q4226" s="26"/>
      <c r="R4226" s="26"/>
    </row>
    <row r="4227" spans="9:18" x14ac:dyDescent="0.25">
      <c r="I4227" s="46"/>
      <c r="J4227" s="26"/>
      <c r="K4227" s="26"/>
      <c r="L4227" s="26"/>
      <c r="M4227" s="26"/>
      <c r="N4227" s="26"/>
      <c r="O4227" s="26"/>
      <c r="P4227" s="26"/>
      <c r="Q4227" s="26"/>
      <c r="R4227" s="26"/>
    </row>
    <row r="4228" spans="9:18" x14ac:dyDescent="0.25">
      <c r="I4228" s="46"/>
      <c r="J4228" s="26"/>
      <c r="K4228" s="26"/>
      <c r="L4228" s="26"/>
      <c r="M4228" s="26"/>
      <c r="N4228" s="26"/>
      <c r="O4228" s="26"/>
      <c r="P4228" s="26"/>
      <c r="Q4228" s="26"/>
      <c r="R4228" s="26"/>
    </row>
    <row r="4229" spans="9:18" x14ac:dyDescent="0.25">
      <c r="I4229" s="46"/>
      <c r="J4229" s="26"/>
      <c r="K4229" s="26"/>
      <c r="L4229" s="26"/>
      <c r="M4229" s="26"/>
      <c r="N4229" s="26"/>
      <c r="O4229" s="26"/>
      <c r="P4229" s="26"/>
      <c r="Q4229" s="26"/>
      <c r="R4229" s="26"/>
    </row>
    <row r="4230" spans="9:18" x14ac:dyDescent="0.25">
      <c r="I4230" s="46"/>
      <c r="J4230" s="26"/>
      <c r="K4230" s="26"/>
      <c r="L4230" s="26"/>
      <c r="M4230" s="26"/>
      <c r="N4230" s="26"/>
      <c r="O4230" s="26"/>
      <c r="P4230" s="26"/>
      <c r="Q4230" s="26"/>
      <c r="R4230" s="26"/>
    </row>
    <row r="4231" spans="9:18" x14ac:dyDescent="0.25">
      <c r="I4231" s="46"/>
      <c r="J4231" s="26"/>
      <c r="K4231" s="26"/>
      <c r="L4231" s="26"/>
      <c r="M4231" s="26"/>
      <c r="N4231" s="26"/>
      <c r="O4231" s="26"/>
      <c r="P4231" s="26"/>
      <c r="Q4231" s="26"/>
      <c r="R4231" s="26"/>
    </row>
    <row r="4232" spans="9:18" x14ac:dyDescent="0.25">
      <c r="I4232" s="46"/>
      <c r="J4232" s="26"/>
      <c r="K4232" s="26"/>
      <c r="L4232" s="26"/>
      <c r="M4232" s="26"/>
      <c r="N4232" s="26"/>
      <c r="O4232" s="26"/>
      <c r="P4232" s="26"/>
      <c r="Q4232" s="26"/>
      <c r="R4232" s="26"/>
    </row>
    <row r="4233" spans="9:18" x14ac:dyDescent="0.25">
      <c r="I4233" s="46"/>
      <c r="J4233" s="26"/>
      <c r="K4233" s="26"/>
      <c r="L4233" s="26"/>
      <c r="M4233" s="26"/>
      <c r="N4233" s="26"/>
      <c r="O4233" s="26"/>
      <c r="P4233" s="26"/>
      <c r="Q4233" s="26"/>
      <c r="R4233" s="26"/>
    </row>
    <row r="4234" spans="9:18" x14ac:dyDescent="0.25">
      <c r="I4234" s="46"/>
      <c r="J4234" s="26"/>
      <c r="K4234" s="26"/>
      <c r="L4234" s="26"/>
      <c r="M4234" s="26"/>
      <c r="N4234" s="26"/>
      <c r="O4234" s="26"/>
      <c r="P4234" s="26"/>
      <c r="Q4234" s="26"/>
      <c r="R4234" s="26"/>
    </row>
    <row r="4235" spans="9:18" x14ac:dyDescent="0.25">
      <c r="I4235" s="46"/>
      <c r="J4235" s="26"/>
      <c r="K4235" s="26"/>
      <c r="L4235" s="26"/>
      <c r="M4235" s="26"/>
      <c r="N4235" s="26"/>
      <c r="O4235" s="26"/>
      <c r="P4235" s="26"/>
      <c r="Q4235" s="26"/>
      <c r="R4235" s="26"/>
    </row>
    <row r="4236" spans="9:18" x14ac:dyDescent="0.25">
      <c r="I4236" s="46"/>
      <c r="J4236" s="26"/>
      <c r="K4236" s="26"/>
      <c r="L4236" s="26"/>
      <c r="M4236" s="26"/>
      <c r="N4236" s="26"/>
      <c r="O4236" s="26"/>
      <c r="P4236" s="26"/>
      <c r="Q4236" s="26"/>
      <c r="R4236" s="26"/>
    </row>
    <row r="4237" spans="9:18" x14ac:dyDescent="0.25">
      <c r="I4237" s="46"/>
      <c r="J4237" s="26"/>
      <c r="K4237" s="26"/>
      <c r="L4237" s="26"/>
      <c r="M4237" s="26"/>
      <c r="N4237" s="26"/>
      <c r="O4237" s="26"/>
      <c r="P4237" s="26"/>
      <c r="Q4237" s="26"/>
      <c r="R4237" s="26"/>
    </row>
    <row r="4238" spans="9:18" x14ac:dyDescent="0.25">
      <c r="I4238" s="46"/>
      <c r="J4238" s="26"/>
      <c r="K4238" s="26"/>
      <c r="L4238" s="26"/>
      <c r="M4238" s="26"/>
      <c r="N4238" s="26"/>
      <c r="O4238" s="26"/>
      <c r="P4238" s="26"/>
      <c r="Q4238" s="26"/>
      <c r="R4238" s="26"/>
    </row>
    <row r="4239" spans="9:18" x14ac:dyDescent="0.25">
      <c r="I4239" s="46"/>
      <c r="J4239" s="26"/>
      <c r="K4239" s="26"/>
      <c r="L4239" s="26"/>
      <c r="M4239" s="26"/>
      <c r="N4239" s="26"/>
      <c r="O4239" s="26"/>
      <c r="P4239" s="26"/>
      <c r="Q4239" s="26"/>
      <c r="R4239" s="26"/>
    </row>
    <row r="4240" spans="9:18" x14ac:dyDescent="0.25">
      <c r="I4240" s="46"/>
      <c r="J4240" s="26"/>
      <c r="K4240" s="26"/>
      <c r="L4240" s="26"/>
      <c r="M4240" s="26"/>
      <c r="N4240" s="26"/>
      <c r="O4240" s="26"/>
      <c r="P4240" s="26"/>
      <c r="Q4240" s="26"/>
      <c r="R4240" s="26"/>
    </row>
    <row r="4241" spans="9:18" x14ac:dyDescent="0.25">
      <c r="I4241" s="46"/>
      <c r="J4241" s="26"/>
      <c r="K4241" s="26"/>
      <c r="L4241" s="26"/>
      <c r="M4241" s="26"/>
      <c r="N4241" s="26"/>
      <c r="O4241" s="26"/>
      <c r="P4241" s="26"/>
      <c r="Q4241" s="26"/>
      <c r="R4241" s="26"/>
    </row>
    <row r="4242" spans="9:18" x14ac:dyDescent="0.25">
      <c r="I4242" s="46"/>
      <c r="J4242" s="26"/>
      <c r="K4242" s="26"/>
      <c r="L4242" s="26"/>
      <c r="M4242" s="26"/>
      <c r="N4242" s="26"/>
      <c r="O4242" s="26"/>
      <c r="P4242" s="26"/>
      <c r="Q4242" s="26"/>
      <c r="R4242" s="26"/>
    </row>
    <row r="4243" spans="9:18" x14ac:dyDescent="0.25">
      <c r="I4243" s="46"/>
      <c r="J4243" s="26"/>
      <c r="K4243" s="26"/>
      <c r="L4243" s="26"/>
      <c r="M4243" s="26"/>
      <c r="N4243" s="26"/>
      <c r="O4243" s="26"/>
      <c r="P4243" s="26"/>
      <c r="Q4243" s="26"/>
      <c r="R4243" s="26"/>
    </row>
    <row r="4244" spans="9:18" x14ac:dyDescent="0.25">
      <c r="I4244" s="46"/>
      <c r="J4244" s="26"/>
      <c r="K4244" s="26"/>
      <c r="L4244" s="26"/>
      <c r="M4244" s="26"/>
      <c r="N4244" s="26"/>
      <c r="O4244" s="26"/>
      <c r="P4244" s="26"/>
      <c r="Q4244" s="26"/>
      <c r="R4244" s="26"/>
    </row>
    <row r="4245" spans="9:18" x14ac:dyDescent="0.25">
      <c r="I4245" s="46"/>
      <c r="J4245" s="26"/>
      <c r="K4245" s="26"/>
      <c r="L4245" s="26"/>
      <c r="M4245" s="26"/>
      <c r="N4245" s="26"/>
      <c r="O4245" s="26"/>
      <c r="P4245" s="26"/>
      <c r="Q4245" s="26"/>
      <c r="R4245" s="26"/>
    </row>
    <row r="4246" spans="9:18" x14ac:dyDescent="0.25">
      <c r="I4246" s="46"/>
      <c r="J4246" s="26"/>
      <c r="K4246" s="26"/>
      <c r="L4246" s="26"/>
      <c r="M4246" s="26"/>
      <c r="N4246" s="26"/>
      <c r="O4246" s="26"/>
      <c r="P4246" s="26"/>
      <c r="Q4246" s="26"/>
      <c r="R4246" s="26"/>
    </row>
    <row r="4247" spans="9:18" x14ac:dyDescent="0.25">
      <c r="I4247" s="46"/>
      <c r="J4247" s="26"/>
      <c r="K4247" s="26"/>
      <c r="L4247" s="26"/>
      <c r="M4247" s="26"/>
      <c r="N4247" s="26"/>
      <c r="O4247" s="26"/>
      <c r="P4247" s="26"/>
      <c r="Q4247" s="26"/>
      <c r="R4247" s="26"/>
    </row>
    <row r="4248" spans="9:18" x14ac:dyDescent="0.25">
      <c r="I4248" s="46"/>
      <c r="J4248" s="26"/>
      <c r="K4248" s="26"/>
      <c r="L4248" s="26"/>
      <c r="M4248" s="26"/>
      <c r="N4248" s="26"/>
      <c r="O4248" s="26"/>
      <c r="P4248" s="26"/>
      <c r="Q4248" s="26"/>
      <c r="R4248" s="26"/>
    </row>
    <row r="4249" spans="9:18" x14ac:dyDescent="0.25">
      <c r="I4249" s="46"/>
      <c r="J4249" s="26"/>
      <c r="K4249" s="26"/>
      <c r="L4249" s="26"/>
      <c r="M4249" s="26"/>
      <c r="N4249" s="26"/>
      <c r="O4249" s="26"/>
      <c r="P4249" s="26"/>
      <c r="Q4249" s="26"/>
      <c r="R4249" s="26"/>
    </row>
    <row r="4250" spans="9:18" x14ac:dyDescent="0.25">
      <c r="I4250" s="46"/>
      <c r="J4250" s="26"/>
      <c r="K4250" s="26"/>
      <c r="L4250" s="26"/>
      <c r="M4250" s="26"/>
      <c r="N4250" s="26"/>
      <c r="O4250" s="26"/>
      <c r="P4250" s="26"/>
      <c r="Q4250" s="26"/>
      <c r="R4250" s="26"/>
    </row>
    <row r="4251" spans="9:18" x14ac:dyDescent="0.25">
      <c r="I4251" s="46"/>
      <c r="J4251" s="26"/>
      <c r="K4251" s="26"/>
      <c r="L4251" s="26"/>
      <c r="M4251" s="26"/>
      <c r="N4251" s="26"/>
      <c r="O4251" s="26"/>
      <c r="P4251" s="26"/>
      <c r="Q4251" s="26"/>
      <c r="R4251" s="26"/>
    </row>
    <row r="4252" spans="9:18" x14ac:dyDescent="0.25">
      <c r="I4252" s="46"/>
      <c r="J4252" s="26"/>
      <c r="K4252" s="26"/>
      <c r="L4252" s="26"/>
      <c r="M4252" s="26"/>
      <c r="N4252" s="26"/>
      <c r="O4252" s="26"/>
      <c r="P4252" s="26"/>
      <c r="Q4252" s="26"/>
      <c r="R4252" s="26"/>
    </row>
    <row r="4253" spans="9:18" x14ac:dyDescent="0.25">
      <c r="I4253" s="46"/>
      <c r="J4253" s="26"/>
      <c r="K4253" s="26"/>
      <c r="L4253" s="26"/>
      <c r="M4253" s="26"/>
      <c r="N4253" s="26"/>
      <c r="O4253" s="26"/>
      <c r="P4253" s="26"/>
      <c r="Q4253" s="26"/>
      <c r="R4253" s="26"/>
    </row>
    <row r="4254" spans="9:18" x14ac:dyDescent="0.25">
      <c r="I4254" s="46"/>
      <c r="J4254" s="26"/>
      <c r="K4254" s="26"/>
      <c r="L4254" s="26"/>
      <c r="M4254" s="26"/>
      <c r="N4254" s="26"/>
      <c r="O4254" s="26"/>
      <c r="P4254" s="26"/>
      <c r="Q4254" s="26"/>
      <c r="R4254" s="26"/>
    </row>
    <row r="4255" spans="9:18" x14ac:dyDescent="0.25">
      <c r="I4255" s="46"/>
      <c r="J4255" s="26"/>
      <c r="K4255" s="26"/>
      <c r="L4255" s="26"/>
      <c r="M4255" s="26"/>
      <c r="N4255" s="26"/>
      <c r="O4255" s="26"/>
      <c r="P4255" s="26"/>
      <c r="Q4255" s="26"/>
      <c r="R4255" s="26"/>
    </row>
    <row r="4256" spans="9:18" x14ac:dyDescent="0.25">
      <c r="I4256" s="46"/>
      <c r="J4256" s="26"/>
      <c r="K4256" s="26"/>
      <c r="L4256" s="26"/>
      <c r="M4256" s="26"/>
      <c r="N4256" s="26"/>
      <c r="O4256" s="26"/>
      <c r="P4256" s="26"/>
      <c r="Q4256" s="26"/>
      <c r="R4256" s="26"/>
    </row>
    <row r="4257" spans="9:18" x14ac:dyDescent="0.25">
      <c r="I4257" s="46"/>
      <c r="J4257" s="26"/>
      <c r="K4257" s="26"/>
      <c r="L4257" s="26"/>
      <c r="M4257" s="26"/>
      <c r="N4257" s="26"/>
      <c r="O4257" s="26"/>
      <c r="P4257" s="26"/>
      <c r="Q4257" s="26"/>
      <c r="R4257" s="26"/>
    </row>
    <row r="4258" spans="9:18" x14ac:dyDescent="0.25">
      <c r="I4258" s="46"/>
      <c r="J4258" s="26"/>
      <c r="K4258" s="26"/>
      <c r="L4258" s="26"/>
      <c r="M4258" s="26"/>
      <c r="N4258" s="26"/>
      <c r="O4258" s="26"/>
      <c r="P4258" s="26"/>
      <c r="Q4258" s="26"/>
      <c r="R4258" s="26"/>
    </row>
    <row r="4259" spans="9:18" x14ac:dyDescent="0.25">
      <c r="I4259" s="46"/>
      <c r="J4259" s="26"/>
      <c r="K4259" s="26"/>
      <c r="L4259" s="26"/>
      <c r="M4259" s="26"/>
      <c r="N4259" s="26"/>
      <c r="O4259" s="26"/>
      <c r="P4259" s="26"/>
      <c r="Q4259" s="26"/>
      <c r="R4259" s="26"/>
    </row>
    <row r="4260" spans="9:18" x14ac:dyDescent="0.25">
      <c r="I4260" s="46"/>
      <c r="J4260" s="26"/>
      <c r="K4260" s="26"/>
      <c r="L4260" s="26"/>
      <c r="M4260" s="26"/>
      <c r="N4260" s="26"/>
      <c r="O4260" s="26"/>
      <c r="P4260" s="26"/>
      <c r="Q4260" s="26"/>
      <c r="R4260" s="26"/>
    </row>
    <row r="4261" spans="9:18" x14ac:dyDescent="0.25">
      <c r="I4261" s="46"/>
      <c r="J4261" s="26"/>
      <c r="K4261" s="26"/>
      <c r="L4261" s="26"/>
      <c r="M4261" s="26"/>
      <c r="N4261" s="26"/>
      <c r="O4261" s="26"/>
      <c r="P4261" s="26"/>
      <c r="Q4261" s="26"/>
      <c r="R4261" s="26"/>
    </row>
    <row r="4262" spans="9:18" x14ac:dyDescent="0.25">
      <c r="I4262" s="46"/>
      <c r="J4262" s="26"/>
      <c r="K4262" s="26"/>
      <c r="L4262" s="26"/>
      <c r="M4262" s="26"/>
      <c r="N4262" s="26"/>
      <c r="O4262" s="26"/>
      <c r="P4262" s="26"/>
      <c r="Q4262" s="26"/>
      <c r="R4262" s="26"/>
    </row>
    <row r="4263" spans="9:18" x14ac:dyDescent="0.25">
      <c r="I4263" s="46"/>
      <c r="J4263" s="26"/>
      <c r="K4263" s="26"/>
      <c r="L4263" s="26"/>
      <c r="M4263" s="26"/>
      <c r="N4263" s="26"/>
      <c r="O4263" s="26"/>
      <c r="P4263" s="26"/>
      <c r="Q4263" s="26"/>
      <c r="R4263" s="26"/>
    </row>
    <row r="4264" spans="9:18" x14ac:dyDescent="0.25">
      <c r="I4264" s="46"/>
      <c r="J4264" s="26"/>
      <c r="K4264" s="26"/>
      <c r="L4264" s="26"/>
      <c r="M4264" s="26"/>
      <c r="N4264" s="26"/>
      <c r="O4264" s="26"/>
      <c r="P4264" s="26"/>
      <c r="Q4264" s="26"/>
      <c r="R4264" s="26"/>
    </row>
    <row r="4265" spans="9:18" x14ac:dyDescent="0.25">
      <c r="I4265" s="46"/>
      <c r="J4265" s="26"/>
      <c r="K4265" s="26"/>
      <c r="L4265" s="26"/>
      <c r="M4265" s="26"/>
      <c r="N4265" s="26"/>
      <c r="O4265" s="26"/>
      <c r="P4265" s="26"/>
      <c r="Q4265" s="26"/>
      <c r="R4265" s="26"/>
    </row>
    <row r="4266" spans="9:18" x14ac:dyDescent="0.25">
      <c r="I4266" s="46"/>
      <c r="J4266" s="26"/>
      <c r="K4266" s="26"/>
      <c r="L4266" s="26"/>
      <c r="M4266" s="26"/>
      <c r="N4266" s="26"/>
      <c r="O4266" s="26"/>
      <c r="P4266" s="26"/>
      <c r="Q4266" s="26"/>
      <c r="R4266" s="26"/>
    </row>
    <row r="4267" spans="9:18" x14ac:dyDescent="0.25">
      <c r="I4267" s="46"/>
      <c r="J4267" s="26"/>
      <c r="K4267" s="26"/>
      <c r="L4267" s="26"/>
      <c r="M4267" s="26"/>
      <c r="N4267" s="26"/>
      <c r="O4267" s="26"/>
      <c r="P4267" s="26"/>
      <c r="Q4267" s="26"/>
      <c r="R4267" s="26"/>
    </row>
    <row r="4268" spans="9:18" x14ac:dyDescent="0.25">
      <c r="I4268" s="46"/>
      <c r="J4268" s="26"/>
      <c r="K4268" s="26"/>
      <c r="L4268" s="26"/>
      <c r="M4268" s="26"/>
      <c r="N4268" s="26"/>
      <c r="O4268" s="26"/>
      <c r="P4268" s="26"/>
      <c r="Q4268" s="26"/>
      <c r="R4268" s="26"/>
    </row>
    <row r="4269" spans="9:18" x14ac:dyDescent="0.25">
      <c r="I4269" s="46"/>
      <c r="J4269" s="26"/>
      <c r="K4269" s="26"/>
      <c r="L4269" s="26"/>
      <c r="M4269" s="26"/>
      <c r="N4269" s="26"/>
      <c r="O4269" s="26"/>
      <c r="P4269" s="26"/>
      <c r="Q4269" s="26"/>
      <c r="R4269" s="26"/>
    </row>
    <row r="4270" spans="9:18" x14ac:dyDescent="0.25">
      <c r="I4270" s="46"/>
      <c r="J4270" s="26"/>
      <c r="K4270" s="26"/>
      <c r="L4270" s="26"/>
      <c r="M4270" s="26"/>
      <c r="N4270" s="26"/>
      <c r="O4270" s="26"/>
      <c r="P4270" s="26"/>
      <c r="Q4270" s="26"/>
      <c r="R4270" s="26"/>
    </row>
    <row r="4271" spans="9:18" x14ac:dyDescent="0.25">
      <c r="I4271" s="46"/>
      <c r="J4271" s="26"/>
      <c r="K4271" s="26"/>
      <c r="L4271" s="26"/>
      <c r="M4271" s="26"/>
      <c r="N4271" s="26"/>
      <c r="O4271" s="26"/>
      <c r="P4271" s="26"/>
      <c r="Q4271" s="26"/>
      <c r="R4271" s="26"/>
    </row>
    <row r="4272" spans="9:18" x14ac:dyDescent="0.25">
      <c r="I4272" s="46"/>
      <c r="J4272" s="26"/>
      <c r="K4272" s="26"/>
      <c r="L4272" s="26"/>
      <c r="M4272" s="26"/>
      <c r="N4272" s="26"/>
      <c r="O4272" s="26"/>
      <c r="P4272" s="26"/>
      <c r="Q4272" s="26"/>
      <c r="R4272" s="26"/>
    </row>
    <row r="4273" spans="9:18" x14ac:dyDescent="0.25">
      <c r="I4273" s="46"/>
      <c r="J4273" s="26"/>
      <c r="K4273" s="26"/>
      <c r="L4273" s="26"/>
      <c r="M4273" s="26"/>
      <c r="N4273" s="26"/>
      <c r="O4273" s="26"/>
      <c r="P4273" s="26"/>
      <c r="Q4273" s="26"/>
      <c r="R4273" s="26"/>
    </row>
    <row r="4274" spans="9:18" x14ac:dyDescent="0.25">
      <c r="I4274" s="46"/>
      <c r="J4274" s="26"/>
      <c r="K4274" s="26"/>
      <c r="L4274" s="26"/>
      <c r="M4274" s="26"/>
      <c r="N4274" s="26"/>
      <c r="O4274" s="26"/>
      <c r="P4274" s="26"/>
      <c r="Q4274" s="26"/>
      <c r="R4274" s="26"/>
    </row>
    <row r="4275" spans="9:18" x14ac:dyDescent="0.25">
      <c r="I4275" s="46"/>
      <c r="J4275" s="26"/>
      <c r="K4275" s="26"/>
      <c r="L4275" s="26"/>
      <c r="M4275" s="26"/>
      <c r="N4275" s="26"/>
      <c r="O4275" s="26"/>
      <c r="P4275" s="26"/>
      <c r="Q4275" s="26"/>
      <c r="R4275" s="26"/>
    </row>
    <row r="4276" spans="9:18" x14ac:dyDescent="0.25">
      <c r="I4276" s="46"/>
      <c r="J4276" s="26"/>
      <c r="K4276" s="26"/>
      <c r="L4276" s="26"/>
      <c r="M4276" s="26"/>
      <c r="N4276" s="26"/>
      <c r="O4276" s="26"/>
      <c r="P4276" s="26"/>
      <c r="Q4276" s="26"/>
      <c r="R4276" s="26"/>
    </row>
    <row r="4277" spans="9:18" x14ac:dyDescent="0.25">
      <c r="I4277" s="46"/>
      <c r="J4277" s="26"/>
      <c r="K4277" s="26"/>
      <c r="L4277" s="26"/>
      <c r="M4277" s="26"/>
      <c r="N4277" s="26"/>
      <c r="O4277" s="26"/>
      <c r="P4277" s="26"/>
      <c r="Q4277" s="26"/>
      <c r="R4277" s="26"/>
    </row>
    <row r="4278" spans="9:18" x14ac:dyDescent="0.25">
      <c r="I4278" s="46"/>
      <c r="J4278" s="26"/>
      <c r="K4278" s="26"/>
      <c r="L4278" s="26"/>
      <c r="M4278" s="26"/>
      <c r="N4278" s="26"/>
      <c r="O4278" s="26"/>
      <c r="P4278" s="26"/>
      <c r="Q4278" s="26"/>
      <c r="R4278" s="26"/>
    </row>
    <row r="4279" spans="9:18" x14ac:dyDescent="0.25">
      <c r="I4279" s="46"/>
      <c r="J4279" s="26"/>
      <c r="K4279" s="26"/>
      <c r="L4279" s="26"/>
      <c r="M4279" s="26"/>
      <c r="N4279" s="26"/>
      <c r="O4279" s="26"/>
      <c r="P4279" s="26"/>
      <c r="Q4279" s="26"/>
      <c r="R4279" s="26"/>
    </row>
    <row r="4280" spans="9:18" x14ac:dyDescent="0.25">
      <c r="I4280" s="46"/>
      <c r="J4280" s="26"/>
      <c r="K4280" s="26"/>
      <c r="L4280" s="26"/>
      <c r="M4280" s="26"/>
      <c r="N4280" s="26"/>
      <c r="O4280" s="26"/>
      <c r="P4280" s="26"/>
      <c r="Q4280" s="26"/>
      <c r="R4280" s="26"/>
    </row>
    <row r="4281" spans="9:18" x14ac:dyDescent="0.25">
      <c r="I4281" s="46"/>
      <c r="J4281" s="26"/>
      <c r="K4281" s="26"/>
      <c r="L4281" s="26"/>
      <c r="M4281" s="26"/>
      <c r="N4281" s="26"/>
      <c r="O4281" s="26"/>
      <c r="P4281" s="26"/>
      <c r="Q4281" s="26"/>
      <c r="R4281" s="26"/>
    </row>
    <row r="4282" spans="9:18" x14ac:dyDescent="0.25">
      <c r="I4282" s="46"/>
      <c r="J4282" s="26"/>
      <c r="K4282" s="26"/>
      <c r="L4282" s="26"/>
      <c r="M4282" s="26"/>
      <c r="N4282" s="26"/>
      <c r="O4282" s="26"/>
      <c r="P4282" s="26"/>
      <c r="Q4282" s="26"/>
      <c r="R4282" s="26"/>
    </row>
    <row r="4283" spans="9:18" x14ac:dyDescent="0.25">
      <c r="I4283" s="46"/>
      <c r="J4283" s="26"/>
      <c r="K4283" s="26"/>
      <c r="L4283" s="26"/>
      <c r="M4283" s="26"/>
      <c r="N4283" s="26"/>
      <c r="O4283" s="26"/>
      <c r="P4283" s="26"/>
      <c r="Q4283" s="26"/>
      <c r="R4283" s="26"/>
    </row>
    <row r="4284" spans="9:18" x14ac:dyDescent="0.25">
      <c r="I4284" s="46"/>
      <c r="J4284" s="26"/>
      <c r="K4284" s="26"/>
      <c r="L4284" s="26"/>
      <c r="M4284" s="26"/>
      <c r="N4284" s="26"/>
      <c r="O4284" s="26"/>
      <c r="P4284" s="26"/>
      <c r="Q4284" s="26"/>
      <c r="R4284" s="26"/>
    </row>
    <row r="4285" spans="9:18" x14ac:dyDescent="0.25">
      <c r="I4285" s="46"/>
      <c r="J4285" s="26"/>
      <c r="K4285" s="26"/>
      <c r="L4285" s="26"/>
      <c r="M4285" s="26"/>
      <c r="N4285" s="26"/>
      <c r="O4285" s="26"/>
      <c r="P4285" s="26"/>
      <c r="Q4285" s="26"/>
      <c r="R4285" s="26"/>
    </row>
    <row r="4286" spans="9:18" x14ac:dyDescent="0.25">
      <c r="I4286" s="46"/>
      <c r="J4286" s="26"/>
      <c r="K4286" s="26"/>
      <c r="L4286" s="26"/>
      <c r="M4286" s="26"/>
      <c r="N4286" s="26"/>
      <c r="O4286" s="26"/>
      <c r="P4286" s="26"/>
      <c r="Q4286" s="26"/>
      <c r="R4286" s="26"/>
    </row>
    <row r="4287" spans="9:18" x14ac:dyDescent="0.25">
      <c r="I4287" s="46"/>
      <c r="J4287" s="26"/>
      <c r="K4287" s="26"/>
      <c r="L4287" s="26"/>
      <c r="M4287" s="26"/>
      <c r="N4287" s="26"/>
      <c r="O4287" s="26"/>
      <c r="P4287" s="26"/>
      <c r="Q4287" s="26"/>
      <c r="R4287" s="26"/>
    </row>
    <row r="4288" spans="9:18" x14ac:dyDescent="0.25">
      <c r="I4288" s="46"/>
      <c r="J4288" s="26"/>
      <c r="K4288" s="26"/>
      <c r="L4288" s="26"/>
      <c r="M4288" s="26"/>
      <c r="N4288" s="26"/>
      <c r="O4288" s="26"/>
      <c r="P4288" s="26"/>
      <c r="Q4288" s="26"/>
      <c r="R4288" s="26"/>
    </row>
    <row r="4289" spans="9:18" x14ac:dyDescent="0.25">
      <c r="I4289" s="46"/>
      <c r="J4289" s="26"/>
      <c r="K4289" s="26"/>
      <c r="L4289" s="26"/>
      <c r="M4289" s="26"/>
      <c r="N4289" s="26"/>
      <c r="O4289" s="26"/>
      <c r="P4289" s="26"/>
      <c r="Q4289" s="26"/>
      <c r="R4289" s="26"/>
    </row>
    <row r="4290" spans="9:18" x14ac:dyDescent="0.25">
      <c r="I4290" s="46"/>
      <c r="J4290" s="26"/>
      <c r="K4290" s="26"/>
      <c r="L4290" s="26"/>
      <c r="M4290" s="26"/>
      <c r="N4290" s="26"/>
      <c r="O4290" s="26"/>
      <c r="P4290" s="26"/>
      <c r="Q4290" s="26"/>
      <c r="R4290" s="26"/>
    </row>
    <row r="4291" spans="9:18" x14ac:dyDescent="0.25">
      <c r="I4291" s="46"/>
      <c r="J4291" s="26"/>
      <c r="K4291" s="26"/>
      <c r="L4291" s="26"/>
      <c r="M4291" s="26"/>
      <c r="N4291" s="26"/>
      <c r="O4291" s="26"/>
      <c r="P4291" s="26"/>
      <c r="Q4291" s="26"/>
      <c r="R4291" s="26"/>
    </row>
    <row r="4292" spans="9:18" x14ac:dyDescent="0.25">
      <c r="I4292" s="46"/>
      <c r="J4292" s="26"/>
      <c r="K4292" s="26"/>
      <c r="L4292" s="26"/>
      <c r="M4292" s="26"/>
      <c r="N4292" s="26"/>
      <c r="O4292" s="26"/>
      <c r="P4292" s="26"/>
      <c r="Q4292" s="26"/>
      <c r="R4292" s="26"/>
    </row>
    <row r="4293" spans="9:18" x14ac:dyDescent="0.25">
      <c r="I4293" s="46"/>
      <c r="J4293" s="26"/>
      <c r="K4293" s="26"/>
      <c r="L4293" s="26"/>
      <c r="M4293" s="26"/>
      <c r="N4293" s="26"/>
      <c r="O4293" s="26"/>
      <c r="P4293" s="26"/>
      <c r="Q4293" s="26"/>
      <c r="R4293" s="26"/>
    </row>
    <row r="4294" spans="9:18" x14ac:dyDescent="0.25">
      <c r="I4294" s="46"/>
      <c r="J4294" s="26"/>
      <c r="K4294" s="26"/>
      <c r="L4294" s="26"/>
      <c r="M4294" s="26"/>
      <c r="N4294" s="26"/>
      <c r="O4294" s="26"/>
      <c r="P4294" s="26"/>
      <c r="Q4294" s="26"/>
      <c r="R4294" s="26"/>
    </row>
    <row r="4295" spans="9:18" x14ac:dyDescent="0.25">
      <c r="I4295" s="46"/>
      <c r="J4295" s="26"/>
      <c r="K4295" s="26"/>
      <c r="L4295" s="26"/>
      <c r="M4295" s="26"/>
      <c r="N4295" s="26"/>
      <c r="O4295" s="26"/>
      <c r="P4295" s="26"/>
      <c r="Q4295" s="26"/>
      <c r="R4295" s="26"/>
    </row>
    <row r="4296" spans="9:18" x14ac:dyDescent="0.25">
      <c r="I4296" s="46"/>
      <c r="J4296" s="26"/>
      <c r="K4296" s="26"/>
      <c r="L4296" s="26"/>
      <c r="M4296" s="26"/>
      <c r="N4296" s="26"/>
      <c r="O4296" s="26"/>
      <c r="P4296" s="26"/>
      <c r="Q4296" s="26"/>
      <c r="R4296" s="26"/>
    </row>
    <row r="4297" spans="9:18" x14ac:dyDescent="0.25">
      <c r="I4297" s="46"/>
      <c r="J4297" s="26"/>
      <c r="K4297" s="26"/>
      <c r="L4297" s="26"/>
      <c r="M4297" s="26"/>
      <c r="N4297" s="26"/>
      <c r="O4297" s="26"/>
      <c r="P4297" s="26"/>
      <c r="Q4297" s="26"/>
      <c r="R4297" s="26"/>
    </row>
    <row r="4298" spans="9:18" x14ac:dyDescent="0.25">
      <c r="I4298" s="46"/>
      <c r="J4298" s="26"/>
      <c r="K4298" s="26"/>
      <c r="L4298" s="26"/>
      <c r="M4298" s="26"/>
      <c r="N4298" s="26"/>
      <c r="O4298" s="26"/>
      <c r="P4298" s="26"/>
      <c r="Q4298" s="26"/>
      <c r="R4298" s="26"/>
    </row>
    <row r="4299" spans="9:18" x14ac:dyDescent="0.25">
      <c r="I4299" s="46"/>
      <c r="J4299" s="26"/>
      <c r="K4299" s="26"/>
      <c r="L4299" s="26"/>
      <c r="M4299" s="26"/>
      <c r="N4299" s="26"/>
      <c r="O4299" s="26"/>
      <c r="P4299" s="26"/>
      <c r="Q4299" s="26"/>
      <c r="R4299" s="26"/>
    </row>
    <row r="4300" spans="9:18" x14ac:dyDescent="0.25">
      <c r="I4300" s="46"/>
      <c r="J4300" s="26"/>
      <c r="K4300" s="26"/>
      <c r="L4300" s="26"/>
      <c r="M4300" s="26"/>
      <c r="N4300" s="26"/>
      <c r="O4300" s="26"/>
      <c r="P4300" s="26"/>
      <c r="Q4300" s="26"/>
      <c r="R4300" s="26"/>
    </row>
    <row r="4301" spans="9:18" x14ac:dyDescent="0.25">
      <c r="I4301" s="46"/>
      <c r="J4301" s="26"/>
      <c r="K4301" s="26"/>
      <c r="L4301" s="26"/>
      <c r="M4301" s="26"/>
      <c r="N4301" s="26"/>
      <c r="O4301" s="26"/>
      <c r="P4301" s="26"/>
      <c r="Q4301" s="26"/>
      <c r="R4301" s="26"/>
    </row>
    <row r="4302" spans="9:18" x14ac:dyDescent="0.25">
      <c r="I4302" s="46"/>
      <c r="J4302" s="26"/>
      <c r="K4302" s="26"/>
      <c r="L4302" s="26"/>
      <c r="M4302" s="26"/>
      <c r="N4302" s="26"/>
      <c r="O4302" s="26"/>
      <c r="P4302" s="26"/>
      <c r="Q4302" s="26"/>
      <c r="R4302" s="26"/>
    </row>
    <row r="4303" spans="9:18" x14ac:dyDescent="0.25">
      <c r="I4303" s="46"/>
      <c r="J4303" s="26"/>
      <c r="K4303" s="26"/>
      <c r="L4303" s="26"/>
      <c r="M4303" s="26"/>
      <c r="N4303" s="26"/>
      <c r="O4303" s="26"/>
      <c r="P4303" s="26"/>
      <c r="Q4303" s="26"/>
      <c r="R4303" s="26"/>
    </row>
    <row r="4304" spans="9:18" x14ac:dyDescent="0.25">
      <c r="I4304" s="46"/>
      <c r="J4304" s="26"/>
      <c r="K4304" s="26"/>
      <c r="L4304" s="26"/>
      <c r="M4304" s="26"/>
      <c r="N4304" s="26"/>
      <c r="O4304" s="26"/>
      <c r="P4304" s="26"/>
      <c r="Q4304" s="26"/>
      <c r="R4304" s="26"/>
    </row>
    <row r="4305" spans="9:18" x14ac:dyDescent="0.25">
      <c r="I4305" s="46"/>
      <c r="J4305" s="26"/>
      <c r="K4305" s="26"/>
      <c r="L4305" s="26"/>
      <c r="M4305" s="26"/>
      <c r="N4305" s="26"/>
      <c r="O4305" s="26"/>
      <c r="P4305" s="26"/>
      <c r="Q4305" s="26"/>
      <c r="R4305" s="26"/>
    </row>
    <row r="4306" spans="9:18" x14ac:dyDescent="0.25">
      <c r="I4306" s="46"/>
      <c r="J4306" s="26"/>
      <c r="K4306" s="26"/>
      <c r="L4306" s="26"/>
      <c r="M4306" s="26"/>
      <c r="N4306" s="26"/>
      <c r="O4306" s="26"/>
      <c r="P4306" s="26"/>
      <c r="Q4306" s="26"/>
      <c r="R4306" s="26"/>
    </row>
    <row r="4307" spans="9:18" x14ac:dyDescent="0.25">
      <c r="I4307" s="46"/>
      <c r="J4307" s="26"/>
      <c r="K4307" s="26"/>
      <c r="L4307" s="26"/>
      <c r="M4307" s="26"/>
      <c r="N4307" s="26"/>
      <c r="O4307" s="26"/>
      <c r="P4307" s="26"/>
      <c r="Q4307" s="26"/>
      <c r="R4307" s="26"/>
    </row>
    <row r="4308" spans="9:18" x14ac:dyDescent="0.25">
      <c r="I4308" s="46"/>
      <c r="J4308" s="26"/>
      <c r="K4308" s="26"/>
      <c r="L4308" s="26"/>
      <c r="M4308" s="26"/>
      <c r="N4308" s="26"/>
      <c r="O4308" s="26"/>
      <c r="P4308" s="26"/>
      <c r="Q4308" s="26"/>
      <c r="R4308" s="26"/>
    </row>
    <row r="4309" spans="9:18" x14ac:dyDescent="0.25">
      <c r="I4309" s="46"/>
      <c r="J4309" s="26"/>
      <c r="K4309" s="26"/>
      <c r="L4309" s="26"/>
      <c r="M4309" s="26"/>
      <c r="N4309" s="26"/>
      <c r="O4309" s="26"/>
      <c r="P4309" s="26"/>
      <c r="Q4309" s="26"/>
      <c r="R4309" s="26"/>
    </row>
    <row r="4310" spans="9:18" x14ac:dyDescent="0.25">
      <c r="I4310" s="46"/>
      <c r="J4310" s="26"/>
      <c r="K4310" s="26"/>
      <c r="L4310" s="26"/>
      <c r="M4310" s="26"/>
      <c r="N4310" s="26"/>
      <c r="O4310" s="26"/>
      <c r="P4310" s="26"/>
      <c r="Q4310" s="26"/>
      <c r="R4310" s="26"/>
    </row>
    <row r="4311" spans="9:18" x14ac:dyDescent="0.25">
      <c r="I4311" s="46"/>
      <c r="J4311" s="26"/>
      <c r="K4311" s="26"/>
      <c r="L4311" s="26"/>
      <c r="M4311" s="26"/>
      <c r="N4311" s="26"/>
      <c r="O4311" s="26"/>
      <c r="P4311" s="26"/>
      <c r="Q4311" s="26"/>
      <c r="R4311" s="26"/>
    </row>
    <row r="4312" spans="9:18" x14ac:dyDescent="0.25">
      <c r="I4312" s="46"/>
      <c r="J4312" s="26"/>
      <c r="K4312" s="26"/>
      <c r="L4312" s="26"/>
      <c r="M4312" s="26"/>
      <c r="N4312" s="26"/>
      <c r="O4312" s="26"/>
      <c r="P4312" s="26"/>
      <c r="Q4312" s="26"/>
      <c r="R4312" s="26"/>
    </row>
    <row r="4313" spans="9:18" x14ac:dyDescent="0.25">
      <c r="I4313" s="46"/>
      <c r="J4313" s="26"/>
      <c r="K4313" s="26"/>
      <c r="L4313" s="26"/>
      <c r="M4313" s="26"/>
      <c r="N4313" s="26"/>
      <c r="O4313" s="26"/>
      <c r="P4313" s="26"/>
      <c r="Q4313" s="26"/>
      <c r="R4313" s="26"/>
    </row>
    <row r="4314" spans="9:18" x14ac:dyDescent="0.25">
      <c r="I4314" s="46"/>
      <c r="J4314" s="26"/>
      <c r="K4314" s="26"/>
      <c r="L4314" s="26"/>
      <c r="M4314" s="26"/>
      <c r="N4314" s="26"/>
      <c r="O4314" s="26"/>
      <c r="P4314" s="26"/>
      <c r="Q4314" s="26"/>
      <c r="R4314" s="26"/>
    </row>
    <row r="4315" spans="9:18" x14ac:dyDescent="0.25">
      <c r="I4315" s="46"/>
      <c r="J4315" s="26"/>
      <c r="K4315" s="26"/>
      <c r="L4315" s="26"/>
      <c r="M4315" s="26"/>
      <c r="N4315" s="26"/>
      <c r="O4315" s="26"/>
      <c r="P4315" s="26"/>
      <c r="Q4315" s="26"/>
      <c r="R4315" s="26"/>
    </row>
    <row r="4316" spans="9:18" x14ac:dyDescent="0.25">
      <c r="I4316" s="46"/>
      <c r="J4316" s="26"/>
      <c r="K4316" s="26"/>
      <c r="L4316" s="26"/>
      <c r="M4316" s="26"/>
      <c r="N4316" s="26"/>
      <c r="O4316" s="26"/>
      <c r="P4316" s="26"/>
      <c r="Q4316" s="26"/>
      <c r="R4316" s="26"/>
    </row>
    <row r="4317" spans="9:18" x14ac:dyDescent="0.25">
      <c r="I4317" s="46"/>
      <c r="J4317" s="26"/>
      <c r="K4317" s="26"/>
      <c r="L4317" s="26"/>
      <c r="M4317" s="26"/>
      <c r="N4317" s="26"/>
      <c r="O4317" s="26"/>
      <c r="P4317" s="26"/>
      <c r="Q4317" s="26"/>
      <c r="R4317" s="26"/>
    </row>
    <row r="4318" spans="9:18" x14ac:dyDescent="0.25">
      <c r="I4318" s="46"/>
      <c r="J4318" s="26"/>
      <c r="K4318" s="26"/>
      <c r="L4318" s="26"/>
      <c r="M4318" s="26"/>
      <c r="N4318" s="26"/>
      <c r="O4318" s="26"/>
      <c r="P4318" s="26"/>
      <c r="Q4318" s="26"/>
      <c r="R4318" s="26"/>
    </row>
    <row r="4319" spans="9:18" x14ac:dyDescent="0.25">
      <c r="I4319" s="46"/>
      <c r="J4319" s="26"/>
      <c r="K4319" s="26"/>
      <c r="L4319" s="26"/>
      <c r="M4319" s="26"/>
      <c r="N4319" s="26"/>
      <c r="O4319" s="26"/>
      <c r="P4319" s="26"/>
      <c r="Q4319" s="26"/>
      <c r="R4319" s="26"/>
    </row>
    <row r="4320" spans="9:18" x14ac:dyDescent="0.25">
      <c r="I4320" s="46"/>
      <c r="J4320" s="26"/>
      <c r="K4320" s="26"/>
      <c r="L4320" s="26"/>
      <c r="M4320" s="26"/>
      <c r="N4320" s="26"/>
      <c r="O4320" s="26"/>
      <c r="P4320" s="26"/>
      <c r="Q4320" s="26"/>
      <c r="R4320" s="26"/>
    </row>
    <row r="4321" spans="9:18" x14ac:dyDescent="0.25">
      <c r="I4321" s="46"/>
      <c r="J4321" s="26"/>
      <c r="K4321" s="26"/>
      <c r="L4321" s="26"/>
      <c r="M4321" s="26"/>
      <c r="N4321" s="26"/>
      <c r="O4321" s="26"/>
      <c r="P4321" s="26"/>
      <c r="Q4321" s="26"/>
      <c r="R4321" s="26"/>
    </row>
    <row r="4322" spans="9:18" x14ac:dyDescent="0.25">
      <c r="I4322" s="46"/>
      <c r="J4322" s="26"/>
      <c r="K4322" s="26"/>
      <c r="L4322" s="26"/>
      <c r="M4322" s="26"/>
      <c r="N4322" s="26"/>
      <c r="O4322" s="26"/>
      <c r="P4322" s="26"/>
      <c r="Q4322" s="26"/>
      <c r="R4322" s="26"/>
    </row>
    <row r="4323" spans="9:18" x14ac:dyDescent="0.25">
      <c r="I4323" s="46"/>
      <c r="J4323" s="26"/>
      <c r="K4323" s="26"/>
      <c r="L4323" s="26"/>
      <c r="M4323" s="26"/>
      <c r="N4323" s="26"/>
      <c r="O4323" s="26"/>
      <c r="P4323" s="26"/>
      <c r="Q4323" s="26"/>
      <c r="R4323" s="26"/>
    </row>
    <row r="4324" spans="9:18" x14ac:dyDescent="0.25">
      <c r="I4324" s="46"/>
      <c r="J4324" s="26"/>
      <c r="K4324" s="26"/>
      <c r="L4324" s="26"/>
      <c r="M4324" s="26"/>
      <c r="N4324" s="26"/>
      <c r="O4324" s="26"/>
      <c r="P4324" s="26"/>
      <c r="Q4324" s="26"/>
      <c r="R4324" s="26"/>
    </row>
    <row r="4325" spans="9:18" x14ac:dyDescent="0.25">
      <c r="I4325" s="46"/>
      <c r="J4325" s="26"/>
      <c r="K4325" s="26"/>
      <c r="L4325" s="26"/>
      <c r="M4325" s="26"/>
      <c r="N4325" s="26"/>
      <c r="O4325" s="26"/>
      <c r="P4325" s="26"/>
      <c r="Q4325" s="26"/>
      <c r="R4325" s="26"/>
    </row>
    <row r="4326" spans="9:18" x14ac:dyDescent="0.25">
      <c r="I4326" s="46"/>
      <c r="J4326" s="26"/>
      <c r="K4326" s="26"/>
      <c r="L4326" s="26"/>
      <c r="M4326" s="26"/>
      <c r="N4326" s="26"/>
      <c r="O4326" s="26"/>
      <c r="P4326" s="26"/>
      <c r="Q4326" s="26"/>
      <c r="R4326" s="26"/>
    </row>
    <row r="4327" spans="9:18" x14ac:dyDescent="0.25">
      <c r="I4327" s="46"/>
      <c r="J4327" s="26"/>
      <c r="K4327" s="26"/>
      <c r="L4327" s="26"/>
      <c r="M4327" s="26"/>
      <c r="N4327" s="26"/>
      <c r="O4327" s="26"/>
      <c r="P4327" s="26"/>
      <c r="Q4327" s="26"/>
      <c r="R4327" s="26"/>
    </row>
    <row r="4328" spans="9:18" x14ac:dyDescent="0.25">
      <c r="I4328" s="46"/>
      <c r="J4328" s="26"/>
      <c r="K4328" s="26"/>
      <c r="L4328" s="26"/>
      <c r="M4328" s="26"/>
      <c r="N4328" s="26"/>
      <c r="O4328" s="26"/>
      <c r="P4328" s="26"/>
      <c r="Q4328" s="26"/>
      <c r="R4328" s="26"/>
    </row>
    <row r="4329" spans="9:18" x14ac:dyDescent="0.25">
      <c r="I4329" s="46"/>
      <c r="J4329" s="26"/>
      <c r="K4329" s="26"/>
      <c r="L4329" s="26"/>
      <c r="M4329" s="26"/>
      <c r="N4329" s="26"/>
      <c r="O4329" s="26"/>
      <c r="P4329" s="26"/>
      <c r="Q4329" s="26"/>
      <c r="R4329" s="26"/>
    </row>
    <row r="4330" spans="9:18" x14ac:dyDescent="0.25">
      <c r="I4330" s="46"/>
      <c r="J4330" s="26"/>
      <c r="K4330" s="26"/>
      <c r="L4330" s="26"/>
      <c r="M4330" s="26"/>
      <c r="N4330" s="26"/>
      <c r="O4330" s="26"/>
      <c r="P4330" s="26"/>
      <c r="Q4330" s="26"/>
      <c r="R4330" s="26"/>
    </row>
    <row r="4331" spans="9:18" x14ac:dyDescent="0.25">
      <c r="I4331" s="46"/>
      <c r="J4331" s="26"/>
      <c r="K4331" s="26"/>
      <c r="L4331" s="26"/>
      <c r="M4331" s="26"/>
      <c r="N4331" s="26"/>
      <c r="O4331" s="26"/>
      <c r="P4331" s="26"/>
      <c r="Q4331" s="26"/>
      <c r="R4331" s="26"/>
    </row>
    <row r="4332" spans="9:18" x14ac:dyDescent="0.25">
      <c r="I4332" s="46"/>
      <c r="J4332" s="26"/>
      <c r="K4332" s="26"/>
      <c r="L4332" s="26"/>
      <c r="M4332" s="26"/>
      <c r="N4332" s="26"/>
      <c r="O4332" s="26"/>
      <c r="P4332" s="26"/>
      <c r="Q4332" s="26"/>
      <c r="R4332" s="26"/>
    </row>
    <row r="4333" spans="9:18" x14ac:dyDescent="0.25">
      <c r="I4333" s="46"/>
      <c r="J4333" s="26"/>
      <c r="K4333" s="26"/>
      <c r="L4333" s="26"/>
      <c r="M4333" s="26"/>
      <c r="N4333" s="26"/>
      <c r="O4333" s="26"/>
      <c r="P4333" s="26"/>
      <c r="Q4333" s="26"/>
      <c r="R4333" s="26"/>
    </row>
    <row r="4334" spans="9:18" x14ac:dyDescent="0.25">
      <c r="I4334" s="46"/>
      <c r="J4334" s="26"/>
      <c r="K4334" s="26"/>
      <c r="L4334" s="26"/>
      <c r="M4334" s="26"/>
      <c r="N4334" s="26"/>
      <c r="O4334" s="26"/>
      <c r="P4334" s="26"/>
      <c r="Q4334" s="26"/>
      <c r="R4334" s="26"/>
    </row>
    <row r="4335" spans="9:18" x14ac:dyDescent="0.25">
      <c r="I4335" s="46"/>
      <c r="J4335" s="26"/>
      <c r="K4335" s="26"/>
      <c r="L4335" s="26"/>
      <c r="M4335" s="26"/>
      <c r="N4335" s="26"/>
      <c r="O4335" s="26"/>
      <c r="P4335" s="26"/>
      <c r="Q4335" s="26"/>
      <c r="R4335" s="26"/>
    </row>
    <row r="4336" spans="9:18" x14ac:dyDescent="0.25">
      <c r="I4336" s="46"/>
      <c r="J4336" s="26"/>
      <c r="K4336" s="26"/>
      <c r="L4336" s="26"/>
      <c r="M4336" s="26"/>
      <c r="N4336" s="26"/>
      <c r="O4336" s="26"/>
      <c r="P4336" s="26"/>
      <c r="Q4336" s="26"/>
      <c r="R4336" s="26"/>
    </row>
    <row r="4337" spans="9:18" x14ac:dyDescent="0.25">
      <c r="I4337" s="46"/>
      <c r="J4337" s="26"/>
      <c r="K4337" s="26"/>
      <c r="L4337" s="26"/>
      <c r="M4337" s="26"/>
      <c r="N4337" s="26"/>
      <c r="O4337" s="26"/>
      <c r="P4337" s="26"/>
      <c r="Q4337" s="26"/>
      <c r="R4337" s="26"/>
    </row>
    <row r="4338" spans="9:18" x14ac:dyDescent="0.25">
      <c r="I4338" s="46"/>
      <c r="J4338" s="26"/>
      <c r="K4338" s="26"/>
      <c r="L4338" s="26"/>
      <c r="M4338" s="26"/>
      <c r="N4338" s="26"/>
      <c r="O4338" s="26"/>
      <c r="P4338" s="26"/>
      <c r="Q4338" s="26"/>
      <c r="R4338" s="26"/>
    </row>
    <row r="4339" spans="9:18" x14ac:dyDescent="0.25">
      <c r="I4339" s="46"/>
      <c r="J4339" s="26"/>
      <c r="K4339" s="26"/>
      <c r="L4339" s="26"/>
      <c r="M4339" s="26"/>
      <c r="N4339" s="26"/>
      <c r="O4339" s="26"/>
      <c r="P4339" s="26"/>
      <c r="Q4339" s="26"/>
      <c r="R4339" s="26"/>
    </row>
    <row r="4340" spans="9:18" x14ac:dyDescent="0.25">
      <c r="I4340" s="46"/>
      <c r="J4340" s="26"/>
      <c r="K4340" s="26"/>
      <c r="L4340" s="26"/>
      <c r="M4340" s="26"/>
      <c r="N4340" s="26"/>
      <c r="O4340" s="26"/>
      <c r="P4340" s="26"/>
      <c r="Q4340" s="26"/>
      <c r="R4340" s="26"/>
    </row>
    <row r="4341" spans="9:18" x14ac:dyDescent="0.25">
      <c r="I4341" s="46"/>
      <c r="J4341" s="26"/>
      <c r="K4341" s="26"/>
      <c r="L4341" s="26"/>
      <c r="M4341" s="26"/>
      <c r="N4341" s="26"/>
      <c r="O4341" s="26"/>
      <c r="P4341" s="26"/>
      <c r="Q4341" s="26"/>
      <c r="R4341" s="26"/>
    </row>
    <row r="4342" spans="9:18" x14ac:dyDescent="0.25">
      <c r="I4342" s="46"/>
      <c r="J4342" s="26"/>
      <c r="K4342" s="26"/>
      <c r="L4342" s="26"/>
      <c r="M4342" s="26"/>
      <c r="N4342" s="26"/>
      <c r="O4342" s="26"/>
      <c r="P4342" s="26"/>
      <c r="Q4342" s="26"/>
      <c r="R4342" s="26"/>
    </row>
    <row r="4343" spans="9:18" x14ac:dyDescent="0.25">
      <c r="I4343" s="46"/>
      <c r="J4343" s="26"/>
      <c r="K4343" s="26"/>
      <c r="L4343" s="26"/>
      <c r="M4343" s="26"/>
      <c r="N4343" s="26"/>
      <c r="O4343" s="26"/>
      <c r="P4343" s="26"/>
      <c r="Q4343" s="26"/>
      <c r="R4343" s="26"/>
    </row>
    <row r="4344" spans="9:18" x14ac:dyDescent="0.25">
      <c r="I4344" s="46"/>
      <c r="J4344" s="26"/>
      <c r="K4344" s="26"/>
      <c r="L4344" s="26"/>
      <c r="M4344" s="26"/>
      <c r="N4344" s="26"/>
      <c r="O4344" s="26"/>
      <c r="P4344" s="26"/>
      <c r="Q4344" s="26"/>
      <c r="R4344" s="26"/>
    </row>
    <row r="4345" spans="9:18" x14ac:dyDescent="0.25">
      <c r="I4345" s="46"/>
      <c r="J4345" s="26"/>
      <c r="K4345" s="26"/>
      <c r="L4345" s="26"/>
      <c r="M4345" s="26"/>
      <c r="N4345" s="26"/>
      <c r="O4345" s="26"/>
      <c r="P4345" s="26"/>
      <c r="Q4345" s="26"/>
      <c r="R4345" s="26"/>
    </row>
    <row r="4346" spans="9:18" x14ac:dyDescent="0.25">
      <c r="I4346" s="46"/>
      <c r="J4346" s="26"/>
      <c r="K4346" s="26"/>
      <c r="L4346" s="26"/>
      <c r="M4346" s="26"/>
      <c r="N4346" s="26"/>
      <c r="O4346" s="26"/>
      <c r="P4346" s="26"/>
      <c r="Q4346" s="26"/>
      <c r="R4346" s="26"/>
    </row>
    <row r="4347" spans="9:18" x14ac:dyDescent="0.25">
      <c r="I4347" s="46"/>
      <c r="J4347" s="26"/>
      <c r="K4347" s="26"/>
      <c r="L4347" s="26"/>
      <c r="M4347" s="26"/>
      <c r="N4347" s="26"/>
      <c r="O4347" s="26"/>
      <c r="P4347" s="26"/>
      <c r="Q4347" s="26"/>
      <c r="R4347" s="26"/>
    </row>
    <row r="4348" spans="9:18" x14ac:dyDescent="0.25">
      <c r="I4348" s="46"/>
      <c r="J4348" s="26"/>
      <c r="K4348" s="26"/>
      <c r="L4348" s="26"/>
      <c r="M4348" s="26"/>
      <c r="N4348" s="26"/>
      <c r="O4348" s="26"/>
      <c r="P4348" s="26"/>
      <c r="Q4348" s="26"/>
      <c r="R4348" s="26"/>
    </row>
    <row r="4349" spans="9:18" x14ac:dyDescent="0.25">
      <c r="I4349" s="46"/>
      <c r="J4349" s="26"/>
      <c r="K4349" s="26"/>
      <c r="L4349" s="26"/>
      <c r="M4349" s="26"/>
      <c r="N4349" s="26"/>
      <c r="O4349" s="26"/>
      <c r="P4349" s="26"/>
      <c r="Q4349" s="26"/>
      <c r="R4349" s="26"/>
    </row>
    <row r="4350" spans="9:18" x14ac:dyDescent="0.25">
      <c r="I4350" s="46"/>
      <c r="J4350" s="26"/>
      <c r="K4350" s="26"/>
      <c r="L4350" s="26"/>
      <c r="M4350" s="26"/>
      <c r="N4350" s="26"/>
      <c r="O4350" s="26"/>
      <c r="P4350" s="26"/>
      <c r="Q4350" s="26"/>
      <c r="R4350" s="26"/>
    </row>
    <row r="4351" spans="9:18" x14ac:dyDescent="0.25">
      <c r="I4351" s="46"/>
      <c r="J4351" s="26"/>
      <c r="K4351" s="26"/>
      <c r="L4351" s="26"/>
      <c r="M4351" s="26"/>
      <c r="N4351" s="26"/>
      <c r="O4351" s="26"/>
      <c r="P4351" s="26"/>
      <c r="Q4351" s="26"/>
      <c r="R4351" s="26"/>
    </row>
    <row r="4352" spans="9:18" x14ac:dyDescent="0.25">
      <c r="I4352" s="46"/>
      <c r="J4352" s="26"/>
      <c r="K4352" s="26"/>
      <c r="L4352" s="26"/>
      <c r="M4352" s="26"/>
      <c r="N4352" s="26"/>
      <c r="O4352" s="26"/>
      <c r="P4352" s="26"/>
      <c r="Q4352" s="26"/>
      <c r="R4352" s="26"/>
    </row>
    <row r="4353" spans="9:18" x14ac:dyDescent="0.25">
      <c r="I4353" s="46"/>
      <c r="J4353" s="26"/>
      <c r="K4353" s="26"/>
      <c r="L4353" s="26"/>
      <c r="M4353" s="26"/>
      <c r="N4353" s="26"/>
      <c r="O4353" s="26"/>
      <c r="P4353" s="26"/>
      <c r="Q4353" s="26"/>
      <c r="R4353" s="26"/>
    </row>
    <row r="4354" spans="9:18" x14ac:dyDescent="0.25">
      <c r="I4354" s="46"/>
      <c r="J4354" s="26"/>
      <c r="K4354" s="26"/>
      <c r="L4354" s="26"/>
      <c r="M4354" s="26"/>
      <c r="N4354" s="26"/>
      <c r="O4354" s="26"/>
      <c r="P4354" s="26"/>
      <c r="Q4354" s="26"/>
      <c r="R4354" s="26"/>
    </row>
    <row r="4355" spans="9:18" x14ac:dyDescent="0.25">
      <c r="I4355" s="46"/>
      <c r="J4355" s="26"/>
      <c r="K4355" s="26"/>
      <c r="L4355" s="26"/>
      <c r="M4355" s="26"/>
      <c r="N4355" s="26"/>
      <c r="O4355" s="26"/>
      <c r="P4355" s="26"/>
      <c r="Q4355" s="26"/>
      <c r="R4355" s="26"/>
    </row>
    <row r="4356" spans="9:18" x14ac:dyDescent="0.25">
      <c r="I4356" s="46"/>
      <c r="J4356" s="26"/>
      <c r="K4356" s="26"/>
      <c r="L4356" s="26"/>
      <c r="M4356" s="26"/>
      <c r="N4356" s="26"/>
      <c r="O4356" s="26"/>
      <c r="P4356" s="26"/>
      <c r="Q4356" s="26"/>
      <c r="R4356" s="26"/>
    </row>
    <row r="4357" spans="9:18" x14ac:dyDescent="0.25">
      <c r="I4357" s="46"/>
      <c r="J4357" s="26"/>
      <c r="K4357" s="26"/>
      <c r="L4357" s="26"/>
      <c r="M4357" s="26"/>
      <c r="N4357" s="26"/>
      <c r="O4357" s="26"/>
      <c r="P4357" s="26"/>
      <c r="Q4357" s="26"/>
      <c r="R4357" s="26"/>
    </row>
    <row r="4358" spans="9:18" x14ac:dyDescent="0.25">
      <c r="I4358" s="46"/>
      <c r="J4358" s="26"/>
      <c r="K4358" s="26"/>
      <c r="L4358" s="26"/>
      <c r="M4358" s="26"/>
      <c r="N4358" s="26"/>
      <c r="O4358" s="26"/>
      <c r="P4358" s="26"/>
      <c r="Q4358" s="26"/>
      <c r="R4358" s="26"/>
    </row>
    <row r="4359" spans="9:18" x14ac:dyDescent="0.25">
      <c r="I4359" s="46"/>
      <c r="J4359" s="26"/>
      <c r="K4359" s="26"/>
      <c r="L4359" s="26"/>
      <c r="M4359" s="26"/>
      <c r="N4359" s="26"/>
      <c r="O4359" s="26"/>
      <c r="P4359" s="26"/>
      <c r="Q4359" s="26"/>
      <c r="R4359" s="26"/>
    </row>
    <row r="4360" spans="9:18" x14ac:dyDescent="0.25">
      <c r="I4360" s="46"/>
      <c r="J4360" s="26"/>
      <c r="K4360" s="26"/>
      <c r="L4360" s="26"/>
      <c r="M4360" s="26"/>
      <c r="N4360" s="26"/>
      <c r="O4360" s="26"/>
      <c r="P4360" s="26"/>
      <c r="Q4360" s="26"/>
      <c r="R4360" s="26"/>
    </row>
    <row r="4361" spans="9:18" x14ac:dyDescent="0.25">
      <c r="I4361" s="46"/>
      <c r="J4361" s="26"/>
      <c r="K4361" s="26"/>
      <c r="L4361" s="26"/>
      <c r="M4361" s="26"/>
      <c r="N4361" s="26"/>
      <c r="O4361" s="26"/>
      <c r="P4361" s="26"/>
      <c r="Q4361" s="26"/>
      <c r="R4361" s="26"/>
    </row>
    <row r="4362" spans="9:18" x14ac:dyDescent="0.25">
      <c r="I4362" s="46"/>
      <c r="J4362" s="26"/>
      <c r="K4362" s="26"/>
      <c r="L4362" s="26"/>
      <c r="M4362" s="26"/>
      <c r="N4362" s="26"/>
      <c r="O4362" s="26"/>
      <c r="P4362" s="26"/>
      <c r="Q4362" s="26"/>
      <c r="R4362" s="26"/>
    </row>
    <row r="4363" spans="9:18" x14ac:dyDescent="0.25">
      <c r="I4363" s="46"/>
      <c r="J4363" s="26"/>
      <c r="K4363" s="26"/>
      <c r="L4363" s="26"/>
      <c r="M4363" s="26"/>
      <c r="N4363" s="26"/>
      <c r="O4363" s="26"/>
      <c r="P4363" s="26"/>
      <c r="Q4363" s="26"/>
      <c r="R4363" s="26"/>
    </row>
    <row r="4364" spans="9:18" x14ac:dyDescent="0.25">
      <c r="I4364" s="46"/>
      <c r="J4364" s="26"/>
      <c r="K4364" s="26"/>
      <c r="L4364" s="26"/>
      <c r="M4364" s="26"/>
      <c r="N4364" s="26"/>
      <c r="O4364" s="26"/>
      <c r="P4364" s="26"/>
      <c r="Q4364" s="26"/>
      <c r="R4364" s="26"/>
    </row>
    <row r="4365" spans="9:18" x14ac:dyDescent="0.25">
      <c r="I4365" s="46"/>
      <c r="J4365" s="26"/>
      <c r="K4365" s="26"/>
      <c r="L4365" s="26"/>
      <c r="M4365" s="26"/>
      <c r="N4365" s="26"/>
      <c r="O4365" s="26"/>
      <c r="P4365" s="26"/>
      <c r="Q4365" s="26"/>
      <c r="R4365" s="26"/>
    </row>
    <row r="4366" spans="9:18" x14ac:dyDescent="0.25">
      <c r="I4366" s="46"/>
      <c r="J4366" s="26"/>
      <c r="K4366" s="26"/>
      <c r="L4366" s="26"/>
      <c r="M4366" s="26"/>
      <c r="N4366" s="26"/>
      <c r="O4366" s="26"/>
      <c r="P4366" s="26"/>
      <c r="Q4366" s="26"/>
      <c r="R4366" s="26"/>
    </row>
    <row r="4367" spans="9:18" x14ac:dyDescent="0.25">
      <c r="I4367" s="46"/>
      <c r="J4367" s="26"/>
      <c r="K4367" s="26"/>
      <c r="L4367" s="26"/>
      <c r="M4367" s="26"/>
      <c r="N4367" s="26"/>
      <c r="O4367" s="26"/>
      <c r="P4367" s="26"/>
      <c r="Q4367" s="26"/>
      <c r="R4367" s="26"/>
    </row>
    <row r="4368" spans="9:18" x14ac:dyDescent="0.25">
      <c r="I4368" s="46"/>
      <c r="J4368" s="26"/>
      <c r="K4368" s="26"/>
      <c r="L4368" s="26"/>
      <c r="M4368" s="26"/>
      <c r="N4368" s="26"/>
      <c r="O4368" s="26"/>
      <c r="P4368" s="26"/>
      <c r="Q4368" s="26"/>
      <c r="R4368" s="26"/>
    </row>
    <row r="4369" spans="9:18" x14ac:dyDescent="0.25">
      <c r="I4369" s="46"/>
      <c r="J4369" s="26"/>
      <c r="K4369" s="26"/>
      <c r="L4369" s="26"/>
      <c r="M4369" s="26"/>
      <c r="N4369" s="26"/>
      <c r="O4369" s="26"/>
      <c r="P4369" s="26"/>
      <c r="Q4369" s="26"/>
      <c r="R4369" s="26"/>
    </row>
    <row r="4370" spans="9:18" x14ac:dyDescent="0.25">
      <c r="I4370" s="46"/>
      <c r="J4370" s="26"/>
      <c r="K4370" s="26"/>
      <c r="L4370" s="26"/>
      <c r="M4370" s="26"/>
      <c r="N4370" s="26"/>
      <c r="O4370" s="26"/>
      <c r="P4370" s="26"/>
      <c r="Q4370" s="26"/>
      <c r="R4370" s="26"/>
    </row>
    <row r="4371" spans="9:18" x14ac:dyDescent="0.25">
      <c r="I4371" s="46"/>
      <c r="J4371" s="26"/>
      <c r="K4371" s="26"/>
      <c r="L4371" s="26"/>
      <c r="M4371" s="26"/>
      <c r="N4371" s="26"/>
      <c r="O4371" s="26"/>
      <c r="P4371" s="26"/>
      <c r="Q4371" s="26"/>
      <c r="R4371" s="26"/>
    </row>
    <row r="4372" spans="9:18" x14ac:dyDescent="0.25">
      <c r="I4372" s="46"/>
      <c r="J4372" s="26"/>
      <c r="K4372" s="26"/>
      <c r="L4372" s="26"/>
      <c r="M4372" s="26"/>
      <c r="N4372" s="26"/>
      <c r="O4372" s="26"/>
      <c r="P4372" s="26"/>
      <c r="Q4372" s="26"/>
      <c r="R4372" s="26"/>
    </row>
    <row r="4373" spans="9:18" x14ac:dyDescent="0.25">
      <c r="I4373" s="46"/>
      <c r="J4373" s="26"/>
      <c r="K4373" s="26"/>
      <c r="L4373" s="26"/>
      <c r="M4373" s="26"/>
      <c r="N4373" s="26"/>
      <c r="O4373" s="26"/>
      <c r="P4373" s="26"/>
      <c r="Q4373" s="26"/>
      <c r="R4373" s="26"/>
    </row>
    <row r="4374" spans="9:18" x14ac:dyDescent="0.25">
      <c r="I4374" s="46"/>
      <c r="J4374" s="26"/>
      <c r="K4374" s="26"/>
      <c r="L4374" s="26"/>
      <c r="M4374" s="26"/>
      <c r="N4374" s="26"/>
      <c r="O4374" s="26"/>
      <c r="P4374" s="26"/>
      <c r="Q4374" s="26"/>
      <c r="R4374" s="26"/>
    </row>
    <row r="4375" spans="9:18" x14ac:dyDescent="0.25">
      <c r="I4375" s="46"/>
      <c r="J4375" s="26"/>
      <c r="K4375" s="26"/>
      <c r="L4375" s="26"/>
      <c r="M4375" s="26"/>
      <c r="N4375" s="26"/>
      <c r="O4375" s="26"/>
      <c r="P4375" s="26"/>
      <c r="Q4375" s="26"/>
      <c r="R4375" s="26"/>
    </row>
    <row r="4376" spans="9:18" x14ac:dyDescent="0.25">
      <c r="I4376" s="46"/>
      <c r="J4376" s="26"/>
      <c r="K4376" s="26"/>
      <c r="L4376" s="26"/>
      <c r="M4376" s="26"/>
      <c r="N4376" s="26"/>
      <c r="O4376" s="26"/>
      <c r="P4376" s="26"/>
      <c r="Q4376" s="26"/>
      <c r="R4376" s="26"/>
    </row>
    <row r="4377" spans="9:18" x14ac:dyDescent="0.25">
      <c r="I4377" s="46"/>
      <c r="J4377" s="26"/>
      <c r="K4377" s="26"/>
      <c r="L4377" s="26"/>
      <c r="M4377" s="26"/>
      <c r="N4377" s="26"/>
      <c r="O4377" s="26"/>
      <c r="P4377" s="26"/>
      <c r="Q4377" s="26"/>
      <c r="R4377" s="26"/>
    </row>
    <row r="4378" spans="9:18" x14ac:dyDescent="0.25">
      <c r="I4378" s="46"/>
      <c r="J4378" s="26"/>
      <c r="K4378" s="26"/>
      <c r="L4378" s="26"/>
      <c r="M4378" s="26"/>
      <c r="N4378" s="26"/>
      <c r="O4378" s="26"/>
      <c r="P4378" s="26"/>
      <c r="Q4378" s="26"/>
      <c r="R4378" s="26"/>
    </row>
    <row r="4379" spans="9:18" x14ac:dyDescent="0.25">
      <c r="I4379" s="46"/>
      <c r="J4379" s="26"/>
      <c r="K4379" s="26"/>
      <c r="L4379" s="26"/>
      <c r="M4379" s="26"/>
      <c r="N4379" s="26"/>
      <c r="O4379" s="26"/>
      <c r="P4379" s="26"/>
      <c r="Q4379" s="26"/>
      <c r="R4379" s="26"/>
    </row>
    <row r="4380" spans="9:18" x14ac:dyDescent="0.25">
      <c r="I4380" s="46"/>
      <c r="J4380" s="26"/>
      <c r="K4380" s="26"/>
      <c r="L4380" s="26"/>
      <c r="M4380" s="26"/>
      <c r="N4380" s="26"/>
      <c r="O4380" s="26"/>
      <c r="P4380" s="26"/>
      <c r="Q4380" s="26"/>
      <c r="R4380" s="26"/>
    </row>
    <row r="4381" spans="9:18" x14ac:dyDescent="0.25">
      <c r="I4381" s="46"/>
      <c r="J4381" s="26"/>
      <c r="K4381" s="26"/>
      <c r="L4381" s="26"/>
      <c r="M4381" s="26"/>
      <c r="N4381" s="26"/>
      <c r="O4381" s="26"/>
      <c r="P4381" s="26"/>
      <c r="Q4381" s="26"/>
      <c r="R4381" s="26"/>
    </row>
    <row r="4382" spans="9:18" x14ac:dyDescent="0.25">
      <c r="I4382" s="46"/>
      <c r="J4382" s="26"/>
      <c r="K4382" s="26"/>
      <c r="L4382" s="26"/>
      <c r="M4382" s="26"/>
      <c r="N4382" s="26"/>
      <c r="O4382" s="26"/>
      <c r="P4382" s="26"/>
      <c r="Q4382" s="26"/>
      <c r="R4382" s="26"/>
    </row>
    <row r="4383" spans="9:18" x14ac:dyDescent="0.25">
      <c r="I4383" s="46"/>
      <c r="J4383" s="26"/>
      <c r="K4383" s="26"/>
      <c r="L4383" s="26"/>
      <c r="M4383" s="26"/>
      <c r="N4383" s="26"/>
      <c r="O4383" s="26"/>
      <c r="P4383" s="26"/>
      <c r="Q4383" s="26"/>
      <c r="R4383" s="26"/>
    </row>
    <row r="4384" spans="9:18" x14ac:dyDescent="0.25">
      <c r="I4384" s="46"/>
      <c r="J4384" s="26"/>
      <c r="K4384" s="26"/>
      <c r="L4384" s="26"/>
      <c r="M4384" s="26"/>
      <c r="N4384" s="26"/>
      <c r="O4384" s="26"/>
      <c r="P4384" s="26"/>
      <c r="Q4384" s="26"/>
      <c r="R4384" s="26"/>
    </row>
    <row r="4385" spans="9:18" x14ac:dyDescent="0.25">
      <c r="I4385" s="46"/>
      <c r="J4385" s="26"/>
      <c r="K4385" s="26"/>
      <c r="L4385" s="26"/>
      <c r="M4385" s="26"/>
      <c r="N4385" s="26"/>
      <c r="O4385" s="26"/>
      <c r="P4385" s="26"/>
      <c r="Q4385" s="26"/>
      <c r="R4385" s="26"/>
    </row>
    <row r="4386" spans="9:18" x14ac:dyDescent="0.25">
      <c r="I4386" s="46"/>
      <c r="J4386" s="26"/>
      <c r="K4386" s="26"/>
      <c r="L4386" s="26"/>
      <c r="M4386" s="26"/>
      <c r="N4386" s="26"/>
      <c r="O4386" s="26"/>
      <c r="P4386" s="26"/>
      <c r="Q4386" s="26"/>
      <c r="R4386" s="26"/>
    </row>
    <row r="4387" spans="9:18" x14ac:dyDescent="0.25">
      <c r="I4387" s="46"/>
      <c r="J4387" s="26"/>
      <c r="K4387" s="26"/>
      <c r="L4387" s="26"/>
      <c r="M4387" s="26"/>
      <c r="N4387" s="26"/>
      <c r="O4387" s="26"/>
      <c r="P4387" s="26"/>
      <c r="Q4387" s="26"/>
      <c r="R4387" s="26"/>
    </row>
    <row r="4388" spans="9:18" x14ac:dyDescent="0.25">
      <c r="I4388" s="46"/>
      <c r="J4388" s="26"/>
      <c r="K4388" s="26"/>
      <c r="L4388" s="26"/>
      <c r="M4388" s="26"/>
      <c r="N4388" s="26"/>
      <c r="O4388" s="26"/>
      <c r="P4388" s="26"/>
      <c r="Q4388" s="26"/>
      <c r="R4388" s="26"/>
    </row>
    <row r="4389" spans="9:18" x14ac:dyDescent="0.25">
      <c r="I4389" s="46"/>
      <c r="J4389" s="26"/>
      <c r="K4389" s="26"/>
      <c r="L4389" s="26"/>
      <c r="M4389" s="26"/>
      <c r="N4389" s="26"/>
      <c r="O4389" s="26"/>
      <c r="P4389" s="26"/>
      <c r="Q4389" s="26"/>
      <c r="R4389" s="26"/>
    </row>
    <row r="4390" spans="9:18" x14ac:dyDescent="0.25">
      <c r="I4390" s="46"/>
      <c r="J4390" s="26"/>
      <c r="K4390" s="26"/>
      <c r="L4390" s="26"/>
      <c r="M4390" s="26"/>
      <c r="N4390" s="26"/>
      <c r="O4390" s="26"/>
      <c r="P4390" s="26"/>
      <c r="Q4390" s="26"/>
      <c r="R4390" s="26"/>
    </row>
    <row r="4391" spans="9:18" x14ac:dyDescent="0.25">
      <c r="I4391" s="46"/>
      <c r="J4391" s="26"/>
      <c r="K4391" s="26"/>
      <c r="L4391" s="26"/>
      <c r="M4391" s="26"/>
      <c r="N4391" s="26"/>
      <c r="O4391" s="26"/>
      <c r="P4391" s="26"/>
      <c r="Q4391" s="26"/>
      <c r="R4391" s="26"/>
    </row>
    <row r="4392" spans="9:18" x14ac:dyDescent="0.25">
      <c r="I4392" s="46"/>
      <c r="J4392" s="26"/>
      <c r="K4392" s="26"/>
      <c r="L4392" s="26"/>
      <c r="M4392" s="26"/>
      <c r="N4392" s="26"/>
      <c r="O4392" s="26"/>
      <c r="P4392" s="26"/>
      <c r="Q4392" s="26"/>
      <c r="R4392" s="26"/>
    </row>
    <row r="4393" spans="9:18" x14ac:dyDescent="0.25">
      <c r="I4393" s="46"/>
      <c r="J4393" s="26"/>
      <c r="K4393" s="26"/>
      <c r="L4393" s="26"/>
      <c r="M4393" s="26"/>
      <c r="N4393" s="26"/>
      <c r="O4393" s="26"/>
      <c r="P4393" s="26"/>
      <c r="Q4393" s="26"/>
      <c r="R4393" s="26"/>
    </row>
    <row r="4394" spans="9:18" x14ac:dyDescent="0.25">
      <c r="I4394" s="46"/>
      <c r="J4394" s="26"/>
      <c r="K4394" s="26"/>
      <c r="L4394" s="26"/>
      <c r="M4394" s="26"/>
      <c r="N4394" s="26"/>
      <c r="O4394" s="26"/>
      <c r="P4394" s="26"/>
      <c r="Q4394" s="26"/>
      <c r="R4394" s="26"/>
    </row>
    <row r="4395" spans="9:18" x14ac:dyDescent="0.25">
      <c r="I4395" s="46"/>
      <c r="J4395" s="26"/>
      <c r="K4395" s="26"/>
      <c r="L4395" s="26"/>
      <c r="M4395" s="26"/>
      <c r="N4395" s="26"/>
      <c r="O4395" s="26"/>
      <c r="P4395" s="26"/>
      <c r="Q4395" s="26"/>
      <c r="R4395" s="26"/>
    </row>
    <row r="4396" spans="9:18" x14ac:dyDescent="0.25">
      <c r="I4396" s="46"/>
      <c r="J4396" s="26"/>
      <c r="K4396" s="26"/>
      <c r="L4396" s="26"/>
      <c r="M4396" s="26"/>
      <c r="N4396" s="26"/>
      <c r="O4396" s="26"/>
      <c r="P4396" s="26"/>
      <c r="Q4396" s="26"/>
      <c r="R4396" s="26"/>
    </row>
    <row r="4397" spans="9:18" x14ac:dyDescent="0.25">
      <c r="I4397" s="46"/>
      <c r="J4397" s="26"/>
      <c r="K4397" s="26"/>
      <c r="L4397" s="26"/>
      <c r="M4397" s="26"/>
      <c r="N4397" s="26"/>
      <c r="O4397" s="26"/>
      <c r="P4397" s="26"/>
      <c r="Q4397" s="26"/>
      <c r="R4397" s="26"/>
    </row>
    <row r="4398" spans="9:18" x14ac:dyDescent="0.25">
      <c r="I4398" s="46"/>
      <c r="J4398" s="26"/>
      <c r="K4398" s="26"/>
      <c r="L4398" s="26"/>
      <c r="M4398" s="26"/>
      <c r="N4398" s="26"/>
      <c r="O4398" s="26"/>
      <c r="P4398" s="26"/>
      <c r="Q4398" s="26"/>
      <c r="R4398" s="26"/>
    </row>
    <row r="4399" spans="9:18" x14ac:dyDescent="0.25">
      <c r="I4399" s="46"/>
      <c r="J4399" s="26"/>
      <c r="K4399" s="26"/>
      <c r="L4399" s="26"/>
      <c r="M4399" s="26"/>
      <c r="N4399" s="26"/>
      <c r="O4399" s="26"/>
      <c r="P4399" s="26"/>
      <c r="Q4399" s="26"/>
      <c r="R4399" s="26"/>
    </row>
    <row r="4400" spans="9:18" x14ac:dyDescent="0.25">
      <c r="I4400" s="46"/>
      <c r="J4400" s="26"/>
      <c r="K4400" s="26"/>
      <c r="L4400" s="26"/>
      <c r="M4400" s="26"/>
      <c r="N4400" s="26"/>
      <c r="O4400" s="26"/>
      <c r="P4400" s="26"/>
      <c r="Q4400" s="26"/>
      <c r="R4400" s="26"/>
    </row>
    <row r="4401" spans="9:18" x14ac:dyDescent="0.25">
      <c r="I4401" s="46"/>
      <c r="J4401" s="26"/>
      <c r="K4401" s="26"/>
      <c r="L4401" s="26"/>
      <c r="M4401" s="26"/>
      <c r="N4401" s="26"/>
      <c r="O4401" s="26"/>
      <c r="P4401" s="26"/>
      <c r="Q4401" s="26"/>
      <c r="R4401" s="26"/>
    </row>
    <row r="4402" spans="9:18" x14ac:dyDescent="0.25">
      <c r="I4402" s="46"/>
      <c r="J4402" s="26"/>
      <c r="K4402" s="26"/>
      <c r="L4402" s="26"/>
      <c r="M4402" s="26"/>
      <c r="N4402" s="26"/>
      <c r="O4402" s="26"/>
      <c r="P4402" s="26"/>
      <c r="Q4402" s="26"/>
      <c r="R4402" s="26"/>
    </row>
    <row r="4403" spans="9:18" x14ac:dyDescent="0.25">
      <c r="I4403" s="46"/>
      <c r="J4403" s="26"/>
      <c r="K4403" s="26"/>
      <c r="L4403" s="26"/>
      <c r="M4403" s="26"/>
      <c r="N4403" s="26"/>
      <c r="O4403" s="26"/>
      <c r="P4403" s="26"/>
      <c r="Q4403" s="26"/>
      <c r="R4403" s="26"/>
    </row>
    <row r="4404" spans="9:18" x14ac:dyDescent="0.25">
      <c r="I4404" s="46"/>
      <c r="J4404" s="26"/>
      <c r="K4404" s="26"/>
      <c r="L4404" s="26"/>
      <c r="M4404" s="26"/>
      <c r="N4404" s="26"/>
      <c r="O4404" s="26"/>
      <c r="P4404" s="26"/>
      <c r="Q4404" s="26"/>
      <c r="R4404" s="26"/>
    </row>
    <row r="4405" spans="9:18" x14ac:dyDescent="0.25">
      <c r="I4405" s="46"/>
      <c r="J4405" s="26"/>
      <c r="K4405" s="26"/>
      <c r="L4405" s="26"/>
      <c r="M4405" s="26"/>
      <c r="N4405" s="26"/>
      <c r="O4405" s="26"/>
      <c r="P4405" s="26"/>
      <c r="Q4405" s="26"/>
      <c r="R4405" s="26"/>
    </row>
    <row r="4406" spans="9:18" x14ac:dyDescent="0.25">
      <c r="I4406" s="46"/>
      <c r="J4406" s="26"/>
      <c r="K4406" s="26"/>
      <c r="L4406" s="26"/>
      <c r="M4406" s="26"/>
      <c r="N4406" s="26"/>
      <c r="O4406" s="26"/>
      <c r="P4406" s="26"/>
      <c r="Q4406" s="26"/>
      <c r="R4406" s="26"/>
    </row>
    <row r="4407" spans="9:18" x14ac:dyDescent="0.25">
      <c r="I4407" s="46"/>
      <c r="J4407" s="26"/>
      <c r="K4407" s="26"/>
      <c r="L4407" s="26"/>
      <c r="M4407" s="26"/>
      <c r="N4407" s="26"/>
      <c r="O4407" s="26"/>
      <c r="P4407" s="26"/>
      <c r="Q4407" s="26"/>
      <c r="R4407" s="26"/>
    </row>
    <row r="4408" spans="9:18" x14ac:dyDescent="0.25">
      <c r="I4408" s="46"/>
      <c r="J4408" s="26"/>
      <c r="K4408" s="26"/>
      <c r="L4408" s="26"/>
      <c r="M4408" s="26"/>
      <c r="N4408" s="26"/>
      <c r="O4408" s="26"/>
      <c r="P4408" s="26"/>
      <c r="Q4408" s="26"/>
      <c r="R4408" s="26"/>
    </row>
    <row r="4409" spans="9:18" x14ac:dyDescent="0.25">
      <c r="I4409" s="46"/>
      <c r="J4409" s="26"/>
      <c r="K4409" s="26"/>
      <c r="L4409" s="26"/>
      <c r="M4409" s="26"/>
      <c r="N4409" s="26"/>
      <c r="O4409" s="26"/>
      <c r="P4409" s="26"/>
      <c r="Q4409" s="26"/>
      <c r="R4409" s="26"/>
    </row>
    <row r="4410" spans="9:18" x14ac:dyDescent="0.25">
      <c r="I4410" s="46"/>
      <c r="J4410" s="26"/>
      <c r="K4410" s="26"/>
      <c r="L4410" s="26"/>
      <c r="M4410" s="26"/>
      <c r="N4410" s="26"/>
      <c r="O4410" s="26"/>
      <c r="P4410" s="26"/>
      <c r="Q4410" s="26"/>
      <c r="R4410" s="26"/>
    </row>
    <row r="4411" spans="9:18" x14ac:dyDescent="0.25">
      <c r="I4411" s="46"/>
      <c r="J4411" s="26"/>
      <c r="K4411" s="26"/>
      <c r="L4411" s="26"/>
      <c r="M4411" s="26"/>
      <c r="N4411" s="26"/>
      <c r="O4411" s="26"/>
      <c r="P4411" s="26"/>
      <c r="Q4411" s="26"/>
      <c r="R4411" s="26"/>
    </row>
    <row r="4412" spans="9:18" x14ac:dyDescent="0.25">
      <c r="I4412" s="46"/>
      <c r="J4412" s="26"/>
      <c r="K4412" s="26"/>
      <c r="L4412" s="26"/>
      <c r="M4412" s="26"/>
      <c r="N4412" s="26"/>
      <c r="O4412" s="26"/>
      <c r="P4412" s="26"/>
      <c r="Q4412" s="26"/>
      <c r="R4412" s="26"/>
    </row>
    <row r="4413" spans="9:18" x14ac:dyDescent="0.25">
      <c r="I4413" s="46"/>
      <c r="J4413" s="26"/>
      <c r="K4413" s="26"/>
      <c r="L4413" s="26"/>
      <c r="M4413" s="26"/>
      <c r="N4413" s="26"/>
      <c r="O4413" s="26"/>
      <c r="P4413" s="26"/>
      <c r="Q4413" s="26"/>
      <c r="R4413" s="26"/>
    </row>
    <row r="4414" spans="9:18" x14ac:dyDescent="0.25">
      <c r="I4414" s="46"/>
      <c r="J4414" s="26"/>
      <c r="K4414" s="26"/>
      <c r="L4414" s="26"/>
      <c r="M4414" s="26"/>
      <c r="N4414" s="26"/>
      <c r="O4414" s="26"/>
      <c r="P4414" s="26"/>
      <c r="Q4414" s="26"/>
      <c r="R4414" s="26"/>
    </row>
    <row r="4415" spans="9:18" x14ac:dyDescent="0.25">
      <c r="I4415" s="46"/>
      <c r="J4415" s="26"/>
      <c r="K4415" s="26"/>
      <c r="L4415" s="26"/>
      <c r="M4415" s="26"/>
      <c r="N4415" s="26"/>
      <c r="O4415" s="26"/>
      <c r="P4415" s="26"/>
      <c r="Q4415" s="26"/>
      <c r="R4415" s="26"/>
    </row>
    <row r="4416" spans="9:18" x14ac:dyDescent="0.25">
      <c r="I4416" s="46"/>
      <c r="J4416" s="26"/>
      <c r="K4416" s="26"/>
      <c r="L4416" s="26"/>
      <c r="M4416" s="26"/>
      <c r="N4416" s="26"/>
      <c r="O4416" s="26"/>
      <c r="P4416" s="26"/>
      <c r="Q4416" s="26"/>
      <c r="R4416" s="26"/>
    </row>
    <row r="4417" spans="9:18" x14ac:dyDescent="0.25">
      <c r="I4417" s="46"/>
      <c r="J4417" s="26"/>
      <c r="K4417" s="26"/>
      <c r="L4417" s="26"/>
      <c r="M4417" s="26"/>
      <c r="N4417" s="26"/>
      <c r="O4417" s="26"/>
      <c r="P4417" s="26"/>
      <c r="Q4417" s="26"/>
      <c r="R4417" s="26"/>
    </row>
    <row r="4418" spans="9:18" x14ac:dyDescent="0.25">
      <c r="I4418" s="46"/>
      <c r="J4418" s="26"/>
      <c r="K4418" s="26"/>
      <c r="L4418" s="26"/>
      <c r="M4418" s="26"/>
      <c r="N4418" s="26"/>
      <c r="O4418" s="26"/>
      <c r="P4418" s="26"/>
      <c r="Q4418" s="26"/>
      <c r="R4418" s="26"/>
    </row>
    <row r="4419" spans="9:18" x14ac:dyDescent="0.25">
      <c r="I4419" s="46"/>
      <c r="J4419" s="26"/>
      <c r="K4419" s="26"/>
      <c r="L4419" s="26"/>
      <c r="M4419" s="26"/>
      <c r="N4419" s="26"/>
      <c r="O4419" s="26"/>
      <c r="P4419" s="26"/>
      <c r="Q4419" s="26"/>
      <c r="R4419" s="26"/>
    </row>
    <row r="4420" spans="9:18" x14ac:dyDescent="0.25">
      <c r="I4420" s="46"/>
      <c r="J4420" s="26"/>
      <c r="K4420" s="26"/>
      <c r="L4420" s="26"/>
      <c r="M4420" s="26"/>
      <c r="N4420" s="26"/>
      <c r="O4420" s="26"/>
      <c r="P4420" s="26"/>
      <c r="Q4420" s="26"/>
      <c r="R4420" s="26"/>
    </row>
    <row r="4421" spans="9:18" x14ac:dyDescent="0.25">
      <c r="I4421" s="46"/>
      <c r="J4421" s="26"/>
      <c r="K4421" s="26"/>
      <c r="L4421" s="26"/>
      <c r="M4421" s="26"/>
      <c r="N4421" s="26"/>
      <c r="O4421" s="26"/>
      <c r="P4421" s="26"/>
      <c r="Q4421" s="26"/>
      <c r="R4421" s="26"/>
    </row>
    <row r="4422" spans="9:18" x14ac:dyDescent="0.25">
      <c r="I4422" s="46"/>
      <c r="J4422" s="26"/>
      <c r="K4422" s="26"/>
      <c r="L4422" s="26"/>
      <c r="M4422" s="26"/>
      <c r="N4422" s="26"/>
      <c r="O4422" s="26"/>
      <c r="P4422" s="26"/>
      <c r="Q4422" s="26"/>
      <c r="R4422" s="26"/>
    </row>
    <row r="4423" spans="9:18" x14ac:dyDescent="0.25">
      <c r="I4423" s="46"/>
      <c r="J4423" s="26"/>
      <c r="K4423" s="26"/>
      <c r="L4423" s="26"/>
      <c r="M4423" s="26"/>
      <c r="N4423" s="26"/>
      <c r="O4423" s="26"/>
      <c r="P4423" s="26"/>
      <c r="Q4423" s="26"/>
      <c r="R4423" s="26"/>
    </row>
    <row r="4424" spans="9:18" x14ac:dyDescent="0.25">
      <c r="I4424" s="46"/>
      <c r="J4424" s="26"/>
      <c r="K4424" s="26"/>
      <c r="L4424" s="26"/>
      <c r="M4424" s="26"/>
      <c r="N4424" s="26"/>
      <c r="O4424" s="26"/>
      <c r="P4424" s="26"/>
      <c r="Q4424" s="26"/>
      <c r="R4424" s="26"/>
    </row>
    <row r="4425" spans="9:18" x14ac:dyDescent="0.25">
      <c r="I4425" s="46"/>
      <c r="J4425" s="26"/>
      <c r="K4425" s="26"/>
      <c r="L4425" s="26"/>
      <c r="M4425" s="26"/>
      <c r="N4425" s="26"/>
      <c r="O4425" s="26"/>
      <c r="P4425" s="26"/>
      <c r="Q4425" s="26"/>
      <c r="R4425" s="26"/>
    </row>
    <row r="4426" spans="9:18" x14ac:dyDescent="0.25">
      <c r="I4426" s="46"/>
      <c r="J4426" s="26"/>
      <c r="K4426" s="26"/>
      <c r="L4426" s="26"/>
      <c r="M4426" s="26"/>
      <c r="N4426" s="26"/>
      <c r="O4426" s="26"/>
      <c r="P4426" s="26"/>
      <c r="Q4426" s="26"/>
      <c r="R4426" s="26"/>
    </row>
    <row r="4427" spans="9:18" x14ac:dyDescent="0.25">
      <c r="I4427" s="46"/>
      <c r="J4427" s="26"/>
      <c r="K4427" s="26"/>
      <c r="L4427" s="26"/>
      <c r="M4427" s="26"/>
      <c r="N4427" s="26"/>
      <c r="O4427" s="26"/>
      <c r="P4427" s="26"/>
      <c r="Q4427" s="26"/>
      <c r="R4427" s="26"/>
    </row>
    <row r="4428" spans="9:18" x14ac:dyDescent="0.25">
      <c r="I4428" s="46"/>
      <c r="J4428" s="26"/>
      <c r="K4428" s="26"/>
      <c r="L4428" s="26"/>
      <c r="M4428" s="26"/>
      <c r="N4428" s="26"/>
      <c r="O4428" s="26"/>
      <c r="P4428" s="26"/>
      <c r="Q4428" s="26"/>
      <c r="R4428" s="26"/>
    </row>
    <row r="4429" spans="9:18" x14ac:dyDescent="0.25">
      <c r="I4429" s="46"/>
      <c r="J4429" s="26"/>
      <c r="K4429" s="26"/>
      <c r="L4429" s="26"/>
      <c r="M4429" s="26"/>
      <c r="N4429" s="26"/>
      <c r="O4429" s="26"/>
      <c r="P4429" s="26"/>
      <c r="Q4429" s="26"/>
      <c r="R4429" s="26"/>
    </row>
    <row r="4430" spans="9:18" x14ac:dyDescent="0.25">
      <c r="I4430" s="46"/>
      <c r="J4430" s="26"/>
      <c r="K4430" s="26"/>
      <c r="L4430" s="26"/>
      <c r="M4430" s="26"/>
      <c r="N4430" s="26"/>
      <c r="O4430" s="26"/>
      <c r="P4430" s="26"/>
      <c r="Q4430" s="26"/>
      <c r="R4430" s="26"/>
    </row>
    <row r="4431" spans="9:18" x14ac:dyDescent="0.25">
      <c r="I4431" s="46"/>
      <c r="J4431" s="26"/>
      <c r="K4431" s="26"/>
      <c r="L4431" s="26"/>
      <c r="M4431" s="26"/>
      <c r="N4431" s="26"/>
      <c r="O4431" s="26"/>
      <c r="P4431" s="26"/>
      <c r="Q4431" s="26"/>
      <c r="R4431" s="26"/>
    </row>
    <row r="4432" spans="9:18" x14ac:dyDescent="0.25">
      <c r="I4432" s="46"/>
      <c r="J4432" s="26"/>
      <c r="K4432" s="26"/>
      <c r="L4432" s="26"/>
      <c r="M4432" s="26"/>
      <c r="N4432" s="26"/>
      <c r="O4432" s="26"/>
      <c r="P4432" s="26"/>
      <c r="Q4432" s="26"/>
      <c r="R4432" s="26"/>
    </row>
    <row r="4433" spans="9:18" x14ac:dyDescent="0.25">
      <c r="I4433" s="46"/>
      <c r="J4433" s="26"/>
      <c r="K4433" s="26"/>
      <c r="L4433" s="26"/>
      <c r="M4433" s="26"/>
      <c r="N4433" s="26"/>
      <c r="O4433" s="26"/>
      <c r="P4433" s="26"/>
      <c r="Q4433" s="26"/>
      <c r="R4433" s="26"/>
    </row>
    <row r="4434" spans="9:18" x14ac:dyDescent="0.25">
      <c r="I4434" s="46"/>
      <c r="J4434" s="26"/>
      <c r="K4434" s="26"/>
      <c r="L4434" s="26"/>
      <c r="M4434" s="26"/>
      <c r="N4434" s="26"/>
      <c r="O4434" s="26"/>
      <c r="P4434" s="26"/>
      <c r="Q4434" s="26"/>
      <c r="R4434" s="26"/>
    </row>
    <row r="4435" spans="9:18" x14ac:dyDescent="0.25">
      <c r="I4435" s="46"/>
      <c r="J4435" s="26"/>
      <c r="K4435" s="26"/>
      <c r="L4435" s="26"/>
      <c r="M4435" s="26"/>
      <c r="N4435" s="26"/>
      <c r="O4435" s="26"/>
      <c r="P4435" s="26"/>
      <c r="Q4435" s="26"/>
      <c r="R4435" s="26"/>
    </row>
    <row r="4436" spans="9:18" x14ac:dyDescent="0.25">
      <c r="I4436" s="46"/>
      <c r="J4436" s="26"/>
      <c r="K4436" s="26"/>
      <c r="L4436" s="26"/>
      <c r="M4436" s="26"/>
      <c r="N4436" s="26"/>
      <c r="O4436" s="26"/>
      <c r="P4436" s="26"/>
      <c r="Q4436" s="26"/>
      <c r="R4436" s="26"/>
    </row>
    <row r="4437" spans="9:18" x14ac:dyDescent="0.25">
      <c r="I4437" s="46"/>
      <c r="J4437" s="26"/>
      <c r="K4437" s="26"/>
      <c r="L4437" s="26"/>
      <c r="M4437" s="26"/>
      <c r="N4437" s="26"/>
      <c r="O4437" s="26"/>
      <c r="P4437" s="26"/>
      <c r="Q4437" s="26"/>
      <c r="R4437" s="26"/>
    </row>
    <row r="4438" spans="9:18" x14ac:dyDescent="0.25">
      <c r="I4438" s="46"/>
      <c r="J4438" s="26"/>
      <c r="K4438" s="26"/>
      <c r="L4438" s="26"/>
      <c r="M4438" s="26"/>
      <c r="N4438" s="26"/>
      <c r="O4438" s="26"/>
      <c r="P4438" s="26"/>
      <c r="Q4438" s="26"/>
      <c r="R4438" s="26"/>
    </row>
    <row r="4439" spans="9:18" x14ac:dyDescent="0.25">
      <c r="I4439" s="46"/>
      <c r="J4439" s="26"/>
      <c r="K4439" s="26"/>
      <c r="L4439" s="26"/>
      <c r="M4439" s="26"/>
      <c r="N4439" s="26"/>
      <c r="O4439" s="26"/>
      <c r="P4439" s="26"/>
      <c r="Q4439" s="26"/>
      <c r="R4439" s="26"/>
    </row>
    <row r="4440" spans="9:18" x14ac:dyDescent="0.25">
      <c r="I4440" s="46"/>
      <c r="J4440" s="26"/>
      <c r="K4440" s="26"/>
      <c r="L4440" s="26"/>
      <c r="M4440" s="26"/>
      <c r="N4440" s="26"/>
      <c r="O4440" s="26"/>
      <c r="P4440" s="26"/>
      <c r="Q4440" s="26"/>
      <c r="R4440" s="26"/>
    </row>
    <row r="4441" spans="9:18" x14ac:dyDescent="0.25">
      <c r="I4441" s="46"/>
      <c r="J4441" s="26"/>
      <c r="K4441" s="26"/>
      <c r="L4441" s="26"/>
      <c r="M4441" s="26"/>
      <c r="N4441" s="26"/>
      <c r="O4441" s="26"/>
      <c r="P4441" s="26"/>
      <c r="Q4441" s="26"/>
      <c r="R4441" s="26"/>
    </row>
    <row r="4442" spans="9:18" x14ac:dyDescent="0.25">
      <c r="I4442" s="46"/>
      <c r="J4442" s="26"/>
      <c r="K4442" s="26"/>
      <c r="L4442" s="26"/>
      <c r="M4442" s="26"/>
      <c r="N4442" s="26"/>
      <c r="O4442" s="26"/>
      <c r="P4442" s="26"/>
      <c r="Q4442" s="26"/>
      <c r="R4442" s="26"/>
    </row>
    <row r="4443" spans="9:18" x14ac:dyDescent="0.25">
      <c r="I4443" s="46"/>
      <c r="J4443" s="26"/>
      <c r="K4443" s="26"/>
      <c r="L4443" s="26"/>
      <c r="M4443" s="26"/>
      <c r="N4443" s="26"/>
      <c r="O4443" s="26"/>
      <c r="P4443" s="26"/>
      <c r="Q4443" s="26"/>
      <c r="R4443" s="26"/>
    </row>
    <row r="4444" spans="9:18" x14ac:dyDescent="0.25">
      <c r="I4444" s="46"/>
      <c r="J4444" s="26"/>
      <c r="K4444" s="26"/>
      <c r="L4444" s="26"/>
      <c r="M4444" s="26"/>
      <c r="N4444" s="26"/>
      <c r="O4444" s="26"/>
      <c r="P4444" s="26"/>
      <c r="Q4444" s="26"/>
      <c r="R4444" s="26"/>
    </row>
    <row r="4445" spans="9:18" x14ac:dyDescent="0.25">
      <c r="I4445" s="46"/>
      <c r="J4445" s="26"/>
      <c r="K4445" s="26"/>
      <c r="L4445" s="26"/>
      <c r="M4445" s="26"/>
      <c r="N4445" s="26"/>
      <c r="O4445" s="26"/>
      <c r="P4445" s="26"/>
      <c r="Q4445" s="26"/>
      <c r="R4445" s="26"/>
    </row>
    <row r="4446" spans="9:18" x14ac:dyDescent="0.25">
      <c r="I4446" s="46"/>
      <c r="J4446" s="26"/>
      <c r="K4446" s="26"/>
      <c r="L4446" s="26"/>
      <c r="M4446" s="26"/>
      <c r="N4446" s="26"/>
      <c r="O4446" s="26"/>
      <c r="P4446" s="26"/>
      <c r="Q4446" s="26"/>
      <c r="R4446" s="26"/>
    </row>
    <row r="4447" spans="9:18" x14ac:dyDescent="0.25">
      <c r="I4447" s="46"/>
      <c r="J4447" s="26"/>
      <c r="K4447" s="26"/>
      <c r="L4447" s="26"/>
      <c r="M4447" s="26"/>
      <c r="N4447" s="26"/>
      <c r="O4447" s="26"/>
      <c r="P4447" s="26"/>
      <c r="Q4447" s="26"/>
      <c r="R4447" s="26"/>
    </row>
    <row r="4448" spans="9:18" x14ac:dyDescent="0.25">
      <c r="I4448" s="46"/>
      <c r="J4448" s="26"/>
      <c r="K4448" s="26"/>
      <c r="L4448" s="26"/>
      <c r="M4448" s="26"/>
      <c r="N4448" s="26"/>
      <c r="O4448" s="26"/>
      <c r="P4448" s="26"/>
      <c r="Q4448" s="26"/>
      <c r="R4448" s="26"/>
    </row>
    <row r="4449" spans="9:18" x14ac:dyDescent="0.25">
      <c r="I4449" s="46"/>
      <c r="J4449" s="26"/>
      <c r="K4449" s="26"/>
      <c r="L4449" s="26"/>
      <c r="M4449" s="26"/>
      <c r="N4449" s="26"/>
      <c r="O4449" s="26"/>
      <c r="P4449" s="26"/>
      <c r="Q4449" s="26"/>
      <c r="R4449" s="26"/>
    </row>
    <row r="4450" spans="9:18" x14ac:dyDescent="0.25">
      <c r="I4450" s="46"/>
      <c r="J4450" s="26"/>
      <c r="K4450" s="26"/>
      <c r="L4450" s="26"/>
      <c r="M4450" s="26"/>
      <c r="N4450" s="26"/>
      <c r="O4450" s="26"/>
      <c r="P4450" s="26"/>
      <c r="Q4450" s="26"/>
      <c r="R4450" s="26"/>
    </row>
    <row r="4451" spans="9:18" x14ac:dyDescent="0.25">
      <c r="I4451" s="46"/>
      <c r="J4451" s="26"/>
      <c r="K4451" s="26"/>
      <c r="L4451" s="26"/>
      <c r="M4451" s="26"/>
      <c r="N4451" s="26"/>
      <c r="O4451" s="26"/>
      <c r="P4451" s="26"/>
      <c r="Q4451" s="26"/>
      <c r="R4451" s="26"/>
    </row>
    <row r="4452" spans="9:18" x14ac:dyDescent="0.25">
      <c r="I4452" s="46"/>
      <c r="J4452" s="26"/>
      <c r="K4452" s="26"/>
      <c r="L4452" s="26"/>
      <c r="M4452" s="26"/>
      <c r="N4452" s="26"/>
      <c r="O4452" s="26"/>
      <c r="P4452" s="26"/>
      <c r="Q4452" s="26"/>
      <c r="R4452" s="26"/>
    </row>
    <row r="4453" spans="9:18" x14ac:dyDescent="0.25">
      <c r="I4453" s="46"/>
      <c r="J4453" s="26"/>
      <c r="K4453" s="26"/>
      <c r="L4453" s="26"/>
      <c r="M4453" s="26"/>
      <c r="N4453" s="26"/>
      <c r="O4453" s="26"/>
      <c r="P4453" s="26"/>
      <c r="Q4453" s="26"/>
      <c r="R4453" s="26"/>
    </row>
    <row r="4454" spans="9:18" x14ac:dyDescent="0.25">
      <c r="I4454" s="46"/>
      <c r="J4454" s="26"/>
      <c r="K4454" s="26"/>
      <c r="L4454" s="26"/>
      <c r="M4454" s="26"/>
      <c r="N4454" s="26"/>
      <c r="O4454" s="26"/>
      <c r="P4454" s="26"/>
      <c r="Q4454" s="26"/>
      <c r="R4454" s="26"/>
    </row>
    <row r="4455" spans="9:18" x14ac:dyDescent="0.25">
      <c r="I4455" s="46"/>
      <c r="J4455" s="26"/>
      <c r="K4455" s="26"/>
      <c r="L4455" s="26"/>
      <c r="M4455" s="26"/>
      <c r="N4455" s="26"/>
      <c r="O4455" s="26"/>
      <c r="P4455" s="26"/>
      <c r="Q4455" s="26"/>
      <c r="R4455" s="26"/>
    </row>
    <row r="4456" spans="9:18" x14ac:dyDescent="0.25">
      <c r="I4456" s="46"/>
      <c r="J4456" s="26"/>
      <c r="K4456" s="26"/>
      <c r="L4456" s="26"/>
      <c r="M4456" s="26"/>
      <c r="N4456" s="26"/>
      <c r="O4456" s="26"/>
      <c r="P4456" s="26"/>
      <c r="Q4456" s="26"/>
      <c r="R4456" s="26"/>
    </row>
    <row r="4457" spans="9:18" x14ac:dyDescent="0.25">
      <c r="I4457" s="46"/>
      <c r="J4457" s="26"/>
      <c r="K4457" s="26"/>
      <c r="L4457" s="26"/>
      <c r="M4457" s="26"/>
      <c r="N4457" s="26"/>
      <c r="O4457" s="26"/>
      <c r="P4457" s="26"/>
      <c r="Q4457" s="26"/>
      <c r="R4457" s="26"/>
    </row>
    <row r="4458" spans="9:18" x14ac:dyDescent="0.25">
      <c r="I4458" s="46"/>
      <c r="J4458" s="26"/>
      <c r="K4458" s="26"/>
      <c r="L4458" s="26"/>
      <c r="M4458" s="26"/>
      <c r="N4458" s="26"/>
      <c r="O4458" s="26"/>
      <c r="P4458" s="26"/>
      <c r="Q4458" s="26"/>
      <c r="R4458" s="26"/>
    </row>
    <row r="4459" spans="9:18" x14ac:dyDescent="0.25">
      <c r="I4459" s="46"/>
      <c r="J4459" s="26"/>
      <c r="K4459" s="26"/>
      <c r="L4459" s="26"/>
      <c r="M4459" s="26"/>
      <c r="N4459" s="26"/>
      <c r="O4459" s="26"/>
      <c r="P4459" s="26"/>
      <c r="Q4459" s="26"/>
      <c r="R4459" s="26"/>
    </row>
    <row r="4460" spans="9:18" x14ac:dyDescent="0.25">
      <c r="I4460" s="46"/>
      <c r="J4460" s="26"/>
      <c r="K4460" s="26"/>
      <c r="L4460" s="26"/>
      <c r="M4460" s="26"/>
      <c r="N4460" s="26"/>
      <c r="O4460" s="26"/>
      <c r="P4460" s="26"/>
      <c r="Q4460" s="26"/>
      <c r="R4460" s="26"/>
    </row>
    <row r="4461" spans="9:18" x14ac:dyDescent="0.25">
      <c r="I4461" s="46"/>
      <c r="J4461" s="26"/>
      <c r="K4461" s="26"/>
      <c r="L4461" s="26"/>
      <c r="M4461" s="26"/>
      <c r="N4461" s="26"/>
      <c r="O4461" s="26"/>
      <c r="P4461" s="26"/>
      <c r="Q4461" s="26"/>
      <c r="R4461" s="26"/>
    </row>
    <row r="4462" spans="9:18" x14ac:dyDescent="0.25">
      <c r="I4462" s="46"/>
      <c r="J4462" s="26"/>
      <c r="K4462" s="26"/>
      <c r="L4462" s="26"/>
      <c r="M4462" s="26"/>
      <c r="N4462" s="26"/>
      <c r="O4462" s="26"/>
      <c r="P4462" s="26"/>
      <c r="Q4462" s="26"/>
      <c r="R4462" s="26"/>
    </row>
    <row r="4463" spans="9:18" x14ac:dyDescent="0.25">
      <c r="I4463" s="46"/>
      <c r="J4463" s="26"/>
      <c r="K4463" s="26"/>
      <c r="L4463" s="26"/>
      <c r="M4463" s="26"/>
      <c r="N4463" s="26"/>
      <c r="O4463" s="26"/>
      <c r="P4463" s="26"/>
      <c r="Q4463" s="26"/>
      <c r="R4463" s="26"/>
    </row>
    <row r="4464" spans="9:18" x14ac:dyDescent="0.25">
      <c r="I4464" s="46"/>
      <c r="J4464" s="26"/>
      <c r="K4464" s="26"/>
      <c r="L4464" s="26"/>
      <c r="M4464" s="26"/>
      <c r="N4464" s="26"/>
      <c r="O4464" s="26"/>
      <c r="P4464" s="26"/>
      <c r="Q4464" s="26"/>
      <c r="R4464" s="26"/>
    </row>
    <row r="4465" spans="9:18" x14ac:dyDescent="0.25">
      <c r="I4465" s="46"/>
      <c r="J4465" s="26"/>
      <c r="K4465" s="26"/>
      <c r="L4465" s="26"/>
      <c r="M4465" s="26"/>
      <c r="N4465" s="26"/>
      <c r="O4465" s="26"/>
      <c r="P4465" s="26"/>
      <c r="Q4465" s="26"/>
      <c r="R4465" s="26"/>
    </row>
    <row r="4466" spans="9:18" x14ac:dyDescent="0.25">
      <c r="I4466" s="46"/>
      <c r="J4466" s="26"/>
      <c r="K4466" s="26"/>
      <c r="L4466" s="26"/>
      <c r="M4466" s="26"/>
      <c r="N4466" s="26"/>
      <c r="O4466" s="26"/>
      <c r="P4466" s="26"/>
      <c r="Q4466" s="26"/>
      <c r="R4466" s="26"/>
    </row>
    <row r="4467" spans="9:18" x14ac:dyDescent="0.25">
      <c r="I4467" s="46"/>
      <c r="J4467" s="26"/>
      <c r="K4467" s="26"/>
      <c r="L4467" s="26"/>
      <c r="M4467" s="26"/>
      <c r="N4467" s="26"/>
      <c r="O4467" s="26"/>
      <c r="P4467" s="26"/>
      <c r="Q4467" s="26"/>
      <c r="R4467" s="26"/>
    </row>
    <row r="4468" spans="9:18" x14ac:dyDescent="0.25">
      <c r="I4468" s="46"/>
      <c r="J4468" s="26"/>
      <c r="K4468" s="26"/>
      <c r="L4468" s="26"/>
      <c r="M4468" s="26"/>
      <c r="N4468" s="26"/>
      <c r="O4468" s="26"/>
      <c r="P4468" s="26"/>
      <c r="Q4468" s="26"/>
      <c r="R4468" s="26"/>
    </row>
    <row r="4469" spans="9:18" x14ac:dyDescent="0.25">
      <c r="I4469" s="46"/>
      <c r="J4469" s="26"/>
      <c r="K4469" s="26"/>
      <c r="L4469" s="26"/>
      <c r="M4469" s="26"/>
      <c r="N4469" s="26"/>
      <c r="O4469" s="26"/>
      <c r="P4469" s="26"/>
      <c r="Q4469" s="26"/>
      <c r="R4469" s="26"/>
    </row>
    <row r="4470" spans="9:18" x14ac:dyDescent="0.25">
      <c r="I4470" s="46"/>
      <c r="J4470" s="26"/>
      <c r="K4470" s="26"/>
      <c r="L4470" s="26"/>
      <c r="M4470" s="26"/>
      <c r="N4470" s="26"/>
      <c r="O4470" s="26"/>
      <c r="P4470" s="26"/>
      <c r="Q4470" s="26"/>
      <c r="R4470" s="26"/>
    </row>
    <row r="4471" spans="9:18" x14ac:dyDescent="0.25">
      <c r="I4471" s="46"/>
      <c r="J4471" s="26"/>
      <c r="K4471" s="26"/>
      <c r="L4471" s="26"/>
      <c r="M4471" s="26"/>
      <c r="N4471" s="26"/>
      <c r="O4471" s="26"/>
      <c r="P4471" s="26"/>
      <c r="Q4471" s="26"/>
      <c r="R4471" s="26"/>
    </row>
    <row r="4472" spans="9:18" x14ac:dyDescent="0.25">
      <c r="I4472" s="46"/>
      <c r="J4472" s="26"/>
      <c r="K4472" s="26"/>
      <c r="L4472" s="26"/>
      <c r="M4472" s="26"/>
      <c r="N4472" s="26"/>
      <c r="O4472" s="26"/>
      <c r="P4472" s="26"/>
      <c r="Q4472" s="26"/>
      <c r="R4472" s="26"/>
    </row>
    <row r="4473" spans="9:18" x14ac:dyDescent="0.25">
      <c r="I4473" s="46"/>
      <c r="J4473" s="26"/>
      <c r="K4473" s="26"/>
      <c r="L4473" s="26"/>
      <c r="M4473" s="26"/>
      <c r="N4473" s="26"/>
      <c r="O4473" s="26"/>
      <c r="P4473" s="26"/>
      <c r="Q4473" s="26"/>
      <c r="R4473" s="26"/>
    </row>
    <row r="4474" spans="9:18" x14ac:dyDescent="0.25">
      <c r="I4474" s="46"/>
      <c r="J4474" s="26"/>
      <c r="K4474" s="26"/>
      <c r="L4474" s="26"/>
      <c r="M4474" s="26"/>
      <c r="N4474" s="26"/>
      <c r="O4474" s="26"/>
      <c r="P4474" s="26"/>
      <c r="Q4474" s="26"/>
      <c r="R4474" s="26"/>
    </row>
    <row r="4475" spans="9:18" x14ac:dyDescent="0.25">
      <c r="I4475" s="46"/>
      <c r="J4475" s="26"/>
      <c r="K4475" s="26"/>
      <c r="L4475" s="26"/>
      <c r="M4475" s="26"/>
      <c r="N4475" s="26"/>
      <c r="O4475" s="26"/>
      <c r="P4475" s="26"/>
      <c r="Q4475" s="26"/>
      <c r="R4475" s="26"/>
    </row>
    <row r="4476" spans="9:18" x14ac:dyDescent="0.25">
      <c r="I4476" s="46"/>
      <c r="J4476" s="26"/>
      <c r="K4476" s="26"/>
      <c r="L4476" s="26"/>
      <c r="M4476" s="26"/>
      <c r="N4476" s="26"/>
      <c r="O4476" s="26"/>
      <c r="P4476" s="26"/>
      <c r="Q4476" s="26"/>
      <c r="R4476" s="26"/>
    </row>
    <row r="4477" spans="9:18" x14ac:dyDescent="0.25">
      <c r="I4477" s="46"/>
      <c r="J4477" s="26"/>
      <c r="K4477" s="26"/>
      <c r="L4477" s="26"/>
      <c r="M4477" s="26"/>
      <c r="N4477" s="26"/>
      <c r="O4477" s="26"/>
      <c r="P4477" s="26"/>
      <c r="Q4477" s="26"/>
      <c r="R4477" s="26"/>
    </row>
    <row r="4478" spans="9:18" x14ac:dyDescent="0.25">
      <c r="I4478" s="46"/>
      <c r="J4478" s="26"/>
      <c r="K4478" s="26"/>
      <c r="L4478" s="26"/>
      <c r="M4478" s="26"/>
      <c r="N4478" s="26"/>
      <c r="O4478" s="26"/>
      <c r="P4478" s="26"/>
      <c r="Q4478" s="26"/>
      <c r="R4478" s="26"/>
    </row>
    <row r="4479" spans="9:18" x14ac:dyDescent="0.25">
      <c r="I4479" s="46"/>
      <c r="J4479" s="26"/>
      <c r="K4479" s="26"/>
      <c r="L4479" s="26"/>
      <c r="M4479" s="26"/>
      <c r="N4479" s="26"/>
      <c r="O4479" s="26"/>
      <c r="P4479" s="26"/>
      <c r="Q4479" s="26"/>
      <c r="R4479" s="26"/>
    </row>
    <row r="4480" spans="9:18" x14ac:dyDescent="0.25">
      <c r="I4480" s="46"/>
      <c r="J4480" s="26"/>
      <c r="K4480" s="26"/>
      <c r="L4480" s="26"/>
      <c r="M4480" s="26"/>
      <c r="N4480" s="26"/>
      <c r="O4480" s="26"/>
      <c r="P4480" s="26"/>
      <c r="Q4480" s="26"/>
      <c r="R4480" s="26"/>
    </row>
    <row r="4481" spans="9:18" x14ac:dyDescent="0.25">
      <c r="I4481" s="46"/>
      <c r="J4481" s="26"/>
      <c r="K4481" s="26"/>
      <c r="L4481" s="26"/>
      <c r="M4481" s="26"/>
      <c r="N4481" s="26"/>
      <c r="O4481" s="26"/>
      <c r="P4481" s="26"/>
      <c r="Q4481" s="26"/>
      <c r="R4481" s="26"/>
    </row>
    <row r="4482" spans="9:18" x14ac:dyDescent="0.25">
      <c r="I4482" s="46"/>
      <c r="J4482" s="26"/>
      <c r="K4482" s="26"/>
      <c r="L4482" s="26"/>
      <c r="M4482" s="26"/>
      <c r="N4482" s="26"/>
      <c r="O4482" s="26"/>
      <c r="P4482" s="26"/>
      <c r="Q4482" s="26"/>
      <c r="R4482" s="26"/>
    </row>
    <row r="4483" spans="9:18" x14ac:dyDescent="0.25">
      <c r="I4483" s="46"/>
      <c r="J4483" s="26"/>
      <c r="K4483" s="26"/>
      <c r="L4483" s="26"/>
      <c r="M4483" s="26"/>
      <c r="N4483" s="26"/>
      <c r="O4483" s="26"/>
      <c r="P4483" s="26"/>
      <c r="Q4483" s="26"/>
      <c r="R4483" s="26"/>
    </row>
    <row r="4484" spans="9:18" x14ac:dyDescent="0.25">
      <c r="I4484" s="46"/>
      <c r="J4484" s="26"/>
      <c r="K4484" s="26"/>
      <c r="L4484" s="26"/>
      <c r="M4484" s="26"/>
      <c r="N4484" s="26"/>
      <c r="O4484" s="26"/>
      <c r="P4484" s="26"/>
      <c r="Q4484" s="26"/>
      <c r="R4484" s="26"/>
    </row>
    <row r="4485" spans="9:18" x14ac:dyDescent="0.25">
      <c r="I4485" s="46"/>
      <c r="J4485" s="26"/>
      <c r="K4485" s="26"/>
      <c r="L4485" s="26"/>
      <c r="M4485" s="26"/>
      <c r="N4485" s="26"/>
      <c r="O4485" s="26"/>
      <c r="P4485" s="26"/>
      <c r="Q4485" s="26"/>
      <c r="R4485" s="26"/>
    </row>
    <row r="4486" spans="9:18" x14ac:dyDescent="0.25">
      <c r="I4486" s="46"/>
      <c r="J4486" s="26"/>
      <c r="K4486" s="26"/>
      <c r="L4486" s="26"/>
      <c r="M4486" s="26"/>
      <c r="N4486" s="26"/>
      <c r="O4486" s="26"/>
      <c r="P4486" s="26"/>
      <c r="Q4486" s="26"/>
      <c r="R4486" s="26"/>
    </row>
    <row r="4487" spans="9:18" x14ac:dyDescent="0.25">
      <c r="I4487" s="46"/>
      <c r="J4487" s="26"/>
      <c r="K4487" s="26"/>
      <c r="L4487" s="26"/>
      <c r="M4487" s="26"/>
      <c r="N4487" s="26"/>
      <c r="O4487" s="26"/>
      <c r="P4487" s="26"/>
      <c r="Q4487" s="26"/>
      <c r="R4487" s="26"/>
    </row>
    <row r="4488" spans="9:18" x14ac:dyDescent="0.25">
      <c r="I4488" s="46"/>
      <c r="J4488" s="26"/>
      <c r="K4488" s="26"/>
      <c r="L4488" s="26"/>
      <c r="M4488" s="26"/>
      <c r="N4488" s="26"/>
      <c r="O4488" s="26"/>
      <c r="P4488" s="26"/>
      <c r="Q4488" s="26"/>
      <c r="R4488" s="26"/>
    </row>
    <row r="4489" spans="9:18" x14ac:dyDescent="0.25">
      <c r="I4489" s="46"/>
      <c r="J4489" s="26"/>
      <c r="K4489" s="26"/>
      <c r="L4489" s="26"/>
      <c r="M4489" s="26"/>
      <c r="N4489" s="26"/>
      <c r="O4489" s="26"/>
      <c r="P4489" s="26"/>
      <c r="Q4489" s="26"/>
      <c r="R4489" s="26"/>
    </row>
    <row r="4490" spans="9:18" x14ac:dyDescent="0.25">
      <c r="I4490" s="46"/>
      <c r="J4490" s="26"/>
      <c r="K4490" s="26"/>
      <c r="L4490" s="26"/>
      <c r="M4490" s="26"/>
      <c r="N4490" s="26"/>
      <c r="O4490" s="26"/>
      <c r="P4490" s="26"/>
      <c r="Q4490" s="26"/>
      <c r="R4490" s="26"/>
    </row>
    <row r="4491" spans="9:18" x14ac:dyDescent="0.25">
      <c r="I4491" s="46"/>
      <c r="J4491" s="26"/>
      <c r="K4491" s="26"/>
      <c r="L4491" s="26"/>
      <c r="M4491" s="26"/>
      <c r="N4491" s="26"/>
      <c r="O4491" s="26"/>
      <c r="P4491" s="26"/>
      <c r="Q4491" s="26"/>
      <c r="R4491" s="26"/>
    </row>
    <row r="4492" spans="9:18" x14ac:dyDescent="0.25">
      <c r="I4492" s="46"/>
      <c r="J4492" s="26"/>
      <c r="K4492" s="26"/>
      <c r="L4492" s="26"/>
      <c r="M4492" s="26"/>
      <c r="N4492" s="26"/>
      <c r="O4492" s="26"/>
      <c r="P4492" s="26"/>
      <c r="Q4492" s="26"/>
      <c r="R4492" s="26"/>
    </row>
    <row r="4493" spans="9:18" x14ac:dyDescent="0.25">
      <c r="I4493" s="46"/>
      <c r="J4493" s="26"/>
      <c r="K4493" s="26"/>
      <c r="L4493" s="26"/>
      <c r="M4493" s="26"/>
      <c r="N4493" s="26"/>
      <c r="O4493" s="26"/>
      <c r="P4493" s="26"/>
      <c r="Q4493" s="26"/>
      <c r="R4493" s="26"/>
    </row>
    <row r="4494" spans="9:18" x14ac:dyDescent="0.25">
      <c r="I4494" s="46"/>
      <c r="J4494" s="26"/>
      <c r="K4494" s="26"/>
      <c r="L4494" s="26"/>
      <c r="M4494" s="26"/>
      <c r="N4494" s="26"/>
      <c r="O4494" s="26"/>
      <c r="P4494" s="26"/>
      <c r="Q4494" s="26"/>
      <c r="R4494" s="26"/>
    </row>
    <row r="4495" spans="9:18" x14ac:dyDescent="0.25">
      <c r="I4495" s="46"/>
      <c r="J4495" s="26"/>
      <c r="K4495" s="26"/>
      <c r="L4495" s="26"/>
      <c r="M4495" s="26"/>
      <c r="N4495" s="26"/>
      <c r="O4495" s="26"/>
      <c r="P4495" s="26"/>
      <c r="Q4495" s="26"/>
      <c r="R4495" s="26"/>
    </row>
    <row r="4496" spans="9:18" x14ac:dyDescent="0.25">
      <c r="I4496" s="46"/>
      <c r="J4496" s="26"/>
      <c r="K4496" s="26"/>
      <c r="L4496" s="26"/>
      <c r="M4496" s="26"/>
      <c r="N4496" s="26"/>
      <c r="O4496" s="26"/>
      <c r="P4496" s="26"/>
      <c r="Q4496" s="26"/>
      <c r="R4496" s="26"/>
    </row>
    <row r="4497" spans="9:18" x14ac:dyDescent="0.25">
      <c r="I4497" s="46"/>
      <c r="J4497" s="26"/>
      <c r="K4497" s="26"/>
      <c r="L4497" s="26"/>
      <c r="M4497" s="26"/>
      <c r="N4497" s="26"/>
      <c r="O4497" s="26"/>
      <c r="P4497" s="26"/>
      <c r="Q4497" s="26"/>
      <c r="R4497" s="26"/>
    </row>
    <row r="4498" spans="9:18" x14ac:dyDescent="0.25">
      <c r="I4498" s="46"/>
      <c r="J4498" s="26"/>
      <c r="K4498" s="26"/>
      <c r="L4498" s="26"/>
      <c r="M4498" s="26"/>
      <c r="N4498" s="26"/>
      <c r="O4498" s="26"/>
      <c r="P4498" s="26"/>
      <c r="Q4498" s="26"/>
      <c r="R4498" s="26"/>
    </row>
    <row r="4499" spans="9:18" x14ac:dyDescent="0.25">
      <c r="I4499" s="46"/>
      <c r="J4499" s="26"/>
      <c r="K4499" s="26"/>
      <c r="L4499" s="26"/>
      <c r="M4499" s="26"/>
      <c r="N4499" s="26"/>
      <c r="O4499" s="26"/>
      <c r="P4499" s="26"/>
      <c r="Q4499" s="26"/>
      <c r="R4499" s="26"/>
    </row>
    <row r="4500" spans="9:18" x14ac:dyDescent="0.25">
      <c r="I4500" s="46"/>
      <c r="J4500" s="26"/>
      <c r="K4500" s="26"/>
      <c r="L4500" s="26"/>
      <c r="M4500" s="26"/>
      <c r="N4500" s="26"/>
      <c r="O4500" s="26"/>
      <c r="P4500" s="26"/>
      <c r="Q4500" s="26"/>
      <c r="R4500" s="26"/>
    </row>
    <row r="4501" spans="9:18" x14ac:dyDescent="0.25">
      <c r="I4501" s="46"/>
      <c r="J4501" s="26"/>
      <c r="K4501" s="26"/>
      <c r="L4501" s="26"/>
      <c r="M4501" s="26"/>
      <c r="N4501" s="26"/>
      <c r="O4501" s="26"/>
      <c r="P4501" s="26"/>
      <c r="Q4501" s="26"/>
      <c r="R4501" s="26"/>
    </row>
    <row r="4502" spans="9:18" x14ac:dyDescent="0.25">
      <c r="I4502" s="46"/>
      <c r="J4502" s="26"/>
      <c r="K4502" s="26"/>
      <c r="L4502" s="26"/>
      <c r="M4502" s="26"/>
      <c r="N4502" s="26"/>
      <c r="O4502" s="26"/>
      <c r="P4502" s="26"/>
      <c r="Q4502" s="26"/>
      <c r="R4502" s="26"/>
    </row>
    <row r="4503" spans="9:18" x14ac:dyDescent="0.25">
      <c r="I4503" s="46"/>
      <c r="J4503" s="26"/>
      <c r="K4503" s="26"/>
      <c r="L4503" s="26"/>
      <c r="M4503" s="26"/>
      <c r="N4503" s="26"/>
      <c r="O4503" s="26"/>
      <c r="P4503" s="26"/>
      <c r="Q4503" s="26"/>
      <c r="R4503" s="26"/>
    </row>
    <row r="4504" spans="9:18" x14ac:dyDescent="0.25">
      <c r="I4504" s="46"/>
      <c r="J4504" s="26"/>
      <c r="K4504" s="26"/>
      <c r="L4504" s="26"/>
      <c r="M4504" s="26"/>
      <c r="N4504" s="26"/>
      <c r="O4504" s="26"/>
      <c r="P4504" s="26"/>
      <c r="Q4504" s="26"/>
      <c r="R4504" s="26"/>
    </row>
    <row r="4505" spans="9:18" x14ac:dyDescent="0.25">
      <c r="I4505" s="46"/>
      <c r="J4505" s="26"/>
      <c r="K4505" s="26"/>
      <c r="L4505" s="26"/>
      <c r="M4505" s="26"/>
      <c r="N4505" s="26"/>
      <c r="O4505" s="26"/>
      <c r="P4505" s="26"/>
      <c r="Q4505" s="26"/>
      <c r="R4505" s="26"/>
    </row>
    <row r="4506" spans="9:18" x14ac:dyDescent="0.25">
      <c r="I4506" s="46"/>
      <c r="J4506" s="26"/>
      <c r="K4506" s="26"/>
      <c r="L4506" s="26"/>
      <c r="M4506" s="26"/>
      <c r="N4506" s="26"/>
      <c r="O4506" s="26"/>
      <c r="P4506" s="26"/>
      <c r="Q4506" s="26"/>
      <c r="R4506" s="26"/>
    </row>
    <row r="4507" spans="9:18" x14ac:dyDescent="0.25">
      <c r="I4507" s="46"/>
      <c r="J4507" s="26"/>
      <c r="K4507" s="26"/>
      <c r="L4507" s="26"/>
      <c r="M4507" s="26"/>
      <c r="N4507" s="26"/>
      <c r="O4507" s="26"/>
      <c r="P4507" s="26"/>
      <c r="Q4507" s="26"/>
      <c r="R4507" s="26"/>
    </row>
    <row r="4508" spans="9:18" x14ac:dyDescent="0.25">
      <c r="I4508" s="46"/>
      <c r="J4508" s="26"/>
      <c r="K4508" s="26"/>
      <c r="L4508" s="26"/>
      <c r="M4508" s="26"/>
      <c r="N4508" s="26"/>
      <c r="O4508" s="26"/>
      <c r="P4508" s="26"/>
      <c r="Q4508" s="26"/>
      <c r="R4508" s="26"/>
    </row>
    <row r="4509" spans="9:18" x14ac:dyDescent="0.25">
      <c r="I4509" s="46"/>
      <c r="J4509" s="26"/>
      <c r="K4509" s="26"/>
      <c r="L4509" s="26"/>
      <c r="M4509" s="26"/>
      <c r="N4509" s="26"/>
      <c r="O4509" s="26"/>
      <c r="P4509" s="26"/>
      <c r="Q4509" s="26"/>
      <c r="R4509" s="26"/>
    </row>
    <row r="4510" spans="9:18" x14ac:dyDescent="0.25">
      <c r="I4510" s="46"/>
      <c r="J4510" s="26"/>
      <c r="K4510" s="26"/>
      <c r="L4510" s="26"/>
      <c r="M4510" s="26"/>
      <c r="N4510" s="26"/>
      <c r="O4510" s="26"/>
      <c r="P4510" s="26"/>
      <c r="Q4510" s="26"/>
      <c r="R4510" s="26"/>
    </row>
    <row r="4511" spans="9:18" x14ac:dyDescent="0.25">
      <c r="I4511" s="46"/>
      <c r="J4511" s="26"/>
      <c r="K4511" s="26"/>
      <c r="L4511" s="26"/>
      <c r="M4511" s="26"/>
      <c r="N4511" s="26"/>
      <c r="O4511" s="26"/>
      <c r="P4511" s="26"/>
      <c r="Q4511" s="26"/>
      <c r="R4511" s="26"/>
    </row>
    <row r="4512" spans="9:18" x14ac:dyDescent="0.25">
      <c r="I4512" s="46"/>
      <c r="J4512" s="26"/>
      <c r="K4512" s="26"/>
      <c r="L4512" s="26"/>
      <c r="M4512" s="26"/>
      <c r="N4512" s="26"/>
      <c r="O4512" s="26"/>
      <c r="P4512" s="26"/>
      <c r="Q4512" s="26"/>
      <c r="R4512" s="26"/>
    </row>
    <row r="4513" spans="9:18" x14ac:dyDescent="0.25">
      <c r="I4513" s="46"/>
      <c r="J4513" s="26"/>
      <c r="K4513" s="26"/>
      <c r="L4513" s="26"/>
      <c r="M4513" s="26"/>
      <c r="N4513" s="26"/>
      <c r="O4513" s="26"/>
      <c r="P4513" s="26"/>
      <c r="Q4513" s="26"/>
      <c r="R4513" s="26"/>
    </row>
    <row r="4514" spans="9:18" x14ac:dyDescent="0.25">
      <c r="I4514" s="46"/>
      <c r="J4514" s="26"/>
      <c r="K4514" s="26"/>
      <c r="L4514" s="26"/>
      <c r="M4514" s="26"/>
      <c r="N4514" s="26"/>
      <c r="O4514" s="26"/>
      <c r="P4514" s="26"/>
      <c r="Q4514" s="26"/>
      <c r="R4514" s="26"/>
    </row>
    <row r="4515" spans="9:18" x14ac:dyDescent="0.25">
      <c r="I4515" s="46"/>
      <c r="J4515" s="26"/>
      <c r="K4515" s="26"/>
      <c r="L4515" s="26"/>
      <c r="M4515" s="26"/>
      <c r="N4515" s="26"/>
      <c r="O4515" s="26"/>
      <c r="P4515" s="26"/>
      <c r="Q4515" s="26"/>
      <c r="R4515" s="26"/>
    </row>
    <row r="4516" spans="9:18" x14ac:dyDescent="0.25">
      <c r="I4516" s="46"/>
      <c r="J4516" s="26"/>
      <c r="K4516" s="26"/>
      <c r="L4516" s="26"/>
      <c r="M4516" s="26"/>
      <c r="N4516" s="26"/>
      <c r="O4516" s="26"/>
      <c r="P4516" s="26"/>
      <c r="Q4516" s="26"/>
      <c r="R4516" s="26"/>
    </row>
    <row r="4517" spans="9:18" x14ac:dyDescent="0.25">
      <c r="I4517" s="46"/>
      <c r="J4517" s="26"/>
      <c r="K4517" s="26"/>
      <c r="L4517" s="26"/>
      <c r="M4517" s="26"/>
      <c r="N4517" s="26"/>
      <c r="O4517" s="26"/>
      <c r="P4517" s="26"/>
      <c r="Q4517" s="26"/>
      <c r="R4517" s="26"/>
    </row>
    <row r="4518" spans="9:18" x14ac:dyDescent="0.25">
      <c r="I4518" s="46"/>
      <c r="J4518" s="26"/>
      <c r="K4518" s="26"/>
      <c r="L4518" s="26"/>
      <c r="M4518" s="26"/>
      <c r="N4518" s="26"/>
      <c r="O4518" s="26"/>
      <c r="P4518" s="26"/>
      <c r="Q4518" s="26"/>
      <c r="R4518" s="26"/>
    </row>
    <row r="4519" spans="9:18" x14ac:dyDescent="0.25">
      <c r="I4519" s="46"/>
      <c r="J4519" s="26"/>
      <c r="K4519" s="26"/>
      <c r="L4519" s="26"/>
      <c r="M4519" s="26"/>
      <c r="N4519" s="26"/>
      <c r="O4519" s="26"/>
      <c r="P4519" s="26"/>
      <c r="Q4519" s="26"/>
      <c r="R4519" s="26"/>
    </row>
    <row r="4520" spans="9:18" x14ac:dyDescent="0.25">
      <c r="I4520" s="46"/>
      <c r="J4520" s="26"/>
      <c r="K4520" s="26"/>
      <c r="L4520" s="26"/>
      <c r="M4520" s="26"/>
      <c r="N4520" s="26"/>
      <c r="O4520" s="26"/>
      <c r="P4520" s="26"/>
      <c r="Q4520" s="26"/>
      <c r="R4520" s="26"/>
    </row>
    <row r="4521" spans="9:18" x14ac:dyDescent="0.25">
      <c r="I4521" s="46"/>
      <c r="J4521" s="26"/>
      <c r="K4521" s="26"/>
      <c r="L4521" s="26"/>
      <c r="M4521" s="26"/>
      <c r="N4521" s="26"/>
      <c r="O4521" s="26"/>
      <c r="P4521" s="26"/>
      <c r="Q4521" s="26"/>
      <c r="R4521" s="26"/>
    </row>
    <row r="4522" spans="9:18" x14ac:dyDescent="0.25">
      <c r="I4522" s="46"/>
      <c r="J4522" s="26"/>
      <c r="K4522" s="26"/>
      <c r="L4522" s="26"/>
      <c r="M4522" s="26"/>
      <c r="N4522" s="26"/>
      <c r="O4522" s="26"/>
      <c r="P4522" s="26"/>
      <c r="Q4522" s="26"/>
      <c r="R4522" s="26"/>
    </row>
    <row r="4523" spans="9:18" x14ac:dyDescent="0.25">
      <c r="I4523" s="46"/>
      <c r="J4523" s="26"/>
      <c r="K4523" s="26"/>
      <c r="L4523" s="26"/>
      <c r="M4523" s="26"/>
      <c r="N4523" s="26"/>
      <c r="O4523" s="26"/>
      <c r="P4523" s="26"/>
      <c r="Q4523" s="26"/>
      <c r="R4523" s="26"/>
    </row>
    <row r="4524" spans="9:18" x14ac:dyDescent="0.25">
      <c r="I4524" s="46"/>
      <c r="J4524" s="26"/>
      <c r="K4524" s="26"/>
      <c r="L4524" s="26"/>
      <c r="M4524" s="26"/>
      <c r="N4524" s="26"/>
      <c r="O4524" s="26"/>
      <c r="P4524" s="26"/>
      <c r="Q4524" s="26"/>
      <c r="R4524" s="26"/>
    </row>
    <row r="4525" spans="9:18" x14ac:dyDescent="0.25">
      <c r="I4525" s="46"/>
      <c r="J4525" s="26"/>
      <c r="K4525" s="26"/>
      <c r="L4525" s="26"/>
      <c r="M4525" s="26"/>
      <c r="N4525" s="26"/>
      <c r="O4525" s="26"/>
      <c r="P4525" s="26"/>
      <c r="Q4525" s="26"/>
      <c r="R4525" s="26"/>
    </row>
    <row r="4526" spans="9:18" x14ac:dyDescent="0.25">
      <c r="I4526" s="46"/>
      <c r="J4526" s="26"/>
      <c r="K4526" s="26"/>
      <c r="L4526" s="26"/>
      <c r="M4526" s="26"/>
      <c r="N4526" s="26"/>
      <c r="O4526" s="26"/>
      <c r="P4526" s="26"/>
      <c r="Q4526" s="26"/>
      <c r="R4526" s="26"/>
    </row>
    <row r="4527" spans="9:18" x14ac:dyDescent="0.25">
      <c r="I4527" s="46"/>
      <c r="J4527" s="26"/>
      <c r="K4527" s="26"/>
      <c r="L4527" s="26"/>
      <c r="M4527" s="26"/>
      <c r="N4527" s="26"/>
      <c r="O4527" s="26"/>
      <c r="P4527" s="26"/>
      <c r="Q4527" s="26"/>
      <c r="R4527" s="26"/>
    </row>
    <row r="4528" spans="9:18" x14ac:dyDescent="0.25">
      <c r="I4528" s="46"/>
      <c r="J4528" s="26"/>
      <c r="K4528" s="26"/>
      <c r="L4528" s="26"/>
      <c r="M4528" s="26"/>
      <c r="N4528" s="26"/>
      <c r="O4528" s="26"/>
      <c r="P4528" s="26"/>
      <c r="Q4528" s="26"/>
      <c r="R4528" s="26"/>
    </row>
    <row r="4529" spans="9:18" x14ac:dyDescent="0.25">
      <c r="I4529" s="46"/>
      <c r="J4529" s="26"/>
      <c r="K4529" s="26"/>
      <c r="L4529" s="26"/>
      <c r="M4529" s="26"/>
      <c r="N4529" s="26"/>
      <c r="O4529" s="26"/>
      <c r="P4529" s="26"/>
      <c r="Q4529" s="26"/>
      <c r="R4529" s="26"/>
    </row>
    <row r="4530" spans="9:18" x14ac:dyDescent="0.25">
      <c r="I4530" s="46"/>
      <c r="J4530" s="26"/>
      <c r="K4530" s="26"/>
      <c r="L4530" s="26"/>
      <c r="M4530" s="26"/>
      <c r="N4530" s="26"/>
      <c r="O4530" s="26"/>
      <c r="P4530" s="26"/>
      <c r="Q4530" s="26"/>
      <c r="R4530" s="26"/>
    </row>
    <row r="4531" spans="9:18" x14ac:dyDescent="0.25">
      <c r="I4531" s="46"/>
      <c r="J4531" s="26"/>
      <c r="K4531" s="26"/>
      <c r="L4531" s="26"/>
      <c r="M4531" s="26"/>
      <c r="N4531" s="26"/>
      <c r="O4531" s="26"/>
      <c r="P4531" s="26"/>
      <c r="Q4531" s="26"/>
      <c r="R4531" s="26"/>
    </row>
    <row r="4532" spans="9:18" x14ac:dyDescent="0.25">
      <c r="I4532" s="46"/>
      <c r="J4532" s="26"/>
      <c r="K4532" s="26"/>
      <c r="L4532" s="26"/>
      <c r="M4532" s="26"/>
      <c r="N4532" s="26"/>
      <c r="O4532" s="26"/>
      <c r="P4532" s="26"/>
      <c r="Q4532" s="26"/>
      <c r="R4532" s="26"/>
    </row>
    <row r="4533" spans="9:18" x14ac:dyDescent="0.25">
      <c r="I4533" s="46"/>
      <c r="J4533" s="26"/>
      <c r="K4533" s="26"/>
      <c r="L4533" s="26"/>
      <c r="M4533" s="26"/>
      <c r="N4533" s="26"/>
      <c r="O4533" s="26"/>
      <c r="P4533" s="26"/>
      <c r="Q4533" s="26"/>
      <c r="R4533" s="26"/>
    </row>
    <row r="4534" spans="9:18" x14ac:dyDescent="0.25">
      <c r="I4534" s="46"/>
      <c r="J4534" s="26"/>
      <c r="K4534" s="26"/>
      <c r="L4534" s="26"/>
      <c r="M4534" s="26"/>
      <c r="N4534" s="26"/>
      <c r="O4534" s="26"/>
      <c r="P4534" s="26"/>
      <c r="Q4534" s="26"/>
      <c r="R4534" s="26"/>
    </row>
    <row r="4535" spans="9:18" x14ac:dyDescent="0.25">
      <c r="I4535" s="46"/>
      <c r="J4535" s="26"/>
      <c r="K4535" s="26"/>
      <c r="L4535" s="26"/>
      <c r="M4535" s="26"/>
      <c r="N4535" s="26"/>
      <c r="O4535" s="26"/>
      <c r="P4535" s="26"/>
      <c r="Q4535" s="26"/>
      <c r="R4535" s="26"/>
    </row>
    <row r="4536" spans="9:18" x14ac:dyDescent="0.25">
      <c r="I4536" s="46"/>
      <c r="J4536" s="26"/>
      <c r="K4536" s="26"/>
      <c r="L4536" s="26"/>
      <c r="M4536" s="26"/>
      <c r="N4536" s="26"/>
      <c r="O4536" s="26"/>
      <c r="P4536" s="26"/>
      <c r="Q4536" s="26"/>
      <c r="R4536" s="26"/>
    </row>
    <row r="4537" spans="9:18" x14ac:dyDescent="0.25">
      <c r="I4537" s="46"/>
      <c r="J4537" s="26"/>
      <c r="K4537" s="26"/>
      <c r="L4537" s="26"/>
      <c r="M4537" s="26"/>
      <c r="N4537" s="26"/>
      <c r="O4537" s="26"/>
      <c r="P4537" s="26"/>
      <c r="Q4537" s="26"/>
      <c r="R4537" s="26"/>
    </row>
    <row r="4538" spans="9:18" x14ac:dyDescent="0.25">
      <c r="I4538" s="46"/>
      <c r="J4538" s="26"/>
      <c r="K4538" s="26"/>
      <c r="L4538" s="26"/>
      <c r="M4538" s="26"/>
      <c r="N4538" s="26"/>
      <c r="O4538" s="26"/>
      <c r="P4538" s="26"/>
      <c r="Q4538" s="26"/>
      <c r="R4538" s="26"/>
    </row>
    <row r="4539" spans="9:18" x14ac:dyDescent="0.25">
      <c r="I4539" s="46"/>
      <c r="J4539" s="26"/>
      <c r="K4539" s="26"/>
      <c r="L4539" s="26"/>
      <c r="M4539" s="26"/>
      <c r="N4539" s="26"/>
      <c r="O4539" s="26"/>
      <c r="P4539" s="26"/>
      <c r="Q4539" s="26"/>
      <c r="R4539" s="26"/>
    </row>
    <row r="4540" spans="9:18" x14ac:dyDescent="0.25">
      <c r="I4540" s="46"/>
      <c r="J4540" s="26"/>
      <c r="K4540" s="26"/>
      <c r="L4540" s="26"/>
      <c r="M4540" s="26"/>
      <c r="N4540" s="26"/>
      <c r="O4540" s="26"/>
      <c r="P4540" s="26"/>
      <c r="Q4540" s="26"/>
      <c r="R4540" s="26"/>
    </row>
    <row r="4541" spans="9:18" x14ac:dyDescent="0.25">
      <c r="I4541" s="46"/>
      <c r="J4541" s="26"/>
      <c r="K4541" s="26"/>
      <c r="L4541" s="26"/>
      <c r="M4541" s="26"/>
      <c r="N4541" s="26"/>
      <c r="O4541" s="26"/>
      <c r="P4541" s="26"/>
      <c r="Q4541" s="26"/>
      <c r="R4541" s="26"/>
    </row>
    <row r="4542" spans="9:18" x14ac:dyDescent="0.25">
      <c r="I4542" s="46"/>
      <c r="J4542" s="26"/>
      <c r="K4542" s="26"/>
      <c r="L4542" s="26"/>
      <c r="M4542" s="26"/>
      <c r="N4542" s="26"/>
      <c r="O4542" s="26"/>
      <c r="P4542" s="26"/>
      <c r="Q4542" s="26"/>
      <c r="R4542" s="26"/>
    </row>
    <row r="4543" spans="9:18" x14ac:dyDescent="0.25">
      <c r="I4543" s="46"/>
      <c r="J4543" s="26"/>
      <c r="K4543" s="26"/>
      <c r="L4543" s="26"/>
      <c r="M4543" s="26"/>
      <c r="N4543" s="26"/>
      <c r="O4543" s="26"/>
      <c r="P4543" s="26"/>
      <c r="Q4543" s="26"/>
      <c r="R4543" s="26"/>
    </row>
    <row r="4544" spans="9:18" x14ac:dyDescent="0.25">
      <c r="I4544" s="46"/>
      <c r="J4544" s="26"/>
      <c r="K4544" s="26"/>
      <c r="L4544" s="26"/>
      <c r="M4544" s="26"/>
      <c r="N4544" s="26"/>
      <c r="O4544" s="26"/>
      <c r="P4544" s="26"/>
      <c r="Q4544" s="26"/>
      <c r="R4544" s="26"/>
    </row>
    <row r="4545" spans="9:18" x14ac:dyDescent="0.25">
      <c r="I4545" s="46"/>
      <c r="J4545" s="26"/>
      <c r="K4545" s="26"/>
      <c r="L4545" s="26"/>
      <c r="M4545" s="26"/>
      <c r="N4545" s="26"/>
      <c r="O4545" s="26"/>
      <c r="P4545" s="26"/>
      <c r="Q4545" s="26"/>
      <c r="R4545" s="26"/>
    </row>
    <row r="4546" spans="9:18" x14ac:dyDescent="0.25">
      <c r="I4546" s="46"/>
      <c r="J4546" s="26"/>
      <c r="K4546" s="26"/>
      <c r="L4546" s="26"/>
      <c r="M4546" s="26"/>
      <c r="N4546" s="26"/>
      <c r="O4546" s="26"/>
      <c r="P4546" s="26"/>
      <c r="Q4546" s="26"/>
      <c r="R4546" s="26"/>
    </row>
    <row r="4547" spans="9:18" x14ac:dyDescent="0.25">
      <c r="I4547" s="46"/>
      <c r="J4547" s="26"/>
      <c r="K4547" s="26"/>
      <c r="L4547" s="26"/>
      <c r="M4547" s="26"/>
      <c r="N4547" s="26"/>
      <c r="O4547" s="26"/>
      <c r="P4547" s="26"/>
      <c r="Q4547" s="26"/>
      <c r="R4547" s="26"/>
    </row>
    <row r="4548" spans="9:18" x14ac:dyDescent="0.25">
      <c r="I4548" s="46"/>
      <c r="J4548" s="26"/>
      <c r="K4548" s="26"/>
      <c r="L4548" s="26"/>
      <c r="M4548" s="26"/>
      <c r="N4548" s="26"/>
      <c r="O4548" s="26"/>
      <c r="P4548" s="26"/>
      <c r="Q4548" s="26"/>
      <c r="R4548" s="26"/>
    </row>
    <row r="4549" spans="9:18" x14ac:dyDescent="0.25">
      <c r="I4549" s="46"/>
      <c r="J4549" s="26"/>
      <c r="K4549" s="26"/>
      <c r="L4549" s="26"/>
      <c r="M4549" s="26"/>
      <c r="N4549" s="26"/>
      <c r="O4549" s="26"/>
      <c r="P4549" s="26"/>
      <c r="Q4549" s="26"/>
      <c r="R4549" s="26"/>
    </row>
    <row r="4550" spans="9:18" x14ac:dyDescent="0.25">
      <c r="I4550" s="46"/>
      <c r="J4550" s="26"/>
      <c r="K4550" s="26"/>
      <c r="L4550" s="26"/>
      <c r="M4550" s="26"/>
      <c r="N4550" s="26"/>
      <c r="O4550" s="26"/>
      <c r="P4550" s="26"/>
      <c r="Q4550" s="26"/>
      <c r="R4550" s="26"/>
    </row>
    <row r="4551" spans="9:18" x14ac:dyDescent="0.25">
      <c r="I4551" s="46"/>
      <c r="J4551" s="26"/>
      <c r="K4551" s="26"/>
      <c r="L4551" s="26"/>
      <c r="M4551" s="26"/>
      <c r="N4551" s="26"/>
      <c r="O4551" s="26"/>
      <c r="P4551" s="26"/>
      <c r="Q4551" s="26"/>
      <c r="R4551" s="26"/>
    </row>
    <row r="4552" spans="9:18" x14ac:dyDescent="0.25">
      <c r="I4552" s="46"/>
      <c r="J4552" s="26"/>
      <c r="K4552" s="26"/>
      <c r="L4552" s="26"/>
      <c r="M4552" s="26"/>
      <c r="N4552" s="26"/>
      <c r="O4552" s="26"/>
      <c r="P4552" s="26"/>
      <c r="Q4552" s="26"/>
      <c r="R4552" s="26"/>
    </row>
    <row r="4553" spans="9:18" x14ac:dyDescent="0.25">
      <c r="I4553" s="46"/>
      <c r="J4553" s="26"/>
      <c r="K4553" s="26"/>
      <c r="L4553" s="26"/>
      <c r="M4553" s="26"/>
      <c r="N4553" s="26"/>
      <c r="O4553" s="26"/>
      <c r="P4553" s="26"/>
      <c r="Q4553" s="26"/>
      <c r="R4553" s="26"/>
    </row>
    <row r="4554" spans="9:18" x14ac:dyDescent="0.25">
      <c r="I4554" s="46"/>
      <c r="J4554" s="26"/>
      <c r="K4554" s="26"/>
      <c r="L4554" s="26"/>
      <c r="M4554" s="26"/>
      <c r="N4554" s="26"/>
      <c r="O4554" s="26"/>
      <c r="P4554" s="26"/>
      <c r="Q4554" s="26"/>
      <c r="R4554" s="26"/>
    </row>
    <row r="4555" spans="9:18" x14ac:dyDescent="0.25">
      <c r="I4555" s="46"/>
      <c r="J4555" s="26"/>
      <c r="K4555" s="26"/>
      <c r="L4555" s="26"/>
      <c r="M4555" s="26"/>
      <c r="N4555" s="26"/>
      <c r="O4555" s="26"/>
      <c r="P4555" s="26"/>
      <c r="Q4555" s="26"/>
      <c r="R4555" s="26"/>
    </row>
    <row r="4556" spans="9:18" x14ac:dyDescent="0.25">
      <c r="I4556" s="46"/>
      <c r="J4556" s="26"/>
      <c r="K4556" s="26"/>
      <c r="L4556" s="26"/>
      <c r="M4556" s="26"/>
      <c r="N4556" s="26"/>
      <c r="O4556" s="26"/>
      <c r="P4556" s="26"/>
      <c r="Q4556" s="26"/>
      <c r="R4556" s="26"/>
    </row>
    <row r="4557" spans="9:18" x14ac:dyDescent="0.25">
      <c r="I4557" s="46"/>
      <c r="J4557" s="26"/>
      <c r="K4557" s="26"/>
      <c r="L4557" s="26"/>
      <c r="M4557" s="26"/>
      <c r="N4557" s="26"/>
      <c r="O4557" s="26"/>
      <c r="P4557" s="26"/>
      <c r="Q4557" s="26"/>
      <c r="R4557" s="26"/>
    </row>
    <row r="4558" spans="9:18" x14ac:dyDescent="0.25">
      <c r="I4558" s="46"/>
      <c r="J4558" s="26"/>
      <c r="K4558" s="26"/>
      <c r="L4558" s="26"/>
      <c r="M4558" s="26"/>
      <c r="N4558" s="26"/>
      <c r="O4558" s="26"/>
      <c r="P4558" s="26"/>
      <c r="Q4558" s="26"/>
      <c r="R4558" s="26"/>
    </row>
    <row r="4559" spans="9:18" x14ac:dyDescent="0.25">
      <c r="I4559" s="46"/>
      <c r="J4559" s="26"/>
      <c r="K4559" s="26"/>
      <c r="L4559" s="26"/>
      <c r="M4559" s="26"/>
      <c r="N4559" s="26"/>
      <c r="O4559" s="26"/>
      <c r="P4559" s="26"/>
      <c r="Q4559" s="26"/>
      <c r="R4559" s="26"/>
    </row>
    <row r="4560" spans="9:18" x14ac:dyDescent="0.25">
      <c r="I4560" s="46"/>
      <c r="J4560" s="26"/>
      <c r="K4560" s="26"/>
      <c r="L4560" s="26"/>
      <c r="M4560" s="26"/>
      <c r="N4560" s="26"/>
      <c r="O4560" s="26"/>
      <c r="P4560" s="26"/>
      <c r="Q4560" s="26"/>
      <c r="R4560" s="26"/>
    </row>
    <row r="4561" spans="9:18" x14ac:dyDescent="0.25">
      <c r="I4561" s="46"/>
      <c r="J4561" s="26"/>
      <c r="K4561" s="26"/>
      <c r="L4561" s="26"/>
      <c r="M4561" s="26"/>
      <c r="N4561" s="26"/>
      <c r="O4561" s="26"/>
      <c r="P4561" s="26"/>
      <c r="Q4561" s="26"/>
      <c r="R4561" s="26"/>
    </row>
    <row r="4562" spans="9:18" x14ac:dyDescent="0.25">
      <c r="I4562" s="46"/>
      <c r="J4562" s="26"/>
      <c r="K4562" s="26"/>
      <c r="L4562" s="26"/>
      <c r="M4562" s="26"/>
      <c r="N4562" s="26"/>
      <c r="O4562" s="26"/>
      <c r="P4562" s="26"/>
      <c r="Q4562" s="26"/>
      <c r="R4562" s="26"/>
    </row>
    <row r="4563" spans="9:18" x14ac:dyDescent="0.25">
      <c r="I4563" s="46"/>
      <c r="J4563" s="26"/>
      <c r="K4563" s="26"/>
      <c r="L4563" s="26"/>
      <c r="M4563" s="26"/>
      <c r="N4563" s="26"/>
      <c r="O4563" s="26"/>
      <c r="P4563" s="26"/>
      <c r="Q4563" s="26"/>
      <c r="R4563" s="26"/>
    </row>
    <row r="4564" spans="9:18" x14ac:dyDescent="0.25">
      <c r="I4564" s="46"/>
      <c r="J4564" s="26"/>
      <c r="K4564" s="26"/>
      <c r="L4564" s="26"/>
      <c r="M4564" s="26"/>
      <c r="N4564" s="26"/>
      <c r="O4564" s="26"/>
      <c r="P4564" s="26"/>
      <c r="Q4564" s="26"/>
      <c r="R4564" s="26"/>
    </row>
    <row r="4565" spans="9:18" x14ac:dyDescent="0.25">
      <c r="I4565" s="46"/>
      <c r="J4565" s="26"/>
      <c r="K4565" s="26"/>
      <c r="L4565" s="26"/>
      <c r="M4565" s="26"/>
      <c r="N4565" s="26"/>
      <c r="O4565" s="26"/>
      <c r="P4565" s="26"/>
      <c r="Q4565" s="26"/>
      <c r="R4565" s="26"/>
    </row>
    <row r="4566" spans="9:18" x14ac:dyDescent="0.25">
      <c r="I4566" s="46"/>
      <c r="J4566" s="26"/>
      <c r="K4566" s="26"/>
      <c r="L4566" s="26"/>
      <c r="M4566" s="26"/>
      <c r="N4566" s="26"/>
      <c r="O4566" s="26"/>
      <c r="P4566" s="26"/>
      <c r="Q4566" s="26"/>
      <c r="R4566" s="26"/>
    </row>
    <row r="4567" spans="9:18" x14ac:dyDescent="0.25">
      <c r="I4567" s="46"/>
      <c r="J4567" s="26"/>
      <c r="K4567" s="26"/>
      <c r="L4567" s="26"/>
      <c r="M4567" s="26"/>
      <c r="N4567" s="26"/>
      <c r="O4567" s="26"/>
      <c r="P4567" s="26"/>
      <c r="Q4567" s="26"/>
      <c r="R4567" s="26"/>
    </row>
    <row r="4568" spans="9:18" x14ac:dyDescent="0.25">
      <c r="I4568" s="46"/>
      <c r="J4568" s="26"/>
      <c r="K4568" s="26"/>
      <c r="L4568" s="26"/>
      <c r="M4568" s="26"/>
      <c r="N4568" s="26"/>
      <c r="O4568" s="26"/>
      <c r="P4568" s="26"/>
      <c r="Q4568" s="26"/>
      <c r="R4568" s="26"/>
    </row>
    <row r="4569" spans="9:18" x14ac:dyDescent="0.25">
      <c r="I4569" s="46"/>
      <c r="J4569" s="26"/>
      <c r="K4569" s="26"/>
      <c r="L4569" s="26"/>
      <c r="M4569" s="26"/>
      <c r="N4569" s="26"/>
      <c r="O4569" s="26"/>
      <c r="P4569" s="26"/>
      <c r="Q4569" s="26"/>
      <c r="R4569" s="26"/>
    </row>
    <row r="4570" spans="9:18" x14ac:dyDescent="0.25">
      <c r="I4570" s="46"/>
      <c r="J4570" s="26"/>
      <c r="K4570" s="26"/>
      <c r="L4570" s="26"/>
      <c r="M4570" s="26"/>
      <c r="N4570" s="26"/>
      <c r="O4570" s="26"/>
      <c r="P4570" s="26"/>
      <c r="Q4570" s="26"/>
      <c r="R4570" s="26"/>
    </row>
    <row r="4571" spans="9:18" x14ac:dyDescent="0.25">
      <c r="I4571" s="46"/>
      <c r="J4571" s="26"/>
      <c r="K4571" s="26"/>
      <c r="L4571" s="26"/>
      <c r="M4571" s="26"/>
      <c r="N4571" s="26"/>
      <c r="O4571" s="26"/>
      <c r="P4571" s="26"/>
      <c r="Q4571" s="26"/>
      <c r="R4571" s="26"/>
    </row>
    <row r="4572" spans="9:18" x14ac:dyDescent="0.25">
      <c r="I4572" s="46"/>
      <c r="J4572" s="26"/>
      <c r="K4572" s="26"/>
      <c r="L4572" s="26"/>
      <c r="M4572" s="26"/>
      <c r="N4572" s="26"/>
      <c r="O4572" s="26"/>
      <c r="P4572" s="26"/>
      <c r="Q4572" s="26"/>
      <c r="R4572" s="26"/>
    </row>
    <row r="4573" spans="9:18" x14ac:dyDescent="0.25">
      <c r="I4573" s="46"/>
      <c r="J4573" s="26"/>
      <c r="K4573" s="26"/>
      <c r="L4573" s="26"/>
      <c r="M4573" s="26"/>
      <c r="N4573" s="26"/>
      <c r="O4573" s="26"/>
      <c r="P4573" s="26"/>
      <c r="Q4573" s="26"/>
      <c r="R4573" s="26"/>
    </row>
    <row r="4574" spans="9:18" x14ac:dyDescent="0.25">
      <c r="I4574" s="46"/>
      <c r="J4574" s="26"/>
      <c r="K4574" s="26"/>
      <c r="L4574" s="26"/>
      <c r="M4574" s="26"/>
      <c r="N4574" s="26"/>
      <c r="O4574" s="26"/>
      <c r="P4574" s="26"/>
      <c r="Q4574" s="26"/>
      <c r="R4574" s="26"/>
    </row>
    <row r="4575" spans="9:18" x14ac:dyDescent="0.25">
      <c r="I4575" s="46"/>
      <c r="J4575" s="26"/>
      <c r="K4575" s="26"/>
      <c r="L4575" s="26"/>
      <c r="M4575" s="26"/>
      <c r="N4575" s="26"/>
      <c r="O4575" s="26"/>
      <c r="P4575" s="26"/>
      <c r="Q4575" s="26"/>
      <c r="R4575" s="26"/>
    </row>
    <row r="4576" spans="9:18" x14ac:dyDescent="0.25">
      <c r="I4576" s="46"/>
      <c r="J4576" s="26"/>
      <c r="K4576" s="26"/>
      <c r="L4576" s="26"/>
      <c r="M4576" s="26"/>
      <c r="N4576" s="26"/>
      <c r="O4576" s="26"/>
      <c r="P4576" s="26"/>
      <c r="Q4576" s="26"/>
      <c r="R4576" s="26"/>
    </row>
    <row r="4577" spans="9:18" x14ac:dyDescent="0.25">
      <c r="I4577" s="46"/>
      <c r="J4577" s="26"/>
      <c r="K4577" s="26"/>
      <c r="L4577" s="26"/>
      <c r="M4577" s="26"/>
      <c r="N4577" s="26"/>
      <c r="O4577" s="26"/>
      <c r="P4577" s="26"/>
      <c r="Q4577" s="26"/>
      <c r="R4577" s="26"/>
    </row>
    <row r="4578" spans="9:18" x14ac:dyDescent="0.25">
      <c r="I4578" s="46"/>
      <c r="J4578" s="26"/>
      <c r="K4578" s="26"/>
      <c r="L4578" s="26"/>
      <c r="M4578" s="26"/>
      <c r="N4578" s="26"/>
      <c r="O4578" s="26"/>
      <c r="P4578" s="26"/>
      <c r="Q4578" s="26"/>
      <c r="R4578" s="26"/>
    </row>
    <row r="4579" spans="9:18" x14ac:dyDescent="0.25">
      <c r="I4579" s="46"/>
      <c r="J4579" s="26"/>
      <c r="K4579" s="26"/>
      <c r="L4579" s="26"/>
      <c r="M4579" s="26"/>
      <c r="N4579" s="26"/>
      <c r="O4579" s="26"/>
      <c r="P4579" s="26"/>
      <c r="Q4579" s="26"/>
      <c r="R4579" s="26"/>
    </row>
    <row r="4580" spans="9:18" x14ac:dyDescent="0.25">
      <c r="I4580" s="46"/>
      <c r="J4580" s="26"/>
      <c r="K4580" s="26"/>
      <c r="L4580" s="26"/>
      <c r="M4580" s="26"/>
      <c r="N4580" s="26"/>
      <c r="O4580" s="26"/>
      <c r="P4580" s="26"/>
      <c r="Q4580" s="26"/>
      <c r="R4580" s="26"/>
    </row>
    <row r="4581" spans="9:18" x14ac:dyDescent="0.25">
      <c r="I4581" s="46"/>
      <c r="J4581" s="26"/>
      <c r="K4581" s="26"/>
      <c r="L4581" s="26"/>
      <c r="M4581" s="26"/>
      <c r="N4581" s="26"/>
      <c r="O4581" s="26"/>
      <c r="P4581" s="26"/>
      <c r="Q4581" s="26"/>
      <c r="R4581" s="26"/>
    </row>
    <row r="4582" spans="9:18" x14ac:dyDescent="0.25">
      <c r="I4582" s="46"/>
      <c r="J4582" s="26"/>
      <c r="K4582" s="26"/>
      <c r="L4582" s="26"/>
      <c r="M4582" s="26"/>
      <c r="N4582" s="26"/>
      <c r="O4582" s="26"/>
      <c r="P4582" s="26"/>
      <c r="Q4582" s="26"/>
      <c r="R4582" s="26"/>
    </row>
    <row r="4583" spans="9:18" x14ac:dyDescent="0.25">
      <c r="I4583" s="46"/>
      <c r="J4583" s="26"/>
      <c r="K4583" s="26"/>
      <c r="L4583" s="26"/>
      <c r="M4583" s="26"/>
      <c r="N4583" s="26"/>
      <c r="O4583" s="26"/>
      <c r="P4583" s="26"/>
      <c r="Q4583" s="26"/>
      <c r="R4583" s="26"/>
    </row>
    <row r="4584" spans="9:18" x14ac:dyDescent="0.25">
      <c r="I4584" s="46"/>
      <c r="J4584" s="26"/>
      <c r="K4584" s="26"/>
      <c r="L4584" s="26"/>
      <c r="M4584" s="26"/>
      <c r="N4584" s="26"/>
      <c r="O4584" s="26"/>
      <c r="P4584" s="26"/>
      <c r="Q4584" s="26"/>
      <c r="R4584" s="26"/>
    </row>
    <row r="4585" spans="9:18" x14ac:dyDescent="0.25">
      <c r="I4585" s="46"/>
      <c r="J4585" s="26"/>
      <c r="K4585" s="26"/>
      <c r="L4585" s="26"/>
      <c r="M4585" s="26"/>
      <c r="N4585" s="26"/>
      <c r="O4585" s="26"/>
      <c r="P4585" s="26"/>
      <c r="Q4585" s="26"/>
      <c r="R4585" s="26"/>
    </row>
    <row r="4586" spans="9:18" x14ac:dyDescent="0.25">
      <c r="I4586" s="46"/>
      <c r="J4586" s="26"/>
      <c r="K4586" s="26"/>
      <c r="L4586" s="26"/>
      <c r="M4586" s="26"/>
      <c r="N4586" s="26"/>
      <c r="O4586" s="26"/>
      <c r="P4586" s="26"/>
      <c r="Q4586" s="26"/>
      <c r="R4586" s="26"/>
    </row>
    <row r="4587" spans="9:18" x14ac:dyDescent="0.25">
      <c r="I4587" s="46"/>
      <c r="J4587" s="26"/>
      <c r="K4587" s="26"/>
      <c r="L4587" s="26"/>
      <c r="M4587" s="26"/>
      <c r="N4587" s="26"/>
      <c r="O4587" s="26"/>
      <c r="P4587" s="26"/>
      <c r="Q4587" s="26"/>
      <c r="R4587" s="26"/>
    </row>
    <row r="4588" spans="9:18" x14ac:dyDescent="0.25">
      <c r="I4588" s="46"/>
      <c r="J4588" s="26"/>
      <c r="K4588" s="26"/>
      <c r="L4588" s="26"/>
      <c r="M4588" s="26"/>
      <c r="N4588" s="26"/>
      <c r="O4588" s="26"/>
      <c r="P4588" s="26"/>
      <c r="Q4588" s="26"/>
      <c r="R4588" s="26"/>
    </row>
    <row r="4589" spans="9:18" x14ac:dyDescent="0.25">
      <c r="I4589" s="46"/>
      <c r="J4589" s="26"/>
      <c r="K4589" s="26"/>
      <c r="L4589" s="26"/>
      <c r="M4589" s="26"/>
      <c r="N4589" s="26"/>
      <c r="O4589" s="26"/>
      <c r="P4589" s="26"/>
      <c r="Q4589" s="26"/>
      <c r="R4589" s="26"/>
    </row>
    <row r="4590" spans="9:18" x14ac:dyDescent="0.25">
      <c r="I4590" s="46"/>
      <c r="J4590" s="26"/>
      <c r="K4590" s="26"/>
      <c r="L4590" s="26"/>
      <c r="M4590" s="26"/>
      <c r="N4590" s="26"/>
      <c r="O4590" s="26"/>
      <c r="P4590" s="26"/>
      <c r="Q4590" s="26"/>
      <c r="R4590" s="26"/>
    </row>
    <row r="4591" spans="9:18" x14ac:dyDescent="0.25">
      <c r="I4591" s="46"/>
      <c r="J4591" s="26"/>
      <c r="K4591" s="26"/>
      <c r="L4591" s="26"/>
      <c r="M4591" s="26"/>
      <c r="N4591" s="26"/>
      <c r="O4591" s="26"/>
      <c r="P4591" s="26"/>
      <c r="Q4591" s="26"/>
      <c r="R4591" s="26"/>
    </row>
    <row r="4592" spans="9:18" x14ac:dyDescent="0.25">
      <c r="I4592" s="46"/>
      <c r="J4592" s="26"/>
      <c r="K4592" s="26"/>
      <c r="L4592" s="26"/>
      <c r="M4592" s="26"/>
      <c r="N4592" s="26"/>
      <c r="O4592" s="26"/>
      <c r="P4592" s="26"/>
      <c r="Q4592" s="26"/>
      <c r="R4592" s="26"/>
    </row>
    <row r="4593" spans="9:18" x14ac:dyDescent="0.25">
      <c r="I4593" s="46"/>
      <c r="J4593" s="26"/>
      <c r="K4593" s="26"/>
      <c r="L4593" s="26"/>
      <c r="M4593" s="26"/>
      <c r="N4593" s="26"/>
      <c r="O4593" s="26"/>
      <c r="P4593" s="26"/>
      <c r="Q4593" s="26"/>
      <c r="R4593" s="26"/>
    </row>
    <row r="4594" spans="9:18" x14ac:dyDescent="0.25">
      <c r="I4594" s="46"/>
      <c r="J4594" s="26"/>
      <c r="K4594" s="26"/>
      <c r="L4594" s="26"/>
      <c r="M4594" s="26"/>
      <c r="N4594" s="26"/>
      <c r="O4594" s="26"/>
      <c r="P4594" s="26"/>
      <c r="Q4594" s="26"/>
      <c r="R4594" s="26"/>
    </row>
    <row r="4595" spans="9:18" x14ac:dyDescent="0.25">
      <c r="I4595" s="46"/>
      <c r="J4595" s="26"/>
      <c r="K4595" s="26"/>
      <c r="L4595" s="26"/>
      <c r="M4595" s="26"/>
      <c r="N4595" s="26"/>
      <c r="O4595" s="26"/>
      <c r="P4595" s="26"/>
      <c r="Q4595" s="26"/>
      <c r="R4595" s="26"/>
    </row>
    <row r="4596" spans="9:18" x14ac:dyDescent="0.25">
      <c r="I4596" s="46"/>
      <c r="J4596" s="26"/>
      <c r="K4596" s="26"/>
      <c r="L4596" s="26"/>
      <c r="M4596" s="26"/>
      <c r="N4596" s="26"/>
      <c r="O4596" s="26"/>
      <c r="P4596" s="26"/>
      <c r="Q4596" s="26"/>
      <c r="R4596" s="26"/>
    </row>
    <row r="4597" spans="9:18" x14ac:dyDescent="0.25">
      <c r="I4597" s="46"/>
      <c r="J4597" s="26"/>
      <c r="K4597" s="26"/>
      <c r="L4597" s="26"/>
      <c r="M4597" s="26"/>
      <c r="N4597" s="26"/>
      <c r="O4597" s="26"/>
      <c r="P4597" s="26"/>
      <c r="Q4597" s="26"/>
      <c r="R4597" s="26"/>
    </row>
    <row r="4598" spans="9:18" x14ac:dyDescent="0.25">
      <c r="I4598" s="46"/>
      <c r="J4598" s="26"/>
      <c r="K4598" s="26"/>
      <c r="L4598" s="26"/>
      <c r="M4598" s="26"/>
      <c r="N4598" s="26"/>
      <c r="O4598" s="26"/>
      <c r="P4598" s="26"/>
      <c r="Q4598" s="26"/>
      <c r="R4598" s="26"/>
    </row>
    <row r="4599" spans="9:18" x14ac:dyDescent="0.25">
      <c r="I4599" s="46"/>
      <c r="J4599" s="26"/>
      <c r="K4599" s="26"/>
      <c r="L4599" s="26"/>
      <c r="M4599" s="26"/>
      <c r="N4599" s="26"/>
      <c r="O4599" s="26"/>
      <c r="P4599" s="26"/>
      <c r="Q4599" s="26"/>
      <c r="R4599" s="26"/>
    </row>
    <row r="4600" spans="9:18" x14ac:dyDescent="0.25">
      <c r="I4600" s="46"/>
      <c r="J4600" s="26"/>
      <c r="K4600" s="26"/>
      <c r="L4600" s="26"/>
      <c r="M4600" s="26"/>
      <c r="N4600" s="26"/>
      <c r="O4600" s="26"/>
      <c r="P4600" s="26"/>
      <c r="Q4600" s="26"/>
      <c r="R4600" s="26"/>
    </row>
    <row r="4601" spans="9:18" x14ac:dyDescent="0.25">
      <c r="I4601" s="46"/>
      <c r="J4601" s="26"/>
      <c r="K4601" s="26"/>
      <c r="L4601" s="26"/>
      <c r="M4601" s="26"/>
      <c r="N4601" s="26"/>
      <c r="O4601" s="26"/>
      <c r="P4601" s="26"/>
      <c r="Q4601" s="26"/>
      <c r="R4601" s="26"/>
    </row>
    <row r="4602" spans="9:18" x14ac:dyDescent="0.25">
      <c r="I4602" s="46"/>
      <c r="J4602" s="26"/>
      <c r="K4602" s="26"/>
      <c r="L4602" s="26"/>
      <c r="M4602" s="26"/>
      <c r="N4602" s="26"/>
      <c r="O4602" s="26"/>
      <c r="P4602" s="26"/>
      <c r="Q4602" s="26"/>
      <c r="R4602" s="26"/>
    </row>
    <row r="4603" spans="9:18" x14ac:dyDescent="0.25">
      <c r="I4603" s="46"/>
      <c r="J4603" s="26"/>
      <c r="K4603" s="26"/>
      <c r="L4603" s="26"/>
      <c r="M4603" s="26"/>
      <c r="N4603" s="26"/>
      <c r="O4603" s="26"/>
      <c r="P4603" s="26"/>
      <c r="Q4603" s="26"/>
      <c r="R4603" s="26"/>
    </row>
    <row r="4604" spans="9:18" x14ac:dyDescent="0.25">
      <c r="I4604" s="46"/>
      <c r="J4604" s="26"/>
      <c r="K4604" s="26"/>
      <c r="L4604" s="26"/>
      <c r="M4604" s="26"/>
      <c r="N4604" s="26"/>
      <c r="O4604" s="26"/>
      <c r="P4604" s="26"/>
      <c r="Q4604" s="26"/>
      <c r="R4604" s="26"/>
    </row>
    <row r="4605" spans="9:18" x14ac:dyDescent="0.25">
      <c r="I4605" s="46"/>
      <c r="J4605" s="26"/>
      <c r="K4605" s="26"/>
      <c r="L4605" s="26"/>
      <c r="M4605" s="26"/>
      <c r="N4605" s="26"/>
      <c r="O4605" s="26"/>
      <c r="P4605" s="26"/>
      <c r="Q4605" s="26"/>
      <c r="R4605" s="26"/>
    </row>
    <row r="4606" spans="9:18" x14ac:dyDescent="0.25">
      <c r="I4606" s="46"/>
      <c r="J4606" s="26"/>
      <c r="K4606" s="26"/>
      <c r="L4606" s="26"/>
      <c r="M4606" s="26"/>
      <c r="N4606" s="26"/>
      <c r="O4606" s="26"/>
      <c r="P4606" s="26"/>
      <c r="Q4606" s="26"/>
      <c r="R4606" s="26"/>
    </row>
    <row r="4607" spans="9:18" x14ac:dyDescent="0.25">
      <c r="I4607" s="46"/>
      <c r="J4607" s="26"/>
      <c r="K4607" s="26"/>
      <c r="L4607" s="26"/>
      <c r="M4607" s="26"/>
      <c r="N4607" s="26"/>
      <c r="O4607" s="26"/>
      <c r="P4607" s="26"/>
      <c r="Q4607" s="26"/>
      <c r="R4607" s="26"/>
    </row>
    <row r="4608" spans="9:18" x14ac:dyDescent="0.25">
      <c r="I4608" s="46"/>
      <c r="J4608" s="26"/>
      <c r="K4608" s="26"/>
      <c r="L4608" s="26"/>
      <c r="M4608" s="26"/>
      <c r="N4608" s="26"/>
      <c r="O4608" s="26"/>
      <c r="P4608" s="26"/>
      <c r="Q4608" s="26"/>
      <c r="R4608" s="26"/>
    </row>
    <row r="4609" spans="9:18" x14ac:dyDescent="0.25">
      <c r="I4609" s="46"/>
      <c r="J4609" s="26"/>
      <c r="K4609" s="26"/>
      <c r="L4609" s="26"/>
      <c r="M4609" s="26"/>
      <c r="N4609" s="26"/>
      <c r="O4609" s="26"/>
      <c r="P4609" s="26"/>
      <c r="Q4609" s="26"/>
      <c r="R4609" s="26"/>
    </row>
    <row r="4610" spans="9:18" x14ac:dyDescent="0.25">
      <c r="I4610" s="46"/>
      <c r="J4610" s="26"/>
      <c r="K4610" s="26"/>
      <c r="L4610" s="26"/>
      <c r="M4610" s="26"/>
      <c r="N4610" s="26"/>
      <c r="O4610" s="26"/>
      <c r="P4610" s="26"/>
      <c r="Q4610" s="26"/>
      <c r="R4610" s="26"/>
    </row>
    <row r="4611" spans="9:18" x14ac:dyDescent="0.25">
      <c r="I4611" s="46"/>
      <c r="J4611" s="26"/>
      <c r="K4611" s="26"/>
      <c r="L4611" s="26"/>
      <c r="M4611" s="26"/>
      <c r="N4611" s="26"/>
      <c r="O4611" s="26"/>
      <c r="P4611" s="26"/>
      <c r="Q4611" s="26"/>
      <c r="R4611" s="26"/>
    </row>
    <row r="4612" spans="9:18" x14ac:dyDescent="0.25">
      <c r="I4612" s="46"/>
      <c r="J4612" s="26"/>
      <c r="K4612" s="26"/>
      <c r="L4612" s="26"/>
      <c r="M4612" s="26"/>
      <c r="N4612" s="26"/>
      <c r="O4612" s="26"/>
      <c r="P4612" s="26"/>
      <c r="Q4612" s="26"/>
      <c r="R4612" s="26"/>
    </row>
    <row r="4613" spans="9:18" x14ac:dyDescent="0.25">
      <c r="I4613" s="46"/>
      <c r="J4613" s="26"/>
      <c r="K4613" s="26"/>
      <c r="L4613" s="26"/>
      <c r="M4613" s="26"/>
      <c r="N4613" s="26"/>
      <c r="O4613" s="26"/>
      <c r="P4613" s="26"/>
      <c r="Q4613" s="26"/>
      <c r="R4613" s="26"/>
    </row>
    <row r="4614" spans="9:18" x14ac:dyDescent="0.25">
      <c r="I4614" s="46"/>
      <c r="J4614" s="26"/>
      <c r="K4614" s="26"/>
      <c r="L4614" s="26"/>
      <c r="M4614" s="26"/>
      <c r="N4614" s="26"/>
      <c r="O4614" s="26"/>
      <c r="P4614" s="26"/>
      <c r="Q4614" s="26"/>
      <c r="R4614" s="26"/>
    </row>
    <row r="4615" spans="9:18" x14ac:dyDescent="0.25">
      <c r="I4615" s="46"/>
      <c r="J4615" s="26"/>
      <c r="K4615" s="26"/>
      <c r="L4615" s="26"/>
      <c r="M4615" s="26"/>
      <c r="N4615" s="26"/>
      <c r="O4615" s="26"/>
      <c r="P4615" s="26"/>
      <c r="Q4615" s="26"/>
      <c r="R4615" s="26"/>
    </row>
    <row r="4616" spans="9:18" x14ac:dyDescent="0.25">
      <c r="I4616" s="46"/>
      <c r="J4616" s="26"/>
      <c r="K4616" s="26"/>
      <c r="L4616" s="26"/>
      <c r="M4616" s="26"/>
      <c r="N4616" s="26"/>
      <c r="O4616" s="26"/>
      <c r="P4616" s="26"/>
      <c r="Q4616" s="26"/>
      <c r="R4616" s="26"/>
    </row>
    <row r="4617" spans="9:18" x14ac:dyDescent="0.25">
      <c r="I4617" s="46"/>
      <c r="J4617" s="26"/>
      <c r="K4617" s="26"/>
      <c r="L4617" s="26"/>
      <c r="M4617" s="26"/>
      <c r="N4617" s="26"/>
      <c r="O4617" s="26"/>
      <c r="P4617" s="26"/>
      <c r="Q4617" s="26"/>
      <c r="R4617" s="26"/>
    </row>
    <row r="4618" spans="9:18" x14ac:dyDescent="0.25">
      <c r="I4618" s="46"/>
      <c r="J4618" s="26"/>
      <c r="K4618" s="26"/>
      <c r="L4618" s="26"/>
      <c r="M4618" s="26"/>
      <c r="N4618" s="26"/>
      <c r="O4618" s="26"/>
      <c r="P4618" s="26"/>
      <c r="Q4618" s="26"/>
      <c r="R4618" s="26"/>
    </row>
    <row r="4619" spans="9:18" x14ac:dyDescent="0.25">
      <c r="I4619" s="46"/>
      <c r="J4619" s="26"/>
      <c r="K4619" s="26"/>
      <c r="L4619" s="26"/>
      <c r="M4619" s="26"/>
      <c r="N4619" s="26"/>
      <c r="O4619" s="26"/>
      <c r="P4619" s="26"/>
      <c r="Q4619" s="26"/>
      <c r="R4619" s="26"/>
    </row>
    <row r="4620" spans="9:18" x14ac:dyDescent="0.25">
      <c r="I4620" s="46"/>
      <c r="J4620" s="26"/>
      <c r="K4620" s="26"/>
      <c r="L4620" s="26"/>
      <c r="M4620" s="26"/>
      <c r="N4620" s="26"/>
      <c r="O4620" s="26"/>
      <c r="P4620" s="26"/>
      <c r="Q4620" s="26"/>
      <c r="R4620" s="26"/>
    </row>
    <row r="4621" spans="9:18" x14ac:dyDescent="0.25">
      <c r="I4621" s="46"/>
      <c r="J4621" s="26"/>
      <c r="K4621" s="26"/>
      <c r="L4621" s="26"/>
      <c r="M4621" s="26"/>
      <c r="N4621" s="26"/>
      <c r="O4621" s="26"/>
      <c r="P4621" s="26"/>
      <c r="Q4621" s="26"/>
      <c r="R4621" s="26"/>
    </row>
    <row r="4622" spans="9:18" x14ac:dyDescent="0.25">
      <c r="I4622" s="46"/>
      <c r="J4622" s="26"/>
      <c r="K4622" s="26"/>
      <c r="L4622" s="26"/>
      <c r="M4622" s="26"/>
      <c r="N4622" s="26"/>
      <c r="O4622" s="26"/>
      <c r="P4622" s="26"/>
      <c r="Q4622" s="26"/>
      <c r="R4622" s="26"/>
    </row>
    <row r="4623" spans="9:18" x14ac:dyDescent="0.25">
      <c r="I4623" s="46"/>
      <c r="J4623" s="26"/>
      <c r="K4623" s="26"/>
      <c r="L4623" s="26"/>
      <c r="M4623" s="26"/>
      <c r="N4623" s="26"/>
      <c r="O4623" s="26"/>
      <c r="P4623" s="26"/>
      <c r="Q4623" s="26"/>
      <c r="R4623" s="26"/>
    </row>
    <row r="4624" spans="9:18" x14ac:dyDescent="0.25">
      <c r="I4624" s="46"/>
      <c r="J4624" s="26"/>
      <c r="K4624" s="26"/>
      <c r="L4624" s="26"/>
      <c r="M4624" s="26"/>
      <c r="N4624" s="26"/>
      <c r="O4624" s="26"/>
      <c r="P4624" s="26"/>
      <c r="Q4624" s="26"/>
      <c r="R4624" s="26"/>
    </row>
    <row r="4625" spans="9:18" x14ac:dyDescent="0.25">
      <c r="I4625" s="46"/>
      <c r="J4625" s="26"/>
      <c r="K4625" s="26"/>
      <c r="L4625" s="26"/>
      <c r="M4625" s="26"/>
      <c r="N4625" s="26"/>
      <c r="O4625" s="26"/>
      <c r="P4625" s="26"/>
      <c r="Q4625" s="26"/>
      <c r="R4625" s="26"/>
    </row>
    <row r="4626" spans="9:18" x14ac:dyDescent="0.25">
      <c r="I4626" s="46"/>
      <c r="J4626" s="26"/>
      <c r="K4626" s="26"/>
      <c r="L4626" s="26"/>
      <c r="M4626" s="26"/>
      <c r="N4626" s="26"/>
      <c r="O4626" s="26"/>
      <c r="P4626" s="26"/>
      <c r="Q4626" s="26"/>
      <c r="R4626" s="26"/>
    </row>
    <row r="4627" spans="9:18" x14ac:dyDescent="0.25">
      <c r="I4627" s="46"/>
      <c r="J4627" s="26"/>
      <c r="K4627" s="26"/>
      <c r="L4627" s="26"/>
      <c r="M4627" s="26"/>
      <c r="N4627" s="26"/>
      <c r="O4627" s="26"/>
      <c r="P4627" s="26"/>
      <c r="Q4627" s="26"/>
      <c r="R4627" s="26"/>
    </row>
    <row r="4628" spans="9:18" x14ac:dyDescent="0.25">
      <c r="I4628" s="46"/>
      <c r="J4628" s="26"/>
      <c r="K4628" s="26"/>
      <c r="L4628" s="26"/>
      <c r="M4628" s="26"/>
      <c r="N4628" s="26"/>
      <c r="O4628" s="26"/>
      <c r="P4628" s="26"/>
      <c r="Q4628" s="26"/>
      <c r="R4628" s="26"/>
    </row>
    <row r="4629" spans="9:18" x14ac:dyDescent="0.25">
      <c r="I4629" s="46"/>
      <c r="J4629" s="26"/>
      <c r="K4629" s="26"/>
      <c r="L4629" s="26"/>
      <c r="M4629" s="26"/>
      <c r="N4629" s="26"/>
      <c r="O4629" s="26"/>
      <c r="P4629" s="26"/>
      <c r="Q4629" s="26"/>
      <c r="R4629" s="26"/>
    </row>
    <row r="4630" spans="9:18" x14ac:dyDescent="0.25">
      <c r="I4630" s="46"/>
      <c r="J4630" s="26"/>
      <c r="K4630" s="26"/>
      <c r="L4630" s="26"/>
      <c r="M4630" s="26"/>
      <c r="N4630" s="26"/>
      <c r="O4630" s="26"/>
      <c r="P4630" s="26"/>
      <c r="Q4630" s="26"/>
      <c r="R4630" s="26"/>
    </row>
    <row r="4631" spans="9:18" x14ac:dyDescent="0.25">
      <c r="I4631" s="46"/>
      <c r="J4631" s="26"/>
      <c r="K4631" s="26"/>
      <c r="L4631" s="26"/>
      <c r="M4631" s="26"/>
      <c r="N4631" s="26"/>
      <c r="O4631" s="26"/>
      <c r="P4631" s="26"/>
      <c r="Q4631" s="26"/>
      <c r="R4631" s="26"/>
    </row>
    <row r="4632" spans="9:18" x14ac:dyDescent="0.25">
      <c r="I4632" s="46"/>
      <c r="J4632" s="26"/>
      <c r="K4632" s="26"/>
      <c r="L4632" s="26"/>
      <c r="M4632" s="26"/>
      <c r="N4632" s="26"/>
      <c r="O4632" s="26"/>
      <c r="P4632" s="26"/>
      <c r="Q4632" s="26"/>
      <c r="R4632" s="26"/>
    </row>
    <row r="4633" spans="9:18" x14ac:dyDescent="0.25">
      <c r="I4633" s="46"/>
      <c r="J4633" s="26"/>
      <c r="K4633" s="26"/>
      <c r="L4633" s="26"/>
      <c r="M4633" s="26"/>
      <c r="N4633" s="26"/>
      <c r="O4633" s="26"/>
      <c r="P4633" s="26"/>
      <c r="Q4633" s="26"/>
      <c r="R4633" s="26"/>
    </row>
    <row r="4634" spans="9:18" x14ac:dyDescent="0.25">
      <c r="I4634" s="46"/>
      <c r="J4634" s="26"/>
      <c r="K4634" s="26"/>
      <c r="L4634" s="26"/>
      <c r="M4634" s="26"/>
      <c r="N4634" s="26"/>
      <c r="O4634" s="26"/>
      <c r="P4634" s="26"/>
      <c r="Q4634" s="26"/>
      <c r="R4634" s="26"/>
    </row>
    <row r="4635" spans="9:18" x14ac:dyDescent="0.25">
      <c r="I4635" s="46"/>
      <c r="J4635" s="26"/>
      <c r="K4635" s="26"/>
      <c r="L4635" s="26"/>
      <c r="M4635" s="26"/>
      <c r="N4635" s="26"/>
      <c r="O4635" s="26"/>
      <c r="P4635" s="26"/>
      <c r="Q4635" s="26"/>
      <c r="R4635" s="26"/>
    </row>
    <row r="4636" spans="9:18" x14ac:dyDescent="0.25">
      <c r="I4636" s="46"/>
      <c r="J4636" s="26"/>
      <c r="K4636" s="26"/>
      <c r="L4636" s="26"/>
      <c r="M4636" s="26"/>
      <c r="N4636" s="26"/>
      <c r="O4636" s="26"/>
      <c r="P4636" s="26"/>
      <c r="Q4636" s="26"/>
      <c r="R4636" s="26"/>
    </row>
    <row r="4637" spans="9:18" x14ac:dyDescent="0.25">
      <c r="I4637" s="46"/>
      <c r="J4637" s="26"/>
      <c r="K4637" s="26"/>
      <c r="L4637" s="26"/>
      <c r="M4637" s="26"/>
      <c r="N4637" s="26"/>
      <c r="O4637" s="26"/>
      <c r="P4637" s="26"/>
      <c r="Q4637" s="26"/>
      <c r="R4637" s="26"/>
    </row>
    <row r="4638" spans="9:18" x14ac:dyDescent="0.25">
      <c r="I4638" s="46"/>
      <c r="J4638" s="26"/>
      <c r="K4638" s="26"/>
      <c r="L4638" s="26"/>
      <c r="M4638" s="26"/>
      <c r="N4638" s="26"/>
      <c r="O4638" s="26"/>
      <c r="P4638" s="26"/>
      <c r="Q4638" s="26"/>
      <c r="R4638" s="26"/>
    </row>
    <row r="4639" spans="9:18" x14ac:dyDescent="0.25">
      <c r="I4639" s="46"/>
      <c r="J4639" s="26"/>
      <c r="K4639" s="26"/>
      <c r="L4639" s="26"/>
      <c r="M4639" s="26"/>
      <c r="N4639" s="26"/>
      <c r="O4639" s="26"/>
      <c r="P4639" s="26"/>
      <c r="Q4639" s="26"/>
      <c r="R4639" s="26"/>
    </row>
    <row r="4640" spans="9:18" x14ac:dyDescent="0.25">
      <c r="I4640" s="46"/>
      <c r="J4640" s="26"/>
      <c r="K4640" s="26"/>
      <c r="L4640" s="26"/>
      <c r="M4640" s="26"/>
      <c r="N4640" s="26"/>
      <c r="O4640" s="26"/>
      <c r="P4640" s="26"/>
      <c r="Q4640" s="26"/>
      <c r="R4640" s="26"/>
    </row>
    <row r="4641" spans="9:18" x14ac:dyDescent="0.25">
      <c r="I4641" s="46"/>
      <c r="J4641" s="26"/>
      <c r="K4641" s="26"/>
      <c r="L4641" s="26"/>
      <c r="M4641" s="26"/>
      <c r="N4641" s="26"/>
      <c r="O4641" s="26"/>
      <c r="P4641" s="26"/>
      <c r="Q4641" s="26"/>
      <c r="R4641" s="26"/>
    </row>
    <row r="4642" spans="9:18" x14ac:dyDescent="0.25">
      <c r="I4642" s="46"/>
      <c r="J4642" s="26"/>
      <c r="K4642" s="26"/>
      <c r="L4642" s="26"/>
      <c r="M4642" s="26"/>
      <c r="N4642" s="26"/>
      <c r="O4642" s="26"/>
      <c r="P4642" s="26"/>
      <c r="Q4642" s="26"/>
      <c r="R4642" s="26"/>
    </row>
    <row r="4643" spans="9:18" x14ac:dyDescent="0.25">
      <c r="I4643" s="46"/>
      <c r="J4643" s="26"/>
      <c r="K4643" s="26"/>
      <c r="L4643" s="26"/>
      <c r="M4643" s="26"/>
      <c r="N4643" s="26"/>
      <c r="O4643" s="26"/>
      <c r="P4643" s="26"/>
      <c r="Q4643" s="26"/>
      <c r="R4643" s="26"/>
    </row>
    <row r="4644" spans="9:18" x14ac:dyDescent="0.25">
      <c r="I4644" s="46"/>
      <c r="J4644" s="26"/>
      <c r="K4644" s="26"/>
      <c r="L4644" s="26"/>
      <c r="M4644" s="26"/>
      <c r="N4644" s="26"/>
      <c r="O4644" s="26"/>
      <c r="P4644" s="26"/>
      <c r="Q4644" s="26"/>
      <c r="R4644" s="26"/>
    </row>
    <row r="4645" spans="9:18" x14ac:dyDescent="0.25">
      <c r="I4645" s="46"/>
      <c r="J4645" s="26"/>
      <c r="K4645" s="26"/>
      <c r="L4645" s="26"/>
      <c r="M4645" s="26"/>
      <c r="N4645" s="26"/>
      <c r="O4645" s="26"/>
      <c r="P4645" s="26"/>
      <c r="Q4645" s="26"/>
      <c r="R4645" s="26"/>
    </row>
    <row r="4646" spans="9:18" x14ac:dyDescent="0.25">
      <c r="I4646" s="46"/>
      <c r="J4646" s="26"/>
      <c r="K4646" s="26"/>
      <c r="L4646" s="26"/>
      <c r="M4646" s="26"/>
      <c r="N4646" s="26"/>
      <c r="O4646" s="26"/>
      <c r="P4646" s="26"/>
      <c r="Q4646" s="26"/>
      <c r="R4646" s="26"/>
    </row>
    <row r="4647" spans="9:18" x14ac:dyDescent="0.25">
      <c r="I4647" s="46"/>
      <c r="J4647" s="26"/>
      <c r="K4647" s="26"/>
      <c r="L4647" s="26"/>
      <c r="M4647" s="26"/>
      <c r="N4647" s="26"/>
      <c r="O4647" s="26"/>
      <c r="P4647" s="26"/>
      <c r="Q4647" s="26"/>
      <c r="R4647" s="26"/>
    </row>
    <row r="4648" spans="9:18" x14ac:dyDescent="0.25">
      <c r="I4648" s="46"/>
      <c r="J4648" s="26"/>
      <c r="K4648" s="26"/>
      <c r="L4648" s="26"/>
      <c r="M4648" s="26"/>
      <c r="N4648" s="26"/>
      <c r="O4648" s="26"/>
      <c r="P4648" s="26"/>
      <c r="Q4648" s="26"/>
      <c r="R4648" s="26"/>
    </row>
    <row r="4649" spans="9:18" x14ac:dyDescent="0.25">
      <c r="I4649" s="46"/>
      <c r="J4649" s="26"/>
      <c r="K4649" s="26"/>
      <c r="L4649" s="26"/>
      <c r="M4649" s="26"/>
      <c r="N4649" s="26"/>
      <c r="O4649" s="26"/>
      <c r="P4649" s="26"/>
      <c r="Q4649" s="26"/>
      <c r="R4649" s="26"/>
    </row>
    <row r="4650" spans="9:18" x14ac:dyDescent="0.25">
      <c r="I4650" s="46"/>
      <c r="J4650" s="26"/>
      <c r="K4650" s="26"/>
      <c r="L4650" s="26"/>
      <c r="M4650" s="26"/>
      <c r="N4650" s="26"/>
      <c r="O4650" s="26"/>
      <c r="P4650" s="26"/>
      <c r="Q4650" s="26"/>
      <c r="R4650" s="26"/>
    </row>
    <row r="4651" spans="9:18" x14ac:dyDescent="0.25">
      <c r="I4651" s="46"/>
      <c r="J4651" s="26"/>
      <c r="K4651" s="26"/>
      <c r="L4651" s="26"/>
      <c r="M4651" s="26"/>
      <c r="N4651" s="26"/>
      <c r="O4651" s="26"/>
      <c r="P4651" s="26"/>
      <c r="Q4651" s="26"/>
      <c r="R4651" s="26"/>
    </row>
    <row r="4652" spans="9:18" x14ac:dyDescent="0.25">
      <c r="I4652" s="46"/>
      <c r="J4652" s="26"/>
      <c r="K4652" s="26"/>
      <c r="L4652" s="26"/>
      <c r="M4652" s="26"/>
      <c r="N4652" s="26"/>
      <c r="O4652" s="26"/>
      <c r="P4652" s="26"/>
      <c r="Q4652" s="26"/>
      <c r="R4652" s="26"/>
    </row>
    <row r="4653" spans="9:18" x14ac:dyDescent="0.25">
      <c r="I4653" s="46"/>
      <c r="J4653" s="26"/>
      <c r="K4653" s="26"/>
      <c r="L4653" s="26"/>
      <c r="M4653" s="26"/>
      <c r="N4653" s="26"/>
      <c r="O4653" s="26"/>
      <c r="P4653" s="26"/>
      <c r="Q4653" s="26"/>
      <c r="R4653" s="26"/>
    </row>
    <row r="4654" spans="9:18" x14ac:dyDescent="0.25">
      <c r="I4654" s="46"/>
      <c r="J4654" s="26"/>
      <c r="K4654" s="26"/>
      <c r="L4654" s="26"/>
      <c r="M4654" s="26"/>
      <c r="N4654" s="26"/>
      <c r="O4654" s="26"/>
      <c r="P4654" s="26"/>
      <c r="Q4654" s="26"/>
      <c r="R4654" s="26"/>
    </row>
    <row r="4655" spans="9:18" x14ac:dyDescent="0.25">
      <c r="I4655" s="46"/>
      <c r="J4655" s="26"/>
      <c r="K4655" s="26"/>
      <c r="L4655" s="26"/>
      <c r="M4655" s="26"/>
      <c r="N4655" s="26"/>
      <c r="O4655" s="26"/>
      <c r="P4655" s="26"/>
      <c r="Q4655" s="26"/>
      <c r="R4655" s="26"/>
    </row>
    <row r="4656" spans="9:18" x14ac:dyDescent="0.25">
      <c r="I4656" s="46"/>
      <c r="J4656" s="26"/>
      <c r="K4656" s="26"/>
      <c r="L4656" s="26"/>
      <c r="M4656" s="26"/>
      <c r="N4656" s="26"/>
      <c r="O4656" s="26"/>
      <c r="P4656" s="26"/>
      <c r="Q4656" s="26"/>
      <c r="R4656" s="26"/>
    </row>
    <row r="4657" spans="9:18" x14ac:dyDescent="0.25">
      <c r="I4657" s="46"/>
      <c r="J4657" s="26"/>
      <c r="K4657" s="26"/>
      <c r="L4657" s="26"/>
      <c r="M4657" s="26"/>
      <c r="N4657" s="26"/>
      <c r="O4657" s="26"/>
      <c r="P4657" s="26"/>
      <c r="Q4657" s="26"/>
      <c r="R4657" s="26"/>
    </row>
    <row r="4658" spans="9:18" x14ac:dyDescent="0.25">
      <c r="I4658" s="46"/>
      <c r="J4658" s="26"/>
      <c r="K4658" s="26"/>
      <c r="L4658" s="26"/>
      <c r="M4658" s="26"/>
      <c r="N4658" s="26"/>
      <c r="O4658" s="26"/>
      <c r="P4658" s="26"/>
      <c r="Q4658" s="26"/>
      <c r="R4658" s="26"/>
    </row>
    <row r="4659" spans="9:18" x14ac:dyDescent="0.25">
      <c r="I4659" s="46"/>
      <c r="J4659" s="26"/>
      <c r="K4659" s="26"/>
      <c r="L4659" s="26"/>
      <c r="M4659" s="26"/>
      <c r="N4659" s="26"/>
      <c r="O4659" s="26"/>
      <c r="P4659" s="26"/>
      <c r="Q4659" s="26"/>
      <c r="R4659" s="26"/>
    </row>
    <row r="4660" spans="9:18" x14ac:dyDescent="0.25">
      <c r="I4660" s="46"/>
      <c r="J4660" s="26"/>
      <c r="K4660" s="26"/>
      <c r="L4660" s="26"/>
      <c r="M4660" s="26"/>
      <c r="N4660" s="26"/>
      <c r="O4660" s="26"/>
      <c r="P4660" s="26"/>
      <c r="Q4660" s="26"/>
      <c r="R4660" s="26"/>
    </row>
    <row r="4661" spans="9:18" x14ac:dyDescent="0.25">
      <c r="I4661" s="46"/>
      <c r="J4661" s="26"/>
      <c r="K4661" s="26"/>
      <c r="L4661" s="26"/>
      <c r="M4661" s="26"/>
      <c r="N4661" s="26"/>
      <c r="O4661" s="26"/>
      <c r="P4661" s="26"/>
      <c r="Q4661" s="26"/>
      <c r="R4661" s="26"/>
    </row>
    <row r="4662" spans="9:18" x14ac:dyDescent="0.25">
      <c r="I4662" s="46"/>
      <c r="J4662" s="26"/>
      <c r="K4662" s="26"/>
      <c r="L4662" s="26"/>
      <c r="M4662" s="26"/>
      <c r="N4662" s="26"/>
      <c r="O4662" s="26"/>
      <c r="P4662" s="26"/>
      <c r="Q4662" s="26"/>
      <c r="R4662" s="26"/>
    </row>
    <row r="4663" spans="9:18" x14ac:dyDescent="0.25">
      <c r="I4663" s="46"/>
      <c r="J4663" s="26"/>
      <c r="K4663" s="26"/>
      <c r="L4663" s="26"/>
      <c r="M4663" s="26"/>
      <c r="N4663" s="26"/>
      <c r="O4663" s="26"/>
      <c r="P4663" s="26"/>
      <c r="Q4663" s="26"/>
      <c r="R4663" s="26"/>
    </row>
    <row r="4664" spans="9:18" x14ac:dyDescent="0.25">
      <c r="I4664" s="46"/>
      <c r="J4664" s="26"/>
      <c r="K4664" s="26"/>
      <c r="L4664" s="26"/>
      <c r="M4664" s="26"/>
      <c r="N4664" s="26"/>
      <c r="O4664" s="26"/>
      <c r="P4664" s="26"/>
      <c r="Q4664" s="26"/>
      <c r="R4664" s="26"/>
    </row>
    <row r="4665" spans="9:18" x14ac:dyDescent="0.25">
      <c r="I4665" s="46"/>
      <c r="J4665" s="26"/>
      <c r="K4665" s="26"/>
      <c r="L4665" s="26"/>
      <c r="M4665" s="26"/>
      <c r="N4665" s="26"/>
      <c r="O4665" s="26"/>
      <c r="P4665" s="26"/>
      <c r="Q4665" s="26"/>
      <c r="R4665" s="26"/>
    </row>
    <row r="4666" spans="9:18" x14ac:dyDescent="0.25">
      <c r="I4666" s="46"/>
      <c r="J4666" s="26"/>
      <c r="K4666" s="26"/>
      <c r="L4666" s="26"/>
      <c r="M4666" s="26"/>
      <c r="N4666" s="26"/>
      <c r="O4666" s="26"/>
      <c r="P4666" s="26"/>
      <c r="Q4666" s="26"/>
      <c r="R4666" s="26"/>
    </row>
    <row r="4667" spans="9:18" x14ac:dyDescent="0.25">
      <c r="I4667" s="46"/>
      <c r="J4667" s="26"/>
      <c r="K4667" s="26"/>
      <c r="L4667" s="26"/>
      <c r="M4667" s="26"/>
      <c r="N4667" s="26"/>
      <c r="O4667" s="26"/>
      <c r="P4667" s="26"/>
      <c r="Q4667" s="26"/>
      <c r="R4667" s="26"/>
    </row>
    <row r="4668" spans="9:18" x14ac:dyDescent="0.25">
      <c r="I4668" s="46"/>
      <c r="J4668" s="26"/>
      <c r="K4668" s="26"/>
      <c r="L4668" s="26"/>
      <c r="M4668" s="26"/>
      <c r="N4668" s="26"/>
      <c r="O4668" s="26"/>
      <c r="P4668" s="26"/>
      <c r="Q4668" s="26"/>
      <c r="R4668" s="26"/>
    </row>
    <row r="4669" spans="9:18" x14ac:dyDescent="0.25">
      <c r="I4669" s="46"/>
      <c r="J4669" s="26"/>
      <c r="K4669" s="26"/>
      <c r="L4669" s="26"/>
      <c r="M4669" s="26"/>
      <c r="N4669" s="26"/>
      <c r="O4669" s="26"/>
      <c r="P4669" s="26"/>
      <c r="Q4669" s="26"/>
      <c r="R4669" s="26"/>
    </row>
    <row r="4670" spans="9:18" x14ac:dyDescent="0.25">
      <c r="I4670" s="46"/>
      <c r="J4670" s="26"/>
      <c r="K4670" s="26"/>
      <c r="L4670" s="26"/>
      <c r="M4670" s="26"/>
      <c r="N4670" s="26"/>
      <c r="O4670" s="26"/>
      <c r="P4670" s="26"/>
      <c r="Q4670" s="26"/>
      <c r="R4670" s="26"/>
    </row>
    <row r="4671" spans="9:18" x14ac:dyDescent="0.25">
      <c r="I4671" s="46"/>
      <c r="J4671" s="26"/>
      <c r="K4671" s="26"/>
      <c r="L4671" s="26"/>
      <c r="M4671" s="26"/>
      <c r="N4671" s="26"/>
      <c r="O4671" s="26"/>
      <c r="P4671" s="26"/>
      <c r="Q4671" s="26"/>
      <c r="R4671" s="26"/>
    </row>
    <row r="4672" spans="9:18" x14ac:dyDescent="0.25">
      <c r="I4672" s="46"/>
      <c r="J4672" s="26"/>
      <c r="K4672" s="26"/>
      <c r="L4672" s="26"/>
      <c r="M4672" s="26"/>
      <c r="N4672" s="26"/>
      <c r="O4672" s="26"/>
      <c r="P4672" s="26"/>
      <c r="Q4672" s="26"/>
      <c r="R4672" s="26"/>
    </row>
    <row r="4673" spans="9:18" x14ac:dyDescent="0.25">
      <c r="I4673" s="46"/>
      <c r="J4673" s="26"/>
      <c r="K4673" s="26"/>
      <c r="L4673" s="26"/>
      <c r="M4673" s="26"/>
      <c r="N4673" s="26"/>
      <c r="O4673" s="26"/>
      <c r="P4673" s="26"/>
      <c r="Q4673" s="26"/>
      <c r="R4673" s="26"/>
    </row>
    <row r="4674" spans="9:18" x14ac:dyDescent="0.25">
      <c r="I4674" s="46"/>
      <c r="J4674" s="26"/>
      <c r="K4674" s="26"/>
      <c r="L4674" s="26"/>
      <c r="M4674" s="26"/>
      <c r="N4674" s="26"/>
      <c r="O4674" s="26"/>
      <c r="P4674" s="26"/>
      <c r="Q4674" s="26"/>
      <c r="R4674" s="26"/>
    </row>
    <row r="4675" spans="9:18" x14ac:dyDescent="0.25">
      <c r="I4675" s="46"/>
      <c r="J4675" s="26"/>
      <c r="K4675" s="26"/>
      <c r="L4675" s="26"/>
      <c r="M4675" s="26"/>
      <c r="N4675" s="26"/>
      <c r="O4675" s="26"/>
      <c r="P4675" s="26"/>
      <c r="Q4675" s="26"/>
      <c r="R4675" s="26"/>
    </row>
    <row r="4676" spans="9:18" x14ac:dyDescent="0.25">
      <c r="I4676" s="46"/>
      <c r="J4676" s="26"/>
      <c r="K4676" s="26"/>
      <c r="L4676" s="26"/>
      <c r="M4676" s="26"/>
      <c r="N4676" s="26"/>
      <c r="O4676" s="26"/>
      <c r="P4676" s="26"/>
      <c r="Q4676" s="26"/>
      <c r="R4676" s="26"/>
    </row>
    <row r="4677" spans="9:18" x14ac:dyDescent="0.25">
      <c r="I4677" s="46"/>
      <c r="J4677" s="26"/>
      <c r="K4677" s="26"/>
      <c r="L4677" s="26"/>
      <c r="M4677" s="26"/>
      <c r="N4677" s="26"/>
      <c r="O4677" s="26"/>
      <c r="P4677" s="26"/>
      <c r="Q4677" s="26"/>
      <c r="R4677" s="26"/>
    </row>
    <row r="4678" spans="9:18" x14ac:dyDescent="0.25">
      <c r="I4678" s="46"/>
      <c r="J4678" s="26"/>
      <c r="K4678" s="26"/>
      <c r="L4678" s="26"/>
      <c r="M4678" s="26"/>
      <c r="N4678" s="26"/>
      <c r="O4678" s="26"/>
      <c r="P4678" s="26"/>
      <c r="Q4678" s="26"/>
      <c r="R4678" s="26"/>
    </row>
    <row r="4679" spans="9:18" x14ac:dyDescent="0.25">
      <c r="I4679" s="46"/>
      <c r="J4679" s="26"/>
      <c r="K4679" s="26"/>
      <c r="L4679" s="26"/>
      <c r="M4679" s="26"/>
      <c r="N4679" s="26"/>
      <c r="O4679" s="26"/>
      <c r="P4679" s="26"/>
      <c r="Q4679" s="26"/>
      <c r="R4679" s="26"/>
    </row>
    <row r="4680" spans="9:18" x14ac:dyDescent="0.25">
      <c r="I4680" s="46"/>
      <c r="J4680" s="26"/>
      <c r="K4680" s="26"/>
      <c r="L4680" s="26"/>
      <c r="M4680" s="26"/>
      <c r="N4680" s="26"/>
      <c r="O4680" s="26"/>
      <c r="P4680" s="26"/>
      <c r="Q4680" s="26"/>
      <c r="R4680" s="26"/>
    </row>
    <row r="4681" spans="9:18" x14ac:dyDescent="0.25">
      <c r="I4681" s="46"/>
      <c r="J4681" s="26"/>
      <c r="K4681" s="26"/>
      <c r="L4681" s="26"/>
      <c r="M4681" s="26"/>
      <c r="N4681" s="26"/>
      <c r="O4681" s="26"/>
      <c r="P4681" s="26"/>
      <c r="Q4681" s="26"/>
      <c r="R4681" s="26"/>
    </row>
    <row r="4682" spans="9:18" x14ac:dyDescent="0.25">
      <c r="I4682" s="46"/>
      <c r="J4682" s="26"/>
      <c r="K4682" s="26"/>
      <c r="L4682" s="26"/>
      <c r="M4682" s="26"/>
      <c r="N4682" s="26"/>
      <c r="O4682" s="26"/>
      <c r="P4682" s="26"/>
      <c r="Q4682" s="26"/>
      <c r="R4682" s="26"/>
    </row>
    <row r="4683" spans="9:18" x14ac:dyDescent="0.25">
      <c r="I4683" s="46"/>
      <c r="J4683" s="26"/>
      <c r="K4683" s="26"/>
      <c r="L4683" s="26"/>
      <c r="M4683" s="26"/>
      <c r="N4683" s="26"/>
      <c r="O4683" s="26"/>
      <c r="P4683" s="26"/>
      <c r="Q4683" s="26"/>
      <c r="R4683" s="26"/>
    </row>
    <row r="4684" spans="9:18" x14ac:dyDescent="0.25">
      <c r="I4684" s="46"/>
      <c r="J4684" s="26"/>
      <c r="K4684" s="26"/>
      <c r="L4684" s="26"/>
      <c r="M4684" s="26"/>
      <c r="N4684" s="26"/>
      <c r="O4684" s="26"/>
      <c r="P4684" s="26"/>
      <c r="Q4684" s="26"/>
      <c r="R4684" s="26"/>
    </row>
    <row r="4685" spans="9:18" x14ac:dyDescent="0.25">
      <c r="I4685" s="46"/>
      <c r="J4685" s="26"/>
      <c r="K4685" s="26"/>
      <c r="L4685" s="26"/>
      <c r="M4685" s="26"/>
      <c r="N4685" s="26"/>
      <c r="O4685" s="26"/>
      <c r="P4685" s="26"/>
      <c r="Q4685" s="26"/>
      <c r="R4685" s="26"/>
    </row>
    <row r="4686" spans="9:18" x14ac:dyDescent="0.25">
      <c r="I4686" s="46"/>
      <c r="J4686" s="26"/>
      <c r="K4686" s="26"/>
      <c r="L4686" s="26"/>
      <c r="M4686" s="26"/>
      <c r="N4686" s="26"/>
      <c r="O4686" s="26"/>
      <c r="P4686" s="26"/>
      <c r="Q4686" s="26"/>
      <c r="R4686" s="26"/>
    </row>
    <row r="4687" spans="9:18" x14ac:dyDescent="0.25">
      <c r="I4687" s="46"/>
      <c r="J4687" s="26"/>
      <c r="K4687" s="26"/>
      <c r="L4687" s="26"/>
      <c r="M4687" s="26"/>
      <c r="N4687" s="26"/>
      <c r="O4687" s="26"/>
      <c r="P4687" s="26"/>
      <c r="Q4687" s="26"/>
      <c r="R4687" s="26"/>
    </row>
    <row r="4688" spans="9:18" x14ac:dyDescent="0.25">
      <c r="I4688" s="46"/>
      <c r="J4688" s="26"/>
      <c r="K4688" s="26"/>
      <c r="L4688" s="26"/>
      <c r="M4688" s="26"/>
      <c r="N4688" s="26"/>
      <c r="O4688" s="26"/>
      <c r="P4688" s="26"/>
      <c r="Q4688" s="26"/>
      <c r="R4688" s="26"/>
    </row>
    <row r="4689" spans="9:18" x14ac:dyDescent="0.25">
      <c r="I4689" s="46"/>
      <c r="J4689" s="26"/>
      <c r="K4689" s="26"/>
      <c r="L4689" s="26"/>
      <c r="M4689" s="26"/>
      <c r="N4689" s="26"/>
      <c r="O4689" s="26"/>
      <c r="P4689" s="26"/>
      <c r="Q4689" s="26"/>
      <c r="R4689" s="26"/>
    </row>
    <row r="4690" spans="9:18" x14ac:dyDescent="0.25">
      <c r="I4690" s="46"/>
      <c r="J4690" s="26"/>
      <c r="K4690" s="26"/>
      <c r="L4690" s="26"/>
      <c r="M4690" s="26"/>
      <c r="N4690" s="26"/>
      <c r="O4690" s="26"/>
      <c r="P4690" s="26"/>
      <c r="Q4690" s="26"/>
      <c r="R4690" s="26"/>
    </row>
    <row r="4691" spans="9:18" x14ac:dyDescent="0.25">
      <c r="I4691" s="46"/>
      <c r="J4691" s="26"/>
      <c r="K4691" s="26"/>
      <c r="L4691" s="26"/>
      <c r="M4691" s="26"/>
      <c r="N4691" s="26"/>
      <c r="O4691" s="26"/>
      <c r="P4691" s="26"/>
      <c r="Q4691" s="26"/>
      <c r="R4691" s="26"/>
    </row>
    <row r="4692" spans="9:18" x14ac:dyDescent="0.25">
      <c r="I4692" s="46"/>
      <c r="J4692" s="26"/>
      <c r="K4692" s="26"/>
      <c r="L4692" s="26"/>
      <c r="M4692" s="26"/>
      <c r="N4692" s="26"/>
      <c r="O4692" s="26"/>
      <c r="P4692" s="26"/>
      <c r="Q4692" s="26"/>
      <c r="R4692" s="26"/>
    </row>
    <row r="4693" spans="9:18" x14ac:dyDescent="0.25">
      <c r="I4693" s="46"/>
      <c r="J4693" s="26"/>
      <c r="K4693" s="26"/>
      <c r="L4693" s="26"/>
      <c r="M4693" s="26"/>
      <c r="N4693" s="26"/>
      <c r="O4693" s="26"/>
      <c r="P4693" s="26"/>
      <c r="Q4693" s="26"/>
      <c r="R4693" s="26"/>
    </row>
    <row r="4694" spans="9:18" x14ac:dyDescent="0.25">
      <c r="I4694" s="46"/>
      <c r="J4694" s="26"/>
      <c r="K4694" s="26"/>
      <c r="L4694" s="26"/>
      <c r="M4694" s="26"/>
      <c r="N4694" s="26"/>
      <c r="O4694" s="26"/>
      <c r="P4694" s="26"/>
      <c r="Q4694" s="26"/>
      <c r="R4694" s="26"/>
    </row>
    <row r="4695" spans="9:18" x14ac:dyDescent="0.25">
      <c r="I4695" s="46"/>
      <c r="J4695" s="26"/>
      <c r="K4695" s="26"/>
      <c r="L4695" s="26"/>
      <c r="M4695" s="26"/>
      <c r="N4695" s="26"/>
      <c r="O4695" s="26"/>
      <c r="P4695" s="26"/>
      <c r="Q4695" s="26"/>
      <c r="R4695" s="26"/>
    </row>
    <row r="4696" spans="9:18" x14ac:dyDescent="0.25">
      <c r="I4696" s="46"/>
      <c r="J4696" s="26"/>
      <c r="K4696" s="26"/>
      <c r="L4696" s="26"/>
      <c r="M4696" s="26"/>
      <c r="N4696" s="26"/>
      <c r="O4696" s="26"/>
      <c r="P4696" s="26"/>
      <c r="Q4696" s="26"/>
      <c r="R4696" s="26"/>
    </row>
    <row r="4697" spans="9:18" x14ac:dyDescent="0.25">
      <c r="I4697" s="46"/>
      <c r="J4697" s="26"/>
      <c r="K4697" s="26"/>
      <c r="L4697" s="26"/>
      <c r="M4697" s="26"/>
      <c r="N4697" s="26"/>
      <c r="O4697" s="26"/>
      <c r="P4697" s="26"/>
      <c r="Q4697" s="26"/>
      <c r="R4697" s="26"/>
    </row>
    <row r="4698" spans="9:18" x14ac:dyDescent="0.25">
      <c r="I4698" s="46"/>
      <c r="J4698" s="26"/>
      <c r="K4698" s="26"/>
      <c r="L4698" s="26"/>
      <c r="M4698" s="26"/>
      <c r="N4698" s="26"/>
      <c r="O4698" s="26"/>
      <c r="P4698" s="26"/>
      <c r="Q4698" s="26"/>
      <c r="R4698" s="26"/>
    </row>
    <row r="4699" spans="9:18" x14ac:dyDescent="0.25">
      <c r="I4699" s="46"/>
      <c r="J4699" s="26"/>
      <c r="K4699" s="26"/>
      <c r="L4699" s="26"/>
      <c r="M4699" s="26"/>
      <c r="N4699" s="26"/>
      <c r="O4699" s="26"/>
      <c r="P4699" s="26"/>
      <c r="Q4699" s="26"/>
      <c r="R4699" s="26"/>
    </row>
    <row r="4700" spans="9:18" x14ac:dyDescent="0.25">
      <c r="I4700" s="46"/>
      <c r="J4700" s="26"/>
      <c r="K4700" s="26"/>
      <c r="L4700" s="26"/>
      <c r="M4700" s="26"/>
      <c r="N4700" s="26"/>
      <c r="O4700" s="26"/>
      <c r="P4700" s="26"/>
      <c r="Q4700" s="26"/>
      <c r="R4700" s="26"/>
    </row>
    <row r="4701" spans="9:18" x14ac:dyDescent="0.25">
      <c r="I4701" s="46"/>
      <c r="J4701" s="26"/>
      <c r="K4701" s="26"/>
      <c r="L4701" s="26"/>
      <c r="M4701" s="26"/>
      <c r="N4701" s="26"/>
      <c r="O4701" s="26"/>
      <c r="P4701" s="26"/>
      <c r="Q4701" s="26"/>
      <c r="R4701" s="26"/>
    </row>
    <row r="4702" spans="9:18" x14ac:dyDescent="0.25">
      <c r="I4702" s="46"/>
      <c r="J4702" s="26"/>
      <c r="K4702" s="26"/>
      <c r="L4702" s="26"/>
      <c r="M4702" s="26"/>
      <c r="N4702" s="26"/>
      <c r="O4702" s="26"/>
      <c r="P4702" s="26"/>
      <c r="Q4702" s="26"/>
      <c r="R4702" s="26"/>
    </row>
    <row r="4703" spans="9:18" x14ac:dyDescent="0.25">
      <c r="I4703" s="46"/>
      <c r="J4703" s="26"/>
      <c r="K4703" s="26"/>
      <c r="L4703" s="26"/>
      <c r="M4703" s="26"/>
      <c r="N4703" s="26"/>
      <c r="O4703" s="26"/>
      <c r="P4703" s="26"/>
      <c r="Q4703" s="26"/>
      <c r="R4703" s="26"/>
    </row>
    <row r="4704" spans="9:18" x14ac:dyDescent="0.25">
      <c r="I4704" s="46"/>
      <c r="J4704" s="26"/>
      <c r="K4704" s="26"/>
      <c r="L4704" s="26"/>
      <c r="M4704" s="26"/>
      <c r="N4704" s="26"/>
      <c r="O4704" s="26"/>
      <c r="P4704" s="26"/>
      <c r="Q4704" s="26"/>
      <c r="R4704" s="26"/>
    </row>
    <row r="4705" spans="9:18" x14ac:dyDescent="0.25">
      <c r="I4705" s="46"/>
      <c r="J4705" s="26"/>
      <c r="K4705" s="26"/>
      <c r="L4705" s="26"/>
      <c r="M4705" s="26"/>
      <c r="N4705" s="26"/>
      <c r="O4705" s="26"/>
      <c r="P4705" s="26"/>
      <c r="Q4705" s="26"/>
      <c r="R4705" s="26"/>
    </row>
    <row r="4706" spans="9:18" x14ac:dyDescent="0.25">
      <c r="I4706" s="46"/>
      <c r="J4706" s="26"/>
      <c r="K4706" s="26"/>
      <c r="L4706" s="26"/>
      <c r="M4706" s="26"/>
      <c r="N4706" s="26"/>
      <c r="O4706" s="26"/>
      <c r="P4706" s="26"/>
      <c r="Q4706" s="26"/>
      <c r="R4706" s="26"/>
    </row>
    <row r="4707" spans="9:18" x14ac:dyDescent="0.25">
      <c r="I4707" s="46"/>
      <c r="J4707" s="26"/>
      <c r="K4707" s="26"/>
      <c r="L4707" s="26"/>
      <c r="M4707" s="26"/>
      <c r="N4707" s="26"/>
      <c r="O4707" s="26"/>
      <c r="P4707" s="26"/>
      <c r="Q4707" s="26"/>
      <c r="R4707" s="26"/>
    </row>
    <row r="4708" spans="9:18" x14ac:dyDescent="0.25">
      <c r="I4708" s="46"/>
      <c r="J4708" s="26"/>
      <c r="K4708" s="26"/>
      <c r="L4708" s="26"/>
      <c r="M4708" s="26"/>
      <c r="N4708" s="26"/>
      <c r="O4708" s="26"/>
      <c r="P4708" s="26"/>
      <c r="Q4708" s="26"/>
      <c r="R4708" s="26"/>
    </row>
    <row r="4709" spans="9:18" x14ac:dyDescent="0.25">
      <c r="I4709" s="46"/>
      <c r="J4709" s="26"/>
      <c r="K4709" s="26"/>
      <c r="L4709" s="26"/>
      <c r="M4709" s="26"/>
      <c r="N4709" s="26"/>
      <c r="O4709" s="26"/>
      <c r="P4709" s="26"/>
      <c r="Q4709" s="26"/>
      <c r="R4709" s="26"/>
    </row>
    <row r="4710" spans="9:18" x14ac:dyDescent="0.25">
      <c r="I4710" s="46"/>
      <c r="J4710" s="26"/>
      <c r="K4710" s="26"/>
      <c r="L4710" s="26"/>
      <c r="M4710" s="26"/>
      <c r="N4710" s="26"/>
      <c r="O4710" s="26"/>
      <c r="P4710" s="26"/>
      <c r="Q4710" s="26"/>
      <c r="R4710" s="26"/>
    </row>
    <row r="4711" spans="9:18" x14ac:dyDescent="0.25">
      <c r="I4711" s="46"/>
      <c r="J4711" s="26"/>
      <c r="K4711" s="26"/>
      <c r="L4711" s="26"/>
      <c r="M4711" s="26"/>
      <c r="N4711" s="26"/>
      <c r="O4711" s="26"/>
      <c r="P4711" s="26"/>
      <c r="Q4711" s="26"/>
      <c r="R4711" s="26"/>
    </row>
    <row r="4712" spans="9:18" x14ac:dyDescent="0.25">
      <c r="I4712" s="46"/>
      <c r="J4712" s="26"/>
      <c r="K4712" s="26"/>
      <c r="L4712" s="26"/>
      <c r="M4712" s="26"/>
      <c r="N4712" s="26"/>
      <c r="O4712" s="26"/>
      <c r="P4712" s="26"/>
      <c r="Q4712" s="26"/>
      <c r="R4712" s="26"/>
    </row>
    <row r="4713" spans="9:18" x14ac:dyDescent="0.25">
      <c r="I4713" s="46"/>
      <c r="J4713" s="26"/>
      <c r="K4713" s="26"/>
      <c r="L4713" s="26"/>
      <c r="M4713" s="26"/>
      <c r="N4713" s="26"/>
      <c r="O4713" s="26"/>
      <c r="P4713" s="26"/>
      <c r="Q4713" s="26"/>
      <c r="R4713" s="26"/>
    </row>
    <row r="4714" spans="9:18" x14ac:dyDescent="0.25">
      <c r="I4714" s="46"/>
      <c r="J4714" s="26"/>
      <c r="K4714" s="26"/>
      <c r="L4714" s="26"/>
      <c r="M4714" s="26"/>
      <c r="N4714" s="26"/>
      <c r="O4714" s="26"/>
      <c r="P4714" s="26"/>
      <c r="Q4714" s="26"/>
      <c r="R4714" s="26"/>
    </row>
    <row r="4715" spans="9:18" x14ac:dyDescent="0.25">
      <c r="I4715" s="46"/>
      <c r="J4715" s="26"/>
      <c r="K4715" s="26"/>
      <c r="L4715" s="26"/>
      <c r="M4715" s="26"/>
      <c r="N4715" s="26"/>
      <c r="O4715" s="26"/>
      <c r="P4715" s="26"/>
      <c r="Q4715" s="26"/>
      <c r="R4715" s="26"/>
    </row>
    <row r="4716" spans="9:18" x14ac:dyDescent="0.25">
      <c r="I4716" s="46"/>
      <c r="J4716" s="26"/>
      <c r="K4716" s="26"/>
      <c r="L4716" s="26"/>
      <c r="M4716" s="26"/>
      <c r="N4716" s="26"/>
      <c r="O4716" s="26"/>
      <c r="P4716" s="26"/>
      <c r="Q4716" s="26"/>
      <c r="R4716" s="26"/>
    </row>
    <row r="4717" spans="9:18" x14ac:dyDescent="0.25">
      <c r="I4717" s="46"/>
      <c r="J4717" s="26"/>
      <c r="K4717" s="26"/>
      <c r="L4717" s="26"/>
      <c r="M4717" s="26"/>
      <c r="N4717" s="26"/>
      <c r="O4717" s="26"/>
      <c r="P4717" s="26"/>
      <c r="Q4717" s="26"/>
      <c r="R4717" s="26"/>
    </row>
    <row r="4718" spans="9:18" x14ac:dyDescent="0.25">
      <c r="I4718" s="46"/>
      <c r="J4718" s="26"/>
      <c r="K4718" s="26"/>
      <c r="L4718" s="26"/>
      <c r="M4718" s="26"/>
      <c r="N4718" s="26"/>
      <c r="O4718" s="26"/>
      <c r="P4718" s="26"/>
      <c r="Q4718" s="26"/>
      <c r="R4718" s="26"/>
    </row>
    <row r="4719" spans="9:18" x14ac:dyDescent="0.25">
      <c r="I4719" s="46"/>
      <c r="J4719" s="26"/>
      <c r="K4719" s="26"/>
      <c r="L4719" s="26"/>
      <c r="M4719" s="26"/>
      <c r="N4719" s="26"/>
      <c r="O4719" s="26"/>
      <c r="P4719" s="26"/>
      <c r="Q4719" s="26"/>
      <c r="R4719" s="26"/>
    </row>
    <row r="4720" spans="9:18" x14ac:dyDescent="0.25">
      <c r="I4720" s="46"/>
      <c r="J4720" s="26"/>
      <c r="K4720" s="26"/>
      <c r="L4720" s="26"/>
      <c r="M4720" s="26"/>
      <c r="N4720" s="26"/>
      <c r="O4720" s="26"/>
      <c r="P4720" s="26"/>
      <c r="Q4720" s="26"/>
      <c r="R4720" s="26"/>
    </row>
    <row r="4721" spans="9:18" x14ac:dyDescent="0.25">
      <c r="I4721" s="46"/>
      <c r="J4721" s="26"/>
      <c r="K4721" s="26"/>
      <c r="L4721" s="26"/>
      <c r="M4721" s="26"/>
      <c r="N4721" s="26"/>
      <c r="O4721" s="26"/>
      <c r="P4721" s="26"/>
      <c r="Q4721" s="26"/>
      <c r="R4721" s="26"/>
    </row>
    <row r="4722" spans="9:18" x14ac:dyDescent="0.25">
      <c r="I4722" s="46"/>
      <c r="J4722" s="26"/>
      <c r="K4722" s="26"/>
      <c r="L4722" s="26"/>
      <c r="M4722" s="26"/>
      <c r="N4722" s="26"/>
      <c r="O4722" s="26"/>
      <c r="P4722" s="26"/>
      <c r="Q4722" s="26"/>
      <c r="R4722" s="26"/>
    </row>
    <row r="4723" spans="9:18" x14ac:dyDescent="0.25">
      <c r="I4723" s="46"/>
      <c r="J4723" s="26"/>
      <c r="K4723" s="26"/>
      <c r="L4723" s="26"/>
      <c r="M4723" s="26"/>
      <c r="N4723" s="26"/>
      <c r="O4723" s="26"/>
      <c r="P4723" s="26"/>
      <c r="Q4723" s="26"/>
      <c r="R4723" s="26"/>
    </row>
    <row r="4724" spans="9:18" x14ac:dyDescent="0.25">
      <c r="I4724" s="46"/>
      <c r="J4724" s="26"/>
      <c r="K4724" s="26"/>
      <c r="L4724" s="26"/>
      <c r="M4724" s="26"/>
      <c r="N4724" s="26"/>
      <c r="O4724" s="26"/>
      <c r="P4724" s="26"/>
      <c r="Q4724" s="26"/>
      <c r="R4724" s="26"/>
    </row>
    <row r="4725" spans="9:18" x14ac:dyDescent="0.25">
      <c r="I4725" s="46"/>
      <c r="J4725" s="26"/>
      <c r="K4725" s="26"/>
      <c r="L4725" s="26"/>
      <c r="M4725" s="26"/>
      <c r="N4725" s="26"/>
      <c r="O4725" s="26"/>
      <c r="P4725" s="26"/>
      <c r="Q4725" s="26"/>
      <c r="R4725" s="26"/>
    </row>
    <row r="4726" spans="9:18" x14ac:dyDescent="0.25">
      <c r="I4726" s="46"/>
      <c r="J4726" s="26"/>
      <c r="K4726" s="26"/>
      <c r="L4726" s="26"/>
      <c r="M4726" s="26"/>
      <c r="N4726" s="26"/>
      <c r="O4726" s="26"/>
      <c r="P4726" s="26"/>
      <c r="Q4726" s="26"/>
      <c r="R4726" s="26"/>
    </row>
    <row r="4727" spans="9:18" x14ac:dyDescent="0.25">
      <c r="I4727" s="46"/>
      <c r="J4727" s="26"/>
      <c r="K4727" s="26"/>
      <c r="L4727" s="26"/>
      <c r="M4727" s="26"/>
      <c r="N4727" s="26"/>
      <c r="O4727" s="26"/>
      <c r="P4727" s="26"/>
      <c r="Q4727" s="26"/>
      <c r="R4727" s="26"/>
    </row>
    <row r="4728" spans="9:18" x14ac:dyDescent="0.25">
      <c r="I4728" s="46"/>
      <c r="J4728" s="26"/>
      <c r="K4728" s="26"/>
      <c r="L4728" s="26"/>
      <c r="M4728" s="26"/>
      <c r="N4728" s="26"/>
      <c r="O4728" s="26"/>
      <c r="P4728" s="26"/>
      <c r="Q4728" s="26"/>
      <c r="R4728" s="26"/>
    </row>
    <row r="4729" spans="9:18" x14ac:dyDescent="0.25">
      <c r="I4729" s="46"/>
      <c r="J4729" s="26"/>
      <c r="K4729" s="26"/>
      <c r="L4729" s="26"/>
      <c r="M4729" s="26"/>
      <c r="N4729" s="26"/>
      <c r="O4729" s="26"/>
      <c r="P4729" s="26"/>
      <c r="Q4729" s="26"/>
      <c r="R4729" s="26"/>
    </row>
    <row r="4730" spans="9:18" x14ac:dyDescent="0.25">
      <c r="I4730" s="46"/>
      <c r="J4730" s="26"/>
      <c r="K4730" s="26"/>
      <c r="L4730" s="26"/>
      <c r="M4730" s="26"/>
      <c r="N4730" s="26"/>
      <c r="O4730" s="26"/>
      <c r="P4730" s="26"/>
      <c r="Q4730" s="26"/>
      <c r="R4730" s="26"/>
    </row>
    <row r="4731" spans="9:18" x14ac:dyDescent="0.25">
      <c r="I4731" s="46"/>
      <c r="J4731" s="26"/>
      <c r="K4731" s="26"/>
      <c r="L4731" s="26"/>
      <c r="M4731" s="26"/>
      <c r="N4731" s="26"/>
      <c r="O4731" s="26"/>
      <c r="P4731" s="26"/>
      <c r="Q4731" s="26"/>
      <c r="R4731" s="26"/>
    </row>
    <row r="4732" spans="9:18" x14ac:dyDescent="0.25">
      <c r="I4732" s="46"/>
      <c r="J4732" s="26"/>
      <c r="K4732" s="26"/>
      <c r="L4732" s="26"/>
      <c r="M4732" s="26"/>
      <c r="N4732" s="26"/>
      <c r="O4732" s="26"/>
      <c r="P4732" s="26"/>
      <c r="Q4732" s="26"/>
      <c r="R4732" s="26"/>
    </row>
    <row r="4733" spans="9:18" x14ac:dyDescent="0.25">
      <c r="I4733" s="46"/>
      <c r="J4733" s="26"/>
      <c r="K4733" s="26"/>
      <c r="L4733" s="26"/>
      <c r="M4733" s="26"/>
      <c r="N4733" s="26"/>
      <c r="O4733" s="26"/>
      <c r="P4733" s="26"/>
      <c r="Q4733" s="26"/>
      <c r="R4733" s="26"/>
    </row>
    <row r="4734" spans="9:18" x14ac:dyDescent="0.25">
      <c r="I4734" s="46"/>
      <c r="J4734" s="26"/>
      <c r="K4734" s="26"/>
      <c r="L4734" s="26"/>
      <c r="M4734" s="26"/>
      <c r="N4734" s="26"/>
      <c r="O4734" s="26"/>
      <c r="P4734" s="26"/>
      <c r="Q4734" s="26"/>
      <c r="R4734" s="26"/>
    </row>
    <row r="4735" spans="9:18" x14ac:dyDescent="0.25">
      <c r="I4735" s="46"/>
      <c r="J4735" s="26"/>
      <c r="K4735" s="26"/>
      <c r="L4735" s="26"/>
      <c r="M4735" s="26"/>
      <c r="N4735" s="26"/>
      <c r="O4735" s="26"/>
      <c r="P4735" s="26"/>
      <c r="Q4735" s="26"/>
      <c r="R4735" s="26"/>
    </row>
    <row r="4736" spans="9:18" x14ac:dyDescent="0.25">
      <c r="I4736" s="46"/>
      <c r="J4736" s="26"/>
      <c r="K4736" s="26"/>
      <c r="L4736" s="26"/>
      <c r="M4736" s="26"/>
      <c r="N4736" s="26"/>
      <c r="O4736" s="26"/>
      <c r="P4736" s="26"/>
      <c r="Q4736" s="26"/>
      <c r="R4736" s="26"/>
    </row>
    <row r="4737" spans="9:18" x14ac:dyDescent="0.25">
      <c r="I4737" s="46"/>
      <c r="J4737" s="26"/>
      <c r="K4737" s="26"/>
      <c r="L4737" s="26"/>
      <c r="M4737" s="26"/>
      <c r="N4737" s="26"/>
      <c r="O4737" s="26"/>
      <c r="P4737" s="26"/>
      <c r="Q4737" s="26"/>
      <c r="R4737" s="26"/>
    </row>
    <row r="4738" spans="9:18" x14ac:dyDescent="0.25">
      <c r="I4738" s="46"/>
      <c r="J4738" s="26"/>
      <c r="K4738" s="26"/>
      <c r="L4738" s="26"/>
      <c r="M4738" s="26"/>
      <c r="N4738" s="26"/>
      <c r="O4738" s="26"/>
      <c r="P4738" s="26"/>
      <c r="Q4738" s="26"/>
      <c r="R4738" s="26"/>
    </row>
    <row r="4739" spans="9:18" x14ac:dyDescent="0.25">
      <c r="I4739" s="46"/>
      <c r="J4739" s="26"/>
      <c r="K4739" s="26"/>
      <c r="L4739" s="26"/>
      <c r="M4739" s="26"/>
      <c r="N4739" s="26"/>
      <c r="O4739" s="26"/>
      <c r="P4739" s="26"/>
      <c r="Q4739" s="26"/>
      <c r="R4739" s="26"/>
    </row>
    <row r="4740" spans="9:18" x14ac:dyDescent="0.25">
      <c r="I4740" s="46"/>
      <c r="J4740" s="26"/>
      <c r="K4740" s="26"/>
      <c r="L4740" s="26"/>
      <c r="M4740" s="26"/>
      <c r="N4740" s="26"/>
      <c r="O4740" s="26"/>
      <c r="P4740" s="26"/>
      <c r="Q4740" s="26"/>
      <c r="R4740" s="26"/>
    </row>
    <row r="4741" spans="9:18" x14ac:dyDescent="0.25">
      <c r="I4741" s="46"/>
      <c r="J4741" s="26"/>
      <c r="K4741" s="26"/>
      <c r="L4741" s="26"/>
      <c r="M4741" s="26"/>
      <c r="N4741" s="26"/>
      <c r="O4741" s="26"/>
      <c r="P4741" s="26"/>
      <c r="Q4741" s="26"/>
      <c r="R4741" s="26"/>
    </row>
    <row r="4742" spans="9:18" x14ac:dyDescent="0.25">
      <c r="I4742" s="46"/>
      <c r="J4742" s="26"/>
      <c r="K4742" s="26"/>
      <c r="L4742" s="26"/>
      <c r="M4742" s="26"/>
      <c r="N4742" s="26"/>
      <c r="O4742" s="26"/>
      <c r="P4742" s="26"/>
      <c r="Q4742" s="26"/>
      <c r="R4742" s="26"/>
    </row>
    <row r="4743" spans="9:18" x14ac:dyDescent="0.25">
      <c r="I4743" s="46"/>
      <c r="J4743" s="26"/>
      <c r="K4743" s="26"/>
      <c r="L4743" s="26"/>
      <c r="M4743" s="26"/>
      <c r="N4743" s="26"/>
      <c r="O4743" s="26"/>
      <c r="P4743" s="26"/>
      <c r="Q4743" s="26"/>
      <c r="R4743" s="26"/>
    </row>
    <row r="4744" spans="9:18" x14ac:dyDescent="0.25">
      <c r="I4744" s="46"/>
      <c r="J4744" s="26"/>
      <c r="K4744" s="26"/>
      <c r="L4744" s="26"/>
      <c r="M4744" s="26"/>
      <c r="N4744" s="26"/>
      <c r="O4744" s="26"/>
      <c r="P4744" s="26"/>
      <c r="Q4744" s="26"/>
      <c r="R4744" s="26"/>
    </row>
    <row r="4745" spans="9:18" x14ac:dyDescent="0.25">
      <c r="I4745" s="46"/>
      <c r="J4745" s="26"/>
      <c r="K4745" s="26"/>
      <c r="L4745" s="26"/>
      <c r="M4745" s="26"/>
      <c r="N4745" s="26"/>
      <c r="O4745" s="26"/>
      <c r="P4745" s="26"/>
      <c r="Q4745" s="26"/>
      <c r="R4745" s="26"/>
    </row>
    <row r="4746" spans="9:18" x14ac:dyDescent="0.25">
      <c r="I4746" s="46"/>
      <c r="J4746" s="26"/>
      <c r="K4746" s="26"/>
      <c r="L4746" s="26"/>
      <c r="M4746" s="26"/>
      <c r="N4746" s="26"/>
      <c r="O4746" s="26"/>
      <c r="P4746" s="26"/>
      <c r="Q4746" s="26"/>
      <c r="R4746" s="26"/>
    </row>
    <row r="4747" spans="9:18" x14ac:dyDescent="0.25">
      <c r="I4747" s="46"/>
      <c r="J4747" s="26"/>
      <c r="K4747" s="26"/>
      <c r="L4747" s="26"/>
      <c r="M4747" s="26"/>
      <c r="N4747" s="26"/>
      <c r="O4747" s="26"/>
      <c r="P4747" s="26"/>
      <c r="Q4747" s="26"/>
      <c r="R4747" s="26"/>
    </row>
    <row r="4748" spans="9:18" x14ac:dyDescent="0.25">
      <c r="I4748" s="46"/>
      <c r="J4748" s="26"/>
      <c r="K4748" s="26"/>
      <c r="L4748" s="26"/>
      <c r="M4748" s="26"/>
      <c r="N4748" s="26"/>
      <c r="O4748" s="26"/>
      <c r="P4748" s="26"/>
      <c r="Q4748" s="26"/>
      <c r="R4748" s="26"/>
    </row>
    <row r="4749" spans="9:18" x14ac:dyDescent="0.25">
      <c r="I4749" s="46"/>
      <c r="J4749" s="26"/>
      <c r="K4749" s="26"/>
      <c r="L4749" s="26"/>
      <c r="M4749" s="26"/>
      <c r="N4749" s="26"/>
      <c r="O4749" s="26"/>
      <c r="P4749" s="26"/>
      <c r="Q4749" s="26"/>
      <c r="R4749" s="26"/>
    </row>
    <row r="4750" spans="9:18" x14ac:dyDescent="0.25">
      <c r="I4750" s="46"/>
      <c r="J4750" s="26"/>
      <c r="K4750" s="26"/>
      <c r="L4750" s="26"/>
      <c r="M4750" s="26"/>
      <c r="N4750" s="26"/>
      <c r="O4750" s="26"/>
      <c r="P4750" s="26"/>
      <c r="Q4750" s="26"/>
      <c r="R4750" s="26"/>
    </row>
    <row r="4751" spans="9:18" x14ac:dyDescent="0.25">
      <c r="I4751" s="46"/>
      <c r="J4751" s="26"/>
      <c r="K4751" s="26"/>
      <c r="L4751" s="26"/>
      <c r="M4751" s="26"/>
      <c r="N4751" s="26"/>
      <c r="O4751" s="26"/>
      <c r="P4751" s="26"/>
      <c r="Q4751" s="26"/>
      <c r="R4751" s="26"/>
    </row>
    <row r="4752" spans="9:18" x14ac:dyDescent="0.25">
      <c r="I4752" s="46"/>
      <c r="J4752" s="26"/>
      <c r="K4752" s="26"/>
      <c r="L4752" s="26"/>
      <c r="M4752" s="26"/>
      <c r="N4752" s="26"/>
      <c r="O4752" s="26"/>
      <c r="P4752" s="26"/>
      <c r="Q4752" s="26"/>
      <c r="R4752" s="26"/>
    </row>
    <row r="4753" spans="9:18" x14ac:dyDescent="0.25">
      <c r="I4753" s="46"/>
      <c r="J4753" s="26"/>
      <c r="K4753" s="26"/>
      <c r="L4753" s="26"/>
      <c r="M4753" s="26"/>
      <c r="N4753" s="26"/>
      <c r="O4753" s="26"/>
      <c r="P4753" s="26"/>
      <c r="Q4753" s="26"/>
      <c r="R4753" s="26"/>
    </row>
    <row r="4754" spans="9:18" x14ac:dyDescent="0.25">
      <c r="I4754" s="46"/>
      <c r="J4754" s="26"/>
      <c r="K4754" s="26"/>
      <c r="L4754" s="26"/>
      <c r="M4754" s="26"/>
      <c r="N4754" s="26"/>
      <c r="O4754" s="26"/>
      <c r="P4754" s="26"/>
      <c r="Q4754" s="26"/>
      <c r="R4754" s="26"/>
    </row>
    <row r="4755" spans="9:18" x14ac:dyDescent="0.25">
      <c r="I4755" s="46"/>
      <c r="J4755" s="26"/>
      <c r="K4755" s="26"/>
      <c r="L4755" s="26"/>
      <c r="M4755" s="26"/>
      <c r="N4755" s="26"/>
      <c r="O4755" s="26"/>
      <c r="P4755" s="26"/>
      <c r="Q4755" s="26"/>
      <c r="R4755" s="26"/>
    </row>
    <row r="4756" spans="9:18" x14ac:dyDescent="0.25">
      <c r="I4756" s="46"/>
      <c r="J4756" s="26"/>
      <c r="K4756" s="26"/>
      <c r="L4756" s="26"/>
      <c r="M4756" s="26"/>
      <c r="N4756" s="26"/>
      <c r="O4756" s="26"/>
      <c r="P4756" s="26"/>
      <c r="Q4756" s="26"/>
      <c r="R4756" s="26"/>
    </row>
    <row r="4757" spans="9:18" x14ac:dyDescent="0.25">
      <c r="I4757" s="46"/>
      <c r="J4757" s="26"/>
      <c r="K4757" s="26"/>
      <c r="L4757" s="26"/>
      <c r="M4757" s="26"/>
      <c r="N4757" s="26"/>
      <c r="O4757" s="26"/>
      <c r="P4757" s="26"/>
      <c r="Q4757" s="26"/>
      <c r="R4757" s="26"/>
    </row>
    <row r="4758" spans="9:18" x14ac:dyDescent="0.25">
      <c r="I4758" s="46"/>
      <c r="J4758" s="26"/>
      <c r="K4758" s="26"/>
      <c r="L4758" s="26"/>
      <c r="M4758" s="26"/>
      <c r="N4758" s="26"/>
      <c r="O4758" s="26"/>
      <c r="P4758" s="26"/>
      <c r="Q4758" s="26"/>
      <c r="R4758" s="26"/>
    </row>
    <row r="4759" spans="9:18" x14ac:dyDescent="0.25">
      <c r="I4759" s="46"/>
      <c r="J4759" s="26"/>
      <c r="K4759" s="26"/>
      <c r="L4759" s="26"/>
      <c r="M4759" s="26"/>
      <c r="N4759" s="26"/>
      <c r="O4759" s="26"/>
      <c r="P4759" s="26"/>
      <c r="Q4759" s="26"/>
      <c r="R4759" s="26"/>
    </row>
    <row r="4760" spans="9:18" x14ac:dyDescent="0.25">
      <c r="I4760" s="46"/>
      <c r="J4760" s="26"/>
      <c r="K4760" s="26"/>
      <c r="L4760" s="26"/>
      <c r="M4760" s="26"/>
      <c r="N4760" s="26"/>
      <c r="O4760" s="26"/>
      <c r="P4760" s="26"/>
      <c r="Q4760" s="26"/>
      <c r="R4760" s="26"/>
    </row>
    <row r="4761" spans="9:18" x14ac:dyDescent="0.25">
      <c r="I4761" s="46"/>
      <c r="J4761" s="26"/>
      <c r="K4761" s="26"/>
      <c r="L4761" s="26"/>
      <c r="M4761" s="26"/>
      <c r="N4761" s="26"/>
      <c r="O4761" s="26"/>
      <c r="P4761" s="26"/>
      <c r="Q4761" s="26"/>
      <c r="R4761" s="26"/>
    </row>
    <row r="4762" spans="9:18" x14ac:dyDescent="0.25">
      <c r="I4762" s="46"/>
      <c r="J4762" s="26"/>
      <c r="K4762" s="26"/>
      <c r="L4762" s="26"/>
      <c r="M4762" s="26"/>
      <c r="N4762" s="26"/>
      <c r="O4762" s="26"/>
      <c r="P4762" s="26"/>
      <c r="Q4762" s="26"/>
      <c r="R4762" s="26"/>
    </row>
    <row r="4763" spans="9:18" x14ac:dyDescent="0.25">
      <c r="I4763" s="46"/>
      <c r="J4763" s="26"/>
      <c r="K4763" s="26"/>
      <c r="L4763" s="26"/>
      <c r="M4763" s="26"/>
      <c r="N4763" s="26"/>
      <c r="O4763" s="26"/>
      <c r="P4763" s="26"/>
      <c r="Q4763" s="26"/>
      <c r="R4763" s="26"/>
    </row>
    <row r="4764" spans="9:18" x14ac:dyDescent="0.25">
      <c r="I4764" s="46"/>
      <c r="J4764" s="26"/>
      <c r="K4764" s="26"/>
      <c r="L4764" s="26"/>
      <c r="M4764" s="26"/>
      <c r="N4764" s="26"/>
      <c r="O4764" s="26"/>
      <c r="P4764" s="26"/>
      <c r="Q4764" s="26"/>
      <c r="R4764" s="26"/>
    </row>
    <row r="4765" spans="9:18" x14ac:dyDescent="0.25">
      <c r="I4765" s="46"/>
      <c r="J4765" s="26"/>
      <c r="K4765" s="26"/>
      <c r="L4765" s="26"/>
      <c r="M4765" s="26"/>
      <c r="N4765" s="26"/>
      <c r="O4765" s="26"/>
      <c r="P4765" s="26"/>
      <c r="Q4765" s="26"/>
      <c r="R4765" s="26"/>
    </row>
    <row r="4766" spans="9:18" x14ac:dyDescent="0.25">
      <c r="I4766" s="46"/>
      <c r="J4766" s="26"/>
      <c r="K4766" s="26"/>
      <c r="L4766" s="26"/>
      <c r="M4766" s="26"/>
      <c r="N4766" s="26"/>
      <c r="O4766" s="26"/>
      <c r="P4766" s="26"/>
      <c r="Q4766" s="26"/>
      <c r="R4766" s="26"/>
    </row>
    <row r="4767" spans="9:18" x14ac:dyDescent="0.25">
      <c r="I4767" s="46"/>
      <c r="J4767" s="26"/>
      <c r="K4767" s="26"/>
      <c r="L4767" s="26"/>
      <c r="M4767" s="26"/>
      <c r="N4767" s="26"/>
      <c r="O4767" s="26"/>
      <c r="P4767" s="26"/>
      <c r="Q4767" s="26"/>
      <c r="R4767" s="26"/>
    </row>
    <row r="4768" spans="9:18" x14ac:dyDescent="0.25">
      <c r="I4768" s="46"/>
      <c r="J4768" s="26"/>
      <c r="K4768" s="26"/>
      <c r="L4768" s="26"/>
      <c r="M4768" s="26"/>
      <c r="N4768" s="26"/>
      <c r="O4768" s="26"/>
      <c r="P4768" s="26"/>
      <c r="Q4768" s="26"/>
      <c r="R4768" s="26"/>
    </row>
    <row r="4769" spans="9:18" x14ac:dyDescent="0.25">
      <c r="I4769" s="46"/>
      <c r="J4769" s="26"/>
      <c r="K4769" s="26"/>
      <c r="L4769" s="26"/>
      <c r="M4769" s="26"/>
      <c r="N4769" s="26"/>
      <c r="O4769" s="26"/>
      <c r="P4769" s="26"/>
      <c r="Q4769" s="26"/>
      <c r="R4769" s="26"/>
    </row>
    <row r="4770" spans="9:18" x14ac:dyDescent="0.25">
      <c r="I4770" s="46"/>
      <c r="J4770" s="26"/>
      <c r="K4770" s="26"/>
      <c r="L4770" s="26"/>
      <c r="M4770" s="26"/>
      <c r="N4770" s="26"/>
      <c r="O4770" s="26"/>
      <c r="P4770" s="26"/>
      <c r="Q4770" s="26"/>
      <c r="R4770" s="26"/>
    </row>
    <row r="4771" spans="9:18" x14ac:dyDescent="0.25">
      <c r="I4771" s="46"/>
      <c r="J4771" s="26"/>
      <c r="K4771" s="26"/>
      <c r="L4771" s="26"/>
      <c r="M4771" s="26"/>
      <c r="N4771" s="26"/>
      <c r="O4771" s="26"/>
      <c r="P4771" s="26"/>
      <c r="Q4771" s="26"/>
      <c r="R4771" s="26"/>
    </row>
    <row r="4772" spans="9:18" x14ac:dyDescent="0.25">
      <c r="I4772" s="46"/>
      <c r="J4772" s="26"/>
      <c r="K4772" s="26"/>
      <c r="L4772" s="26"/>
      <c r="M4772" s="26"/>
      <c r="N4772" s="26"/>
      <c r="O4772" s="26"/>
      <c r="P4772" s="26"/>
      <c r="Q4772" s="26"/>
      <c r="R4772" s="26"/>
    </row>
    <row r="4773" spans="9:18" x14ac:dyDescent="0.25">
      <c r="I4773" s="46"/>
      <c r="J4773" s="26"/>
      <c r="K4773" s="26"/>
      <c r="L4773" s="26"/>
      <c r="M4773" s="26"/>
      <c r="N4773" s="26"/>
      <c r="O4773" s="26"/>
      <c r="P4773" s="26"/>
      <c r="Q4773" s="26"/>
      <c r="R4773" s="26"/>
    </row>
    <row r="4774" spans="9:18" x14ac:dyDescent="0.25">
      <c r="I4774" s="46"/>
      <c r="J4774" s="26"/>
      <c r="K4774" s="26"/>
      <c r="L4774" s="26"/>
      <c r="M4774" s="26"/>
      <c r="N4774" s="26"/>
      <c r="O4774" s="26"/>
      <c r="P4774" s="26"/>
      <c r="Q4774" s="26"/>
      <c r="R4774" s="26"/>
    </row>
    <row r="4775" spans="9:18" x14ac:dyDescent="0.25">
      <c r="I4775" s="46"/>
      <c r="J4775" s="26"/>
      <c r="K4775" s="26"/>
      <c r="L4775" s="26"/>
      <c r="M4775" s="26"/>
      <c r="N4775" s="26"/>
      <c r="O4775" s="26"/>
      <c r="P4775" s="26"/>
      <c r="Q4775" s="26"/>
      <c r="R4775" s="26"/>
    </row>
    <row r="4776" spans="9:18" x14ac:dyDescent="0.25">
      <c r="I4776" s="46"/>
      <c r="J4776" s="26"/>
      <c r="K4776" s="26"/>
      <c r="L4776" s="26"/>
      <c r="M4776" s="26"/>
      <c r="N4776" s="26"/>
      <c r="O4776" s="26"/>
      <c r="P4776" s="26"/>
      <c r="Q4776" s="26"/>
      <c r="R4776" s="26"/>
    </row>
    <row r="4777" spans="9:18" x14ac:dyDescent="0.25">
      <c r="I4777" s="46"/>
      <c r="J4777" s="26"/>
      <c r="K4777" s="26"/>
      <c r="L4777" s="26"/>
      <c r="M4777" s="26"/>
      <c r="N4777" s="26"/>
      <c r="O4777" s="26"/>
      <c r="P4777" s="26"/>
      <c r="Q4777" s="26"/>
      <c r="R4777" s="26"/>
    </row>
    <row r="4778" spans="9:18" x14ac:dyDescent="0.25">
      <c r="I4778" s="46"/>
      <c r="J4778" s="26"/>
      <c r="K4778" s="26"/>
      <c r="L4778" s="26"/>
      <c r="M4778" s="26"/>
      <c r="N4778" s="26"/>
      <c r="O4778" s="26"/>
      <c r="P4778" s="26"/>
      <c r="Q4778" s="26"/>
      <c r="R4778" s="26"/>
    </row>
    <row r="4779" spans="9:18" x14ac:dyDescent="0.25">
      <c r="I4779" s="46"/>
      <c r="J4779" s="26"/>
      <c r="K4779" s="26"/>
      <c r="L4779" s="26"/>
      <c r="M4779" s="26"/>
      <c r="N4779" s="26"/>
      <c r="O4779" s="26"/>
      <c r="P4779" s="26"/>
      <c r="Q4779" s="26"/>
      <c r="R4779" s="26"/>
    </row>
    <row r="4780" spans="9:18" x14ac:dyDescent="0.25">
      <c r="I4780" s="46"/>
      <c r="J4780" s="26"/>
      <c r="K4780" s="26"/>
      <c r="L4780" s="26"/>
      <c r="M4780" s="26"/>
      <c r="N4780" s="26"/>
      <c r="O4780" s="26"/>
      <c r="P4780" s="26"/>
      <c r="Q4780" s="26"/>
      <c r="R4780" s="26"/>
    </row>
    <row r="4781" spans="9:18" x14ac:dyDescent="0.25">
      <c r="I4781" s="46"/>
      <c r="J4781" s="26"/>
      <c r="K4781" s="26"/>
      <c r="L4781" s="26"/>
      <c r="M4781" s="26"/>
      <c r="N4781" s="26"/>
      <c r="O4781" s="26"/>
      <c r="P4781" s="26"/>
      <c r="Q4781" s="26"/>
      <c r="R4781" s="26"/>
    </row>
    <row r="4782" spans="9:18" x14ac:dyDescent="0.25">
      <c r="I4782" s="46"/>
      <c r="J4782" s="26"/>
      <c r="K4782" s="26"/>
      <c r="L4782" s="26"/>
      <c r="M4782" s="26"/>
      <c r="N4782" s="26"/>
      <c r="O4782" s="26"/>
      <c r="P4782" s="26"/>
      <c r="Q4782" s="26"/>
      <c r="R4782" s="26"/>
    </row>
    <row r="4783" spans="9:18" x14ac:dyDescent="0.25">
      <c r="I4783" s="46"/>
      <c r="J4783" s="26"/>
      <c r="K4783" s="26"/>
      <c r="L4783" s="26"/>
      <c r="M4783" s="26"/>
      <c r="N4783" s="26"/>
      <c r="O4783" s="26"/>
      <c r="P4783" s="26"/>
      <c r="Q4783" s="26"/>
      <c r="R4783" s="26"/>
    </row>
    <row r="4784" spans="9:18" x14ac:dyDescent="0.25">
      <c r="I4784" s="46"/>
      <c r="J4784" s="26"/>
      <c r="K4784" s="26"/>
      <c r="L4784" s="26"/>
      <c r="M4784" s="26"/>
      <c r="N4784" s="26"/>
      <c r="O4784" s="26"/>
      <c r="P4784" s="26"/>
      <c r="Q4784" s="26"/>
      <c r="R4784" s="26"/>
    </row>
    <row r="4785" spans="9:18" x14ac:dyDescent="0.25">
      <c r="I4785" s="46"/>
      <c r="J4785" s="26"/>
      <c r="K4785" s="26"/>
      <c r="L4785" s="26"/>
      <c r="M4785" s="26"/>
      <c r="N4785" s="26"/>
      <c r="O4785" s="26"/>
      <c r="P4785" s="26"/>
      <c r="Q4785" s="26"/>
      <c r="R4785" s="26"/>
    </row>
    <row r="4786" spans="9:18" x14ac:dyDescent="0.25">
      <c r="I4786" s="46"/>
      <c r="J4786" s="26"/>
      <c r="K4786" s="26"/>
      <c r="L4786" s="26"/>
      <c r="M4786" s="26"/>
      <c r="N4786" s="26"/>
      <c r="O4786" s="26"/>
      <c r="P4786" s="26"/>
      <c r="Q4786" s="26"/>
      <c r="R4786" s="26"/>
    </row>
    <row r="4787" spans="9:18" x14ac:dyDescent="0.25">
      <c r="I4787" s="46"/>
      <c r="J4787" s="26"/>
      <c r="K4787" s="26"/>
      <c r="L4787" s="26"/>
      <c r="M4787" s="26"/>
      <c r="N4787" s="26"/>
      <c r="O4787" s="26"/>
      <c r="P4787" s="26"/>
      <c r="Q4787" s="26"/>
      <c r="R4787" s="26"/>
    </row>
    <row r="4788" spans="9:18" x14ac:dyDescent="0.25">
      <c r="I4788" s="46"/>
      <c r="J4788" s="26"/>
      <c r="K4788" s="26"/>
      <c r="L4788" s="26"/>
      <c r="M4788" s="26"/>
      <c r="N4788" s="26"/>
      <c r="O4788" s="26"/>
      <c r="P4788" s="26"/>
      <c r="Q4788" s="26"/>
      <c r="R4788" s="26"/>
    </row>
    <row r="4789" spans="9:18" x14ac:dyDescent="0.25">
      <c r="I4789" s="46"/>
      <c r="J4789" s="26"/>
      <c r="K4789" s="26"/>
      <c r="L4789" s="26"/>
      <c r="M4789" s="26"/>
      <c r="N4789" s="26"/>
      <c r="O4789" s="26"/>
      <c r="P4789" s="26"/>
      <c r="Q4789" s="26"/>
      <c r="R4789" s="26"/>
    </row>
    <row r="4790" spans="9:18" x14ac:dyDescent="0.25">
      <c r="I4790" s="46"/>
      <c r="J4790" s="26"/>
      <c r="K4790" s="26"/>
      <c r="L4790" s="26"/>
      <c r="M4790" s="26"/>
      <c r="N4790" s="26"/>
      <c r="O4790" s="26"/>
      <c r="P4790" s="26"/>
      <c r="Q4790" s="26"/>
      <c r="R4790" s="26"/>
    </row>
    <row r="4791" spans="9:18" x14ac:dyDescent="0.25">
      <c r="I4791" s="46"/>
      <c r="J4791" s="26"/>
      <c r="K4791" s="26"/>
      <c r="L4791" s="26"/>
      <c r="M4791" s="26"/>
      <c r="N4791" s="26"/>
      <c r="O4791" s="26"/>
      <c r="P4791" s="26"/>
      <c r="Q4791" s="26"/>
      <c r="R4791" s="26"/>
    </row>
    <row r="4792" spans="9:18" x14ac:dyDescent="0.25">
      <c r="I4792" s="46"/>
      <c r="J4792" s="26"/>
      <c r="K4792" s="26"/>
      <c r="L4792" s="26"/>
      <c r="M4792" s="26"/>
      <c r="N4792" s="26"/>
      <c r="O4792" s="26"/>
      <c r="P4792" s="26"/>
      <c r="Q4792" s="26"/>
      <c r="R4792" s="26"/>
    </row>
    <row r="4793" spans="9:18" x14ac:dyDescent="0.25">
      <c r="I4793" s="46"/>
      <c r="J4793" s="26"/>
      <c r="K4793" s="26"/>
      <c r="L4793" s="26"/>
      <c r="M4793" s="26"/>
      <c r="N4793" s="26"/>
      <c r="O4793" s="26"/>
      <c r="P4793" s="26"/>
      <c r="Q4793" s="26"/>
      <c r="R4793" s="26"/>
    </row>
    <row r="4794" spans="9:18" x14ac:dyDescent="0.25">
      <c r="I4794" s="46"/>
      <c r="J4794" s="26"/>
      <c r="K4794" s="26"/>
      <c r="L4794" s="26"/>
      <c r="M4794" s="26"/>
      <c r="N4794" s="26"/>
      <c r="O4794" s="26"/>
      <c r="P4794" s="26"/>
      <c r="Q4794" s="26"/>
      <c r="R4794" s="26"/>
    </row>
    <row r="4795" spans="9:18" x14ac:dyDescent="0.25">
      <c r="I4795" s="46"/>
      <c r="J4795" s="26"/>
      <c r="K4795" s="26"/>
      <c r="L4795" s="26"/>
      <c r="M4795" s="26"/>
      <c r="N4795" s="26"/>
      <c r="O4795" s="26"/>
      <c r="P4795" s="26"/>
      <c r="Q4795" s="26"/>
      <c r="R4795" s="26"/>
    </row>
    <row r="4796" spans="9:18" x14ac:dyDescent="0.25">
      <c r="I4796" s="46"/>
      <c r="J4796" s="26"/>
      <c r="K4796" s="26"/>
      <c r="L4796" s="26"/>
      <c r="M4796" s="26"/>
      <c r="N4796" s="26"/>
      <c r="O4796" s="26"/>
      <c r="P4796" s="26"/>
      <c r="Q4796" s="26"/>
      <c r="R4796" s="26"/>
    </row>
    <row r="4797" spans="9:18" x14ac:dyDescent="0.25">
      <c r="I4797" s="46"/>
      <c r="J4797" s="26"/>
      <c r="K4797" s="26"/>
      <c r="L4797" s="26"/>
      <c r="M4797" s="26"/>
      <c r="N4797" s="26"/>
      <c r="O4797" s="26"/>
      <c r="P4797" s="26"/>
      <c r="Q4797" s="26"/>
      <c r="R4797" s="26"/>
    </row>
    <row r="4798" spans="9:18" x14ac:dyDescent="0.25">
      <c r="I4798" s="46"/>
      <c r="J4798" s="26"/>
      <c r="K4798" s="26"/>
      <c r="L4798" s="26"/>
      <c r="M4798" s="26"/>
      <c r="N4798" s="26"/>
      <c r="O4798" s="26"/>
      <c r="P4798" s="26"/>
      <c r="Q4798" s="26"/>
      <c r="R4798" s="26"/>
    </row>
    <row r="4799" spans="9:18" x14ac:dyDescent="0.25">
      <c r="I4799" s="46"/>
      <c r="J4799" s="26"/>
      <c r="K4799" s="26"/>
      <c r="L4799" s="26"/>
      <c r="M4799" s="26"/>
      <c r="N4799" s="26"/>
      <c r="O4799" s="26"/>
      <c r="P4799" s="26"/>
      <c r="Q4799" s="26"/>
      <c r="R4799" s="26"/>
    </row>
    <row r="4800" spans="9:18" x14ac:dyDescent="0.25">
      <c r="I4800" s="46"/>
      <c r="J4800" s="26"/>
      <c r="K4800" s="26"/>
      <c r="L4800" s="26"/>
      <c r="M4800" s="26"/>
      <c r="N4800" s="26"/>
      <c r="O4800" s="26"/>
      <c r="P4800" s="26"/>
      <c r="Q4800" s="26"/>
      <c r="R4800" s="26"/>
    </row>
    <row r="4801" spans="9:18" x14ac:dyDescent="0.25">
      <c r="I4801" s="46"/>
      <c r="J4801" s="26"/>
      <c r="K4801" s="26"/>
      <c r="L4801" s="26"/>
      <c r="M4801" s="26"/>
      <c r="N4801" s="26"/>
      <c r="O4801" s="26"/>
      <c r="P4801" s="26"/>
      <c r="Q4801" s="26"/>
      <c r="R4801" s="26"/>
    </row>
    <row r="4802" spans="9:18" x14ac:dyDescent="0.25">
      <c r="I4802" s="46"/>
      <c r="J4802" s="26"/>
      <c r="K4802" s="26"/>
      <c r="L4802" s="26"/>
      <c r="M4802" s="26"/>
      <c r="N4802" s="26"/>
      <c r="O4802" s="26"/>
      <c r="P4802" s="26"/>
      <c r="Q4802" s="26"/>
      <c r="R4802" s="26"/>
    </row>
    <row r="4803" spans="9:18" x14ac:dyDescent="0.25">
      <c r="I4803" s="46"/>
      <c r="J4803" s="26"/>
      <c r="K4803" s="26"/>
      <c r="L4803" s="26"/>
      <c r="M4803" s="26"/>
      <c r="N4803" s="26"/>
      <c r="O4803" s="26"/>
      <c r="P4803" s="26"/>
      <c r="Q4803" s="26"/>
      <c r="R4803" s="26"/>
    </row>
    <row r="4804" spans="9:18" x14ac:dyDescent="0.25">
      <c r="I4804" s="46"/>
      <c r="J4804" s="26"/>
      <c r="K4804" s="26"/>
      <c r="L4804" s="26"/>
      <c r="M4804" s="26"/>
      <c r="N4804" s="26"/>
      <c r="O4804" s="26"/>
      <c r="P4804" s="26"/>
      <c r="Q4804" s="26"/>
      <c r="R4804" s="26"/>
    </row>
    <row r="4805" spans="9:18" x14ac:dyDescent="0.25">
      <c r="I4805" s="46"/>
      <c r="J4805" s="26"/>
      <c r="K4805" s="26"/>
      <c r="L4805" s="26"/>
      <c r="M4805" s="26"/>
      <c r="N4805" s="26"/>
      <c r="O4805" s="26"/>
      <c r="P4805" s="26"/>
      <c r="Q4805" s="26"/>
      <c r="R4805" s="26"/>
    </row>
    <row r="4806" spans="9:18" x14ac:dyDescent="0.25">
      <c r="I4806" s="46"/>
      <c r="J4806" s="26"/>
      <c r="K4806" s="26"/>
      <c r="L4806" s="26"/>
      <c r="M4806" s="26"/>
      <c r="N4806" s="26"/>
      <c r="O4806" s="26"/>
      <c r="P4806" s="26"/>
      <c r="Q4806" s="26"/>
      <c r="R4806" s="26"/>
    </row>
    <row r="4807" spans="9:18" x14ac:dyDescent="0.25">
      <c r="I4807" s="46"/>
      <c r="J4807" s="26"/>
      <c r="K4807" s="26"/>
      <c r="L4807" s="26"/>
      <c r="M4807" s="26"/>
      <c r="N4807" s="26"/>
      <c r="O4807" s="26"/>
      <c r="P4807" s="26"/>
      <c r="Q4807" s="26"/>
      <c r="R4807" s="26"/>
    </row>
    <row r="4808" spans="9:18" x14ac:dyDescent="0.25">
      <c r="I4808" s="46"/>
      <c r="J4808" s="26"/>
      <c r="K4808" s="26"/>
      <c r="L4808" s="26"/>
      <c r="M4808" s="26"/>
      <c r="N4808" s="26"/>
      <c r="O4808" s="26"/>
      <c r="P4808" s="26"/>
      <c r="Q4808" s="26"/>
      <c r="R4808" s="26"/>
    </row>
    <row r="4809" spans="9:18" x14ac:dyDescent="0.25">
      <c r="I4809" s="46"/>
      <c r="J4809" s="26"/>
      <c r="K4809" s="26"/>
      <c r="L4809" s="26"/>
      <c r="M4809" s="26"/>
      <c r="N4809" s="26"/>
      <c r="O4809" s="26"/>
      <c r="P4809" s="26"/>
      <c r="Q4809" s="26"/>
      <c r="R4809" s="26"/>
    </row>
    <row r="4810" spans="9:18" x14ac:dyDescent="0.25">
      <c r="I4810" s="46"/>
      <c r="J4810" s="26"/>
      <c r="K4810" s="26"/>
      <c r="L4810" s="26"/>
      <c r="M4810" s="26"/>
      <c r="N4810" s="26"/>
      <c r="O4810" s="26"/>
      <c r="P4810" s="26"/>
      <c r="Q4810" s="26"/>
      <c r="R4810" s="26"/>
    </row>
    <row r="4811" spans="9:18" x14ac:dyDescent="0.25">
      <c r="I4811" s="46"/>
      <c r="J4811" s="26"/>
      <c r="K4811" s="26"/>
      <c r="L4811" s="26"/>
      <c r="M4811" s="26"/>
      <c r="N4811" s="26"/>
      <c r="O4811" s="26"/>
      <c r="P4811" s="26"/>
      <c r="Q4811" s="26"/>
      <c r="R4811" s="26"/>
    </row>
    <row r="4812" spans="9:18" x14ac:dyDescent="0.25">
      <c r="I4812" s="46"/>
      <c r="J4812" s="26"/>
      <c r="K4812" s="26"/>
      <c r="L4812" s="26"/>
      <c r="M4812" s="26"/>
      <c r="N4812" s="26"/>
      <c r="O4812" s="26"/>
      <c r="P4812" s="26"/>
      <c r="Q4812" s="26"/>
      <c r="R4812" s="26"/>
    </row>
    <row r="4813" spans="9:18" x14ac:dyDescent="0.25">
      <c r="I4813" s="46"/>
      <c r="J4813" s="26"/>
      <c r="K4813" s="26"/>
      <c r="L4813" s="26"/>
      <c r="M4813" s="26"/>
      <c r="N4813" s="26"/>
      <c r="O4813" s="26"/>
      <c r="P4813" s="26"/>
      <c r="Q4813" s="26"/>
      <c r="R4813" s="26"/>
    </row>
    <row r="4814" spans="9:18" x14ac:dyDescent="0.25">
      <c r="I4814" s="46"/>
      <c r="J4814" s="26"/>
      <c r="K4814" s="26"/>
      <c r="L4814" s="26"/>
      <c r="M4814" s="26"/>
      <c r="N4814" s="26"/>
      <c r="O4814" s="26"/>
      <c r="P4814" s="26"/>
      <c r="Q4814" s="26"/>
      <c r="R4814" s="26"/>
    </row>
    <row r="4815" spans="9:18" x14ac:dyDescent="0.25">
      <c r="I4815" s="46"/>
      <c r="J4815" s="26"/>
      <c r="K4815" s="26"/>
      <c r="L4815" s="26"/>
      <c r="M4815" s="26"/>
      <c r="N4815" s="26"/>
      <c r="O4815" s="26"/>
      <c r="P4815" s="26"/>
      <c r="Q4815" s="26"/>
      <c r="R4815" s="26"/>
    </row>
    <row r="4816" spans="9:18" x14ac:dyDescent="0.25">
      <c r="I4816" s="46"/>
      <c r="J4816" s="26"/>
      <c r="K4816" s="26"/>
      <c r="L4816" s="26"/>
      <c r="M4816" s="26"/>
      <c r="N4816" s="26"/>
      <c r="O4816" s="26"/>
      <c r="P4816" s="26"/>
      <c r="Q4816" s="26"/>
      <c r="R4816" s="26"/>
    </row>
    <row r="4817" spans="9:18" x14ac:dyDescent="0.25">
      <c r="I4817" s="46"/>
      <c r="J4817" s="26"/>
      <c r="K4817" s="26"/>
      <c r="L4817" s="26"/>
      <c r="M4817" s="26"/>
      <c r="N4817" s="26"/>
      <c r="O4817" s="26"/>
      <c r="P4817" s="26"/>
      <c r="Q4817" s="26"/>
      <c r="R4817" s="26"/>
    </row>
    <row r="4818" spans="9:18" x14ac:dyDescent="0.25">
      <c r="I4818" s="46"/>
      <c r="J4818" s="26"/>
      <c r="K4818" s="26"/>
      <c r="L4818" s="26"/>
      <c r="M4818" s="26"/>
      <c r="N4818" s="26"/>
      <c r="O4818" s="26"/>
      <c r="P4818" s="26"/>
      <c r="Q4818" s="26"/>
      <c r="R4818" s="26"/>
    </row>
    <row r="4819" spans="9:18" x14ac:dyDescent="0.25">
      <c r="I4819" s="46"/>
      <c r="J4819" s="26"/>
      <c r="K4819" s="26"/>
      <c r="L4819" s="26"/>
      <c r="M4819" s="26"/>
      <c r="N4819" s="26"/>
      <c r="O4819" s="26"/>
      <c r="P4819" s="26"/>
      <c r="Q4819" s="26"/>
      <c r="R4819" s="26"/>
    </row>
    <row r="4820" spans="9:18" x14ac:dyDescent="0.25">
      <c r="I4820" s="46"/>
      <c r="J4820" s="26"/>
      <c r="K4820" s="26"/>
      <c r="L4820" s="26"/>
      <c r="M4820" s="26"/>
      <c r="N4820" s="26"/>
      <c r="O4820" s="26"/>
      <c r="P4820" s="26"/>
      <c r="Q4820" s="26"/>
      <c r="R4820" s="26"/>
    </row>
    <row r="4821" spans="9:18" x14ac:dyDescent="0.25">
      <c r="I4821" s="46"/>
      <c r="J4821" s="26"/>
      <c r="K4821" s="26"/>
      <c r="L4821" s="26"/>
      <c r="M4821" s="26"/>
      <c r="N4821" s="26"/>
      <c r="O4821" s="26"/>
      <c r="P4821" s="26"/>
      <c r="Q4821" s="26"/>
      <c r="R4821" s="26"/>
    </row>
    <row r="4822" spans="9:18" x14ac:dyDescent="0.25">
      <c r="I4822" s="46"/>
      <c r="J4822" s="26"/>
      <c r="K4822" s="26"/>
      <c r="L4822" s="26"/>
      <c r="M4822" s="26"/>
      <c r="N4822" s="26"/>
      <c r="O4822" s="26"/>
      <c r="P4822" s="26"/>
      <c r="Q4822" s="26"/>
      <c r="R4822" s="26"/>
    </row>
    <row r="4823" spans="9:18" x14ac:dyDescent="0.25">
      <c r="I4823" s="46"/>
      <c r="J4823" s="26"/>
      <c r="K4823" s="26"/>
      <c r="L4823" s="26"/>
      <c r="M4823" s="26"/>
      <c r="N4823" s="26"/>
      <c r="O4823" s="26"/>
      <c r="P4823" s="26"/>
      <c r="Q4823" s="26"/>
      <c r="R4823" s="26"/>
    </row>
    <row r="4824" spans="9:18" x14ac:dyDescent="0.25">
      <c r="I4824" s="46"/>
      <c r="J4824" s="26"/>
      <c r="K4824" s="26"/>
      <c r="L4824" s="26"/>
      <c r="M4824" s="26"/>
      <c r="N4824" s="26"/>
      <c r="O4824" s="26"/>
      <c r="P4824" s="26"/>
      <c r="Q4824" s="26"/>
      <c r="R4824" s="26"/>
    </row>
    <row r="4825" spans="9:18" x14ac:dyDescent="0.25">
      <c r="I4825" s="46"/>
      <c r="J4825" s="26"/>
      <c r="K4825" s="26"/>
      <c r="L4825" s="26"/>
      <c r="M4825" s="26"/>
      <c r="N4825" s="26"/>
      <c r="O4825" s="26"/>
      <c r="P4825" s="26"/>
      <c r="Q4825" s="26"/>
      <c r="R4825" s="26"/>
    </row>
    <row r="4826" spans="9:18" x14ac:dyDescent="0.25">
      <c r="I4826" s="46"/>
      <c r="J4826" s="26"/>
      <c r="K4826" s="26"/>
      <c r="L4826" s="26"/>
      <c r="M4826" s="26"/>
      <c r="N4826" s="26"/>
      <c r="O4826" s="26"/>
      <c r="P4826" s="26"/>
      <c r="Q4826" s="26"/>
      <c r="R4826" s="26"/>
    </row>
    <row r="4827" spans="9:18" x14ac:dyDescent="0.25">
      <c r="I4827" s="46"/>
      <c r="J4827" s="26"/>
      <c r="K4827" s="26"/>
      <c r="L4827" s="26"/>
      <c r="M4827" s="26"/>
      <c r="N4827" s="26"/>
      <c r="O4827" s="26"/>
      <c r="P4827" s="26"/>
      <c r="Q4827" s="26"/>
      <c r="R4827" s="26"/>
    </row>
    <row r="4828" spans="9:18" x14ac:dyDescent="0.25">
      <c r="I4828" s="46"/>
      <c r="J4828" s="26"/>
      <c r="K4828" s="26"/>
      <c r="L4828" s="26"/>
      <c r="M4828" s="26"/>
      <c r="N4828" s="26"/>
      <c r="O4828" s="26"/>
      <c r="P4828" s="26"/>
      <c r="Q4828" s="26"/>
      <c r="R4828" s="26"/>
    </row>
    <row r="4829" spans="9:18" x14ac:dyDescent="0.25">
      <c r="I4829" s="46"/>
      <c r="J4829" s="26"/>
      <c r="K4829" s="26"/>
      <c r="L4829" s="26"/>
      <c r="M4829" s="26"/>
      <c r="N4829" s="26"/>
      <c r="O4829" s="26"/>
      <c r="P4829" s="26"/>
      <c r="Q4829" s="26"/>
      <c r="R4829" s="26"/>
    </row>
    <row r="4830" spans="9:18" x14ac:dyDescent="0.25">
      <c r="I4830" s="46"/>
      <c r="J4830" s="26"/>
      <c r="K4830" s="26"/>
      <c r="L4830" s="26"/>
      <c r="M4830" s="26"/>
      <c r="N4830" s="26"/>
      <c r="O4830" s="26"/>
      <c r="P4830" s="26"/>
      <c r="Q4830" s="26"/>
      <c r="R4830" s="26"/>
    </row>
    <row r="4831" spans="9:18" x14ac:dyDescent="0.25">
      <c r="I4831" s="46"/>
      <c r="J4831" s="26"/>
      <c r="K4831" s="26"/>
      <c r="L4831" s="26"/>
      <c r="M4831" s="26"/>
      <c r="N4831" s="26"/>
      <c r="O4831" s="26"/>
      <c r="P4831" s="26"/>
      <c r="Q4831" s="26"/>
      <c r="R4831" s="26"/>
    </row>
    <row r="4832" spans="9:18" x14ac:dyDescent="0.25">
      <c r="I4832" s="46"/>
      <c r="J4832" s="26"/>
      <c r="K4832" s="26"/>
      <c r="L4832" s="26"/>
      <c r="M4832" s="26"/>
      <c r="N4832" s="26"/>
      <c r="O4832" s="26"/>
      <c r="P4832" s="26"/>
      <c r="Q4832" s="26"/>
      <c r="R4832" s="26"/>
    </row>
    <row r="4833" spans="9:18" x14ac:dyDescent="0.25">
      <c r="I4833" s="46"/>
      <c r="J4833" s="26"/>
      <c r="K4833" s="26"/>
      <c r="L4833" s="26"/>
      <c r="M4833" s="26"/>
      <c r="N4833" s="26"/>
      <c r="O4833" s="26"/>
      <c r="P4833" s="26"/>
      <c r="Q4833" s="26"/>
      <c r="R4833" s="26"/>
    </row>
    <row r="4834" spans="9:18" x14ac:dyDescent="0.25">
      <c r="I4834" s="46"/>
      <c r="J4834" s="26"/>
      <c r="K4834" s="26"/>
      <c r="L4834" s="26"/>
      <c r="M4834" s="26"/>
      <c r="N4834" s="26"/>
      <c r="O4834" s="26"/>
      <c r="P4834" s="26"/>
      <c r="Q4834" s="26"/>
      <c r="R4834" s="26"/>
    </row>
    <row r="4835" spans="9:18" x14ac:dyDescent="0.25">
      <c r="I4835" s="46"/>
      <c r="J4835" s="26"/>
      <c r="K4835" s="26"/>
      <c r="L4835" s="26"/>
      <c r="M4835" s="26"/>
      <c r="N4835" s="26"/>
      <c r="O4835" s="26"/>
      <c r="P4835" s="26"/>
      <c r="Q4835" s="26"/>
      <c r="R4835" s="26"/>
    </row>
    <row r="4836" spans="9:18" x14ac:dyDescent="0.25">
      <c r="I4836" s="46"/>
      <c r="J4836" s="26"/>
      <c r="K4836" s="26"/>
      <c r="L4836" s="26"/>
      <c r="M4836" s="26"/>
      <c r="N4836" s="26"/>
      <c r="O4836" s="26"/>
      <c r="P4836" s="26"/>
      <c r="Q4836" s="26"/>
      <c r="R4836" s="26"/>
    </row>
    <row r="4837" spans="9:18" x14ac:dyDescent="0.25">
      <c r="I4837" s="46"/>
      <c r="J4837" s="26"/>
      <c r="K4837" s="26"/>
      <c r="L4837" s="26"/>
      <c r="M4837" s="26"/>
      <c r="N4837" s="26"/>
      <c r="O4837" s="26"/>
      <c r="P4837" s="26"/>
      <c r="Q4837" s="26"/>
      <c r="R4837" s="26"/>
    </row>
    <row r="4838" spans="9:18" x14ac:dyDescent="0.25">
      <c r="I4838" s="46"/>
      <c r="J4838" s="26"/>
      <c r="K4838" s="26"/>
      <c r="L4838" s="26"/>
      <c r="M4838" s="26"/>
      <c r="N4838" s="26"/>
      <c r="O4838" s="26"/>
      <c r="P4838" s="26"/>
      <c r="Q4838" s="26"/>
      <c r="R4838" s="26"/>
    </row>
    <row r="4839" spans="9:18" x14ac:dyDescent="0.25">
      <c r="I4839" s="46"/>
      <c r="J4839" s="26"/>
      <c r="K4839" s="26"/>
      <c r="L4839" s="26"/>
      <c r="M4839" s="26"/>
      <c r="N4839" s="26"/>
      <c r="O4839" s="26"/>
      <c r="P4839" s="26"/>
      <c r="Q4839" s="26"/>
      <c r="R4839" s="26"/>
    </row>
    <row r="4840" spans="9:18" x14ac:dyDescent="0.25">
      <c r="I4840" s="46"/>
      <c r="J4840" s="26"/>
      <c r="K4840" s="26"/>
      <c r="L4840" s="26"/>
      <c r="M4840" s="26"/>
      <c r="N4840" s="26"/>
      <c r="O4840" s="26"/>
      <c r="P4840" s="26"/>
      <c r="Q4840" s="26"/>
      <c r="R4840" s="26"/>
    </row>
    <row r="4841" spans="9:18" x14ac:dyDescent="0.25">
      <c r="I4841" s="46"/>
      <c r="J4841" s="26"/>
      <c r="K4841" s="26"/>
      <c r="L4841" s="26"/>
      <c r="M4841" s="26"/>
      <c r="N4841" s="26"/>
      <c r="O4841" s="26"/>
      <c r="P4841" s="26"/>
      <c r="Q4841" s="26"/>
      <c r="R4841" s="26"/>
    </row>
    <row r="4842" spans="9:18" x14ac:dyDescent="0.25">
      <c r="I4842" s="46"/>
      <c r="J4842" s="26"/>
      <c r="K4842" s="26"/>
      <c r="L4842" s="26"/>
      <c r="M4842" s="26"/>
      <c r="N4842" s="26"/>
      <c r="O4842" s="26"/>
      <c r="P4842" s="26"/>
      <c r="Q4842" s="26"/>
      <c r="R4842" s="26"/>
    </row>
    <row r="4843" spans="9:18" x14ac:dyDescent="0.25">
      <c r="I4843" s="46"/>
      <c r="J4843" s="26"/>
      <c r="K4843" s="26"/>
      <c r="L4843" s="26"/>
      <c r="M4843" s="26"/>
      <c r="N4843" s="26"/>
      <c r="O4843" s="26"/>
      <c r="P4843" s="26"/>
      <c r="Q4843" s="26"/>
      <c r="R4843" s="26"/>
    </row>
    <row r="4844" spans="9:18" x14ac:dyDescent="0.25">
      <c r="I4844" s="46"/>
      <c r="J4844" s="26"/>
      <c r="K4844" s="26"/>
      <c r="L4844" s="26"/>
      <c r="M4844" s="26"/>
      <c r="N4844" s="26"/>
      <c r="O4844" s="26"/>
      <c r="P4844" s="26"/>
      <c r="Q4844" s="26"/>
      <c r="R4844" s="26"/>
    </row>
    <row r="4845" spans="9:18" x14ac:dyDescent="0.25">
      <c r="I4845" s="46"/>
      <c r="J4845" s="26"/>
      <c r="K4845" s="26"/>
      <c r="L4845" s="26"/>
      <c r="M4845" s="26"/>
      <c r="N4845" s="26"/>
      <c r="O4845" s="26"/>
      <c r="P4845" s="26"/>
      <c r="Q4845" s="26"/>
      <c r="R4845" s="26"/>
    </row>
    <row r="4846" spans="9:18" x14ac:dyDescent="0.25">
      <c r="I4846" s="46"/>
      <c r="J4846" s="26"/>
      <c r="K4846" s="26"/>
      <c r="L4846" s="26"/>
      <c r="M4846" s="26"/>
      <c r="N4846" s="26"/>
      <c r="O4846" s="26"/>
      <c r="P4846" s="26"/>
      <c r="Q4846" s="26"/>
      <c r="R4846" s="26"/>
    </row>
    <row r="4847" spans="9:18" x14ac:dyDescent="0.25">
      <c r="I4847" s="46"/>
      <c r="J4847" s="26"/>
      <c r="K4847" s="26"/>
      <c r="L4847" s="26"/>
      <c r="M4847" s="26"/>
      <c r="N4847" s="26"/>
      <c r="O4847" s="26"/>
      <c r="P4847" s="26"/>
      <c r="Q4847" s="26"/>
      <c r="R4847" s="26"/>
    </row>
    <row r="4848" spans="9:18" x14ac:dyDescent="0.25">
      <c r="I4848" s="46"/>
      <c r="J4848" s="26"/>
      <c r="K4848" s="26"/>
      <c r="L4848" s="26"/>
      <c r="M4848" s="26"/>
      <c r="N4848" s="26"/>
      <c r="O4848" s="26"/>
      <c r="P4848" s="26"/>
      <c r="Q4848" s="26"/>
      <c r="R4848" s="26"/>
    </row>
    <row r="4849" spans="9:18" x14ac:dyDescent="0.25">
      <c r="I4849" s="46"/>
      <c r="J4849" s="26"/>
      <c r="K4849" s="26"/>
      <c r="L4849" s="26"/>
      <c r="M4849" s="26"/>
      <c r="N4849" s="26"/>
      <c r="O4849" s="26"/>
      <c r="P4849" s="26"/>
      <c r="Q4849" s="26"/>
      <c r="R4849" s="26"/>
    </row>
    <row r="4850" spans="9:18" x14ac:dyDescent="0.25">
      <c r="I4850" s="46"/>
      <c r="J4850" s="26"/>
      <c r="K4850" s="26"/>
      <c r="L4850" s="26"/>
      <c r="M4850" s="26"/>
      <c r="N4850" s="26"/>
      <c r="O4850" s="26"/>
      <c r="P4850" s="26"/>
      <c r="Q4850" s="26"/>
      <c r="R4850" s="26"/>
    </row>
    <row r="4851" spans="9:18" x14ac:dyDescent="0.25">
      <c r="I4851" s="46"/>
      <c r="J4851" s="26"/>
      <c r="K4851" s="26"/>
      <c r="L4851" s="26"/>
      <c r="M4851" s="26"/>
      <c r="N4851" s="26"/>
      <c r="O4851" s="26"/>
      <c r="P4851" s="26"/>
      <c r="Q4851" s="26"/>
      <c r="R4851" s="26"/>
    </row>
    <row r="4852" spans="9:18" x14ac:dyDescent="0.25">
      <c r="I4852" s="46"/>
      <c r="J4852" s="26"/>
      <c r="K4852" s="26"/>
      <c r="L4852" s="26"/>
      <c r="M4852" s="26"/>
      <c r="N4852" s="26"/>
      <c r="O4852" s="26"/>
      <c r="P4852" s="26"/>
      <c r="Q4852" s="26"/>
      <c r="R4852" s="26"/>
    </row>
    <row r="4853" spans="9:18" x14ac:dyDescent="0.25">
      <c r="I4853" s="46"/>
      <c r="J4853" s="26"/>
      <c r="K4853" s="26"/>
      <c r="L4853" s="26"/>
      <c r="M4853" s="26"/>
      <c r="N4853" s="26"/>
      <c r="O4853" s="26"/>
      <c r="P4853" s="26"/>
      <c r="Q4853" s="26"/>
      <c r="R4853" s="26"/>
    </row>
    <row r="4854" spans="9:18" x14ac:dyDescent="0.25">
      <c r="I4854" s="46"/>
      <c r="J4854" s="26"/>
      <c r="K4854" s="26"/>
      <c r="L4854" s="26"/>
      <c r="M4854" s="26"/>
      <c r="N4854" s="26"/>
      <c r="O4854" s="26"/>
      <c r="P4854" s="26"/>
      <c r="Q4854" s="26"/>
      <c r="R4854" s="26"/>
    </row>
    <row r="4855" spans="9:18" x14ac:dyDescent="0.25">
      <c r="I4855" s="46"/>
      <c r="J4855" s="26"/>
      <c r="K4855" s="26"/>
      <c r="L4855" s="26"/>
      <c r="M4855" s="26"/>
      <c r="N4855" s="26"/>
      <c r="O4855" s="26"/>
      <c r="P4855" s="26"/>
      <c r="Q4855" s="26"/>
      <c r="R4855" s="26"/>
    </row>
    <row r="4856" spans="9:18" x14ac:dyDescent="0.25">
      <c r="I4856" s="46"/>
      <c r="J4856" s="26"/>
      <c r="K4856" s="26"/>
      <c r="L4856" s="26"/>
      <c r="M4856" s="26"/>
      <c r="N4856" s="26"/>
      <c r="O4856" s="26"/>
      <c r="P4856" s="26"/>
      <c r="Q4856" s="26"/>
      <c r="R4856" s="26"/>
    </row>
    <row r="4857" spans="9:18" x14ac:dyDescent="0.25">
      <c r="I4857" s="46"/>
      <c r="J4857" s="26"/>
      <c r="K4857" s="26"/>
      <c r="L4857" s="26"/>
      <c r="M4857" s="26"/>
      <c r="N4857" s="26"/>
      <c r="O4857" s="26"/>
      <c r="P4857" s="26"/>
      <c r="Q4857" s="26"/>
      <c r="R4857" s="26"/>
    </row>
    <row r="4858" spans="9:18" x14ac:dyDescent="0.25">
      <c r="I4858" s="46"/>
      <c r="J4858" s="26"/>
      <c r="K4858" s="26"/>
      <c r="L4858" s="26"/>
      <c r="M4858" s="26"/>
      <c r="N4858" s="26"/>
      <c r="O4858" s="26"/>
      <c r="P4858" s="26"/>
      <c r="Q4858" s="26"/>
      <c r="R4858" s="26"/>
    </row>
    <row r="4859" spans="9:18" x14ac:dyDescent="0.25">
      <c r="I4859" s="46"/>
      <c r="J4859" s="26"/>
      <c r="K4859" s="26"/>
      <c r="L4859" s="26"/>
      <c r="M4859" s="26"/>
      <c r="N4859" s="26"/>
      <c r="O4859" s="26"/>
      <c r="P4859" s="26"/>
      <c r="Q4859" s="26"/>
      <c r="R4859" s="26"/>
    </row>
    <row r="4860" spans="9:18" x14ac:dyDescent="0.25">
      <c r="I4860" s="46"/>
      <c r="J4860" s="26"/>
      <c r="K4860" s="26"/>
      <c r="L4860" s="26"/>
      <c r="M4860" s="26"/>
      <c r="N4860" s="26"/>
      <c r="O4860" s="26"/>
      <c r="P4860" s="26"/>
      <c r="Q4860" s="26"/>
      <c r="R4860" s="26"/>
    </row>
    <row r="4861" spans="9:18" x14ac:dyDescent="0.25">
      <c r="I4861" s="46"/>
      <c r="J4861" s="26"/>
      <c r="K4861" s="26"/>
      <c r="L4861" s="26"/>
      <c r="M4861" s="26"/>
      <c r="N4861" s="26"/>
      <c r="O4861" s="26"/>
      <c r="P4861" s="26"/>
      <c r="Q4861" s="26"/>
      <c r="R4861" s="26"/>
    </row>
    <row r="4862" spans="9:18" x14ac:dyDescent="0.25">
      <c r="I4862" s="46"/>
      <c r="J4862" s="26"/>
      <c r="K4862" s="26"/>
      <c r="L4862" s="26"/>
      <c r="M4862" s="26"/>
      <c r="N4862" s="26"/>
      <c r="O4862" s="26"/>
      <c r="P4862" s="26"/>
      <c r="Q4862" s="26"/>
      <c r="R4862" s="26"/>
    </row>
    <row r="4863" spans="9:18" x14ac:dyDescent="0.25">
      <c r="I4863" s="46"/>
      <c r="J4863" s="26"/>
      <c r="K4863" s="26"/>
      <c r="L4863" s="26"/>
      <c r="M4863" s="26"/>
      <c r="N4863" s="26"/>
      <c r="O4863" s="26"/>
      <c r="P4863" s="26"/>
      <c r="Q4863" s="26"/>
      <c r="R4863" s="26"/>
    </row>
    <row r="4864" spans="9:18" x14ac:dyDescent="0.25">
      <c r="I4864" s="46"/>
      <c r="J4864" s="26"/>
      <c r="K4864" s="26"/>
      <c r="L4864" s="26"/>
      <c r="M4864" s="26"/>
      <c r="N4864" s="26"/>
      <c r="O4864" s="26"/>
      <c r="P4864" s="26"/>
      <c r="Q4864" s="26"/>
      <c r="R4864" s="26"/>
    </row>
    <row r="4865" spans="9:18" x14ac:dyDescent="0.25">
      <c r="I4865" s="46"/>
      <c r="J4865" s="26"/>
      <c r="K4865" s="26"/>
      <c r="L4865" s="26"/>
      <c r="M4865" s="26"/>
      <c r="N4865" s="26"/>
      <c r="O4865" s="26"/>
      <c r="P4865" s="26"/>
      <c r="Q4865" s="26"/>
      <c r="R4865" s="26"/>
    </row>
    <row r="4866" spans="9:18" x14ac:dyDescent="0.25">
      <c r="I4866" s="46"/>
      <c r="J4866" s="26"/>
      <c r="K4866" s="26"/>
      <c r="L4866" s="26"/>
      <c r="M4866" s="26"/>
      <c r="N4866" s="26"/>
      <c r="O4866" s="26"/>
      <c r="P4866" s="26"/>
      <c r="Q4866" s="26"/>
      <c r="R4866" s="26"/>
    </row>
    <row r="4867" spans="9:18" x14ac:dyDescent="0.25">
      <c r="I4867" s="46"/>
      <c r="J4867" s="26"/>
      <c r="K4867" s="26"/>
      <c r="L4867" s="26"/>
      <c r="M4867" s="26"/>
      <c r="N4867" s="26"/>
      <c r="O4867" s="26"/>
      <c r="P4867" s="26"/>
      <c r="Q4867" s="26"/>
      <c r="R4867" s="26"/>
    </row>
    <row r="4868" spans="9:18" x14ac:dyDescent="0.25">
      <c r="I4868" s="46"/>
      <c r="J4868" s="26"/>
      <c r="K4868" s="26"/>
      <c r="L4868" s="26"/>
      <c r="M4868" s="26"/>
      <c r="N4868" s="26"/>
      <c r="O4868" s="26"/>
      <c r="P4868" s="26"/>
      <c r="Q4868" s="26"/>
      <c r="R4868" s="26"/>
    </row>
    <row r="4869" spans="9:18" x14ac:dyDescent="0.25">
      <c r="I4869" s="46"/>
      <c r="J4869" s="26"/>
      <c r="K4869" s="26"/>
      <c r="L4869" s="26"/>
      <c r="M4869" s="26"/>
      <c r="N4869" s="26"/>
      <c r="O4869" s="26"/>
      <c r="P4869" s="26"/>
      <c r="Q4869" s="26"/>
      <c r="R4869" s="26"/>
    </row>
    <row r="4870" spans="9:18" x14ac:dyDescent="0.25">
      <c r="I4870" s="46"/>
      <c r="J4870" s="26"/>
      <c r="K4870" s="26"/>
      <c r="L4870" s="26"/>
      <c r="M4870" s="26"/>
      <c r="N4870" s="26"/>
      <c r="O4870" s="26"/>
      <c r="P4870" s="26"/>
      <c r="Q4870" s="26"/>
      <c r="R4870" s="26"/>
    </row>
    <row r="4871" spans="9:18" x14ac:dyDescent="0.25">
      <c r="I4871" s="46"/>
      <c r="J4871" s="26"/>
      <c r="K4871" s="26"/>
      <c r="L4871" s="26"/>
      <c r="M4871" s="26"/>
      <c r="N4871" s="26"/>
      <c r="O4871" s="26"/>
      <c r="P4871" s="26"/>
      <c r="Q4871" s="26"/>
      <c r="R4871" s="26"/>
    </row>
    <row r="4872" spans="9:18" x14ac:dyDescent="0.25">
      <c r="I4872" s="46"/>
      <c r="J4872" s="26"/>
      <c r="K4872" s="26"/>
      <c r="L4872" s="26"/>
      <c r="M4872" s="26"/>
      <c r="N4872" s="26"/>
      <c r="O4872" s="26"/>
      <c r="P4872" s="26"/>
      <c r="Q4872" s="26"/>
      <c r="R4872" s="26"/>
    </row>
    <row r="4873" spans="9:18" x14ac:dyDescent="0.25">
      <c r="I4873" s="46"/>
      <c r="J4873" s="26"/>
      <c r="K4873" s="26"/>
      <c r="L4873" s="26"/>
      <c r="M4873" s="26"/>
      <c r="N4873" s="26"/>
      <c r="O4873" s="26"/>
      <c r="P4873" s="26"/>
      <c r="Q4873" s="26"/>
      <c r="R4873" s="26"/>
    </row>
    <row r="4874" spans="9:18" x14ac:dyDescent="0.25">
      <c r="I4874" s="46"/>
      <c r="J4874" s="26"/>
      <c r="K4874" s="26"/>
      <c r="L4874" s="26"/>
      <c r="M4874" s="26"/>
      <c r="N4874" s="26"/>
      <c r="O4874" s="26"/>
      <c r="P4874" s="26"/>
      <c r="Q4874" s="26"/>
      <c r="R4874" s="26"/>
    </row>
    <row r="4875" spans="9:18" x14ac:dyDescent="0.25">
      <c r="I4875" s="46"/>
      <c r="J4875" s="26"/>
      <c r="K4875" s="26"/>
      <c r="L4875" s="26"/>
      <c r="M4875" s="26"/>
      <c r="N4875" s="26"/>
      <c r="O4875" s="26"/>
      <c r="P4875" s="26"/>
      <c r="Q4875" s="26"/>
      <c r="R4875" s="26"/>
    </row>
    <row r="4876" spans="9:18" x14ac:dyDescent="0.25">
      <c r="I4876" s="46"/>
      <c r="J4876" s="26"/>
      <c r="K4876" s="26"/>
      <c r="L4876" s="26"/>
      <c r="M4876" s="26"/>
      <c r="N4876" s="26"/>
      <c r="O4876" s="26"/>
      <c r="P4876" s="26"/>
      <c r="Q4876" s="26"/>
      <c r="R4876" s="26"/>
    </row>
    <row r="4877" spans="9:18" x14ac:dyDescent="0.25">
      <c r="I4877" s="46"/>
      <c r="J4877" s="26"/>
      <c r="K4877" s="26"/>
      <c r="L4877" s="26"/>
      <c r="M4877" s="26"/>
      <c r="N4877" s="26"/>
      <c r="O4877" s="26"/>
      <c r="P4877" s="26"/>
      <c r="Q4877" s="26"/>
      <c r="R4877" s="26"/>
    </row>
    <row r="4878" spans="9:18" x14ac:dyDescent="0.25">
      <c r="I4878" s="46"/>
      <c r="J4878" s="26"/>
      <c r="K4878" s="26"/>
      <c r="L4878" s="26"/>
      <c r="M4878" s="26"/>
      <c r="N4878" s="26"/>
      <c r="O4878" s="26"/>
      <c r="P4878" s="26"/>
      <c r="Q4878" s="26"/>
      <c r="R4878" s="26"/>
    </row>
    <row r="4879" spans="9:18" x14ac:dyDescent="0.25">
      <c r="I4879" s="46"/>
      <c r="J4879" s="26"/>
      <c r="K4879" s="26"/>
      <c r="L4879" s="26"/>
      <c r="M4879" s="26"/>
      <c r="N4879" s="26"/>
      <c r="O4879" s="26"/>
      <c r="P4879" s="26"/>
      <c r="Q4879" s="26"/>
      <c r="R4879" s="26"/>
    </row>
    <row r="4880" spans="9:18" x14ac:dyDescent="0.25">
      <c r="I4880" s="46"/>
      <c r="J4880" s="26"/>
      <c r="K4880" s="26"/>
      <c r="L4880" s="26"/>
      <c r="M4880" s="26"/>
      <c r="N4880" s="26"/>
      <c r="O4880" s="26"/>
      <c r="P4880" s="26"/>
      <c r="Q4880" s="26"/>
      <c r="R4880" s="26"/>
    </row>
    <row r="4881" spans="9:18" x14ac:dyDescent="0.25">
      <c r="I4881" s="46"/>
      <c r="J4881" s="26"/>
      <c r="K4881" s="26"/>
      <c r="L4881" s="26"/>
      <c r="M4881" s="26"/>
      <c r="N4881" s="26"/>
      <c r="O4881" s="26"/>
      <c r="P4881" s="26"/>
      <c r="Q4881" s="26"/>
      <c r="R4881" s="26"/>
    </row>
    <row r="4882" spans="9:18" x14ac:dyDescent="0.25">
      <c r="I4882" s="46"/>
      <c r="J4882" s="26"/>
      <c r="K4882" s="26"/>
      <c r="L4882" s="26"/>
      <c r="M4882" s="26"/>
      <c r="N4882" s="26"/>
      <c r="O4882" s="26"/>
      <c r="P4882" s="26"/>
      <c r="Q4882" s="26"/>
      <c r="R4882" s="26"/>
    </row>
    <row r="4883" spans="9:18" x14ac:dyDescent="0.25">
      <c r="I4883" s="46"/>
      <c r="J4883" s="26"/>
      <c r="K4883" s="26"/>
      <c r="L4883" s="26"/>
      <c r="M4883" s="26"/>
      <c r="N4883" s="26"/>
      <c r="O4883" s="26"/>
      <c r="P4883" s="26"/>
      <c r="Q4883" s="26"/>
      <c r="R4883" s="26"/>
    </row>
    <row r="4884" spans="9:18" x14ac:dyDescent="0.25">
      <c r="I4884" s="46"/>
      <c r="J4884" s="26"/>
      <c r="K4884" s="26"/>
      <c r="L4884" s="26"/>
      <c r="M4884" s="26"/>
      <c r="N4884" s="26"/>
      <c r="O4884" s="26"/>
      <c r="P4884" s="26"/>
      <c r="Q4884" s="26"/>
      <c r="R4884" s="26"/>
    </row>
    <row r="4885" spans="9:18" x14ac:dyDescent="0.25">
      <c r="I4885" s="46"/>
      <c r="J4885" s="26"/>
      <c r="K4885" s="26"/>
      <c r="L4885" s="26"/>
      <c r="M4885" s="26"/>
      <c r="N4885" s="26"/>
      <c r="O4885" s="26"/>
      <c r="P4885" s="26"/>
      <c r="Q4885" s="26"/>
      <c r="R4885" s="26"/>
    </row>
    <row r="4886" spans="9:18" x14ac:dyDescent="0.25">
      <c r="I4886" s="46"/>
      <c r="J4886" s="26"/>
      <c r="K4886" s="26"/>
      <c r="L4886" s="26"/>
      <c r="M4886" s="26"/>
      <c r="N4886" s="26"/>
      <c r="O4886" s="26"/>
      <c r="P4886" s="26"/>
      <c r="Q4886" s="26"/>
      <c r="R4886" s="26"/>
    </row>
    <row r="4887" spans="9:18" x14ac:dyDescent="0.25">
      <c r="I4887" s="46"/>
      <c r="J4887" s="26"/>
      <c r="K4887" s="26"/>
      <c r="L4887" s="26"/>
      <c r="M4887" s="26"/>
      <c r="N4887" s="26"/>
      <c r="O4887" s="26"/>
      <c r="P4887" s="26"/>
      <c r="Q4887" s="26"/>
      <c r="R4887" s="26"/>
    </row>
    <row r="4888" spans="9:18" x14ac:dyDescent="0.25">
      <c r="I4888" s="46"/>
      <c r="J4888" s="26"/>
      <c r="K4888" s="26"/>
      <c r="L4888" s="26"/>
      <c r="M4888" s="26"/>
      <c r="N4888" s="26"/>
      <c r="O4888" s="26"/>
      <c r="P4888" s="26"/>
      <c r="Q4888" s="26"/>
      <c r="R4888" s="26"/>
    </row>
    <row r="4889" spans="9:18" x14ac:dyDescent="0.25">
      <c r="I4889" s="46"/>
      <c r="J4889" s="26"/>
      <c r="K4889" s="26"/>
      <c r="L4889" s="26"/>
      <c r="M4889" s="26"/>
      <c r="N4889" s="26"/>
      <c r="O4889" s="26"/>
      <c r="P4889" s="26"/>
      <c r="Q4889" s="26"/>
      <c r="R4889" s="26"/>
    </row>
    <row r="4890" spans="9:18" x14ac:dyDescent="0.25">
      <c r="I4890" s="46"/>
      <c r="J4890" s="26"/>
      <c r="K4890" s="26"/>
      <c r="L4890" s="26"/>
      <c r="M4890" s="26"/>
      <c r="N4890" s="26"/>
      <c r="O4890" s="26"/>
      <c r="P4890" s="26"/>
      <c r="Q4890" s="26"/>
      <c r="R4890" s="26"/>
    </row>
    <row r="4891" spans="9:18" x14ac:dyDescent="0.25">
      <c r="I4891" s="46"/>
      <c r="J4891" s="26"/>
      <c r="K4891" s="26"/>
      <c r="L4891" s="26"/>
      <c r="M4891" s="26"/>
      <c r="N4891" s="26"/>
      <c r="O4891" s="26"/>
      <c r="P4891" s="26"/>
      <c r="Q4891" s="26"/>
      <c r="R4891" s="26"/>
    </row>
    <row r="4892" spans="9:18" x14ac:dyDescent="0.25">
      <c r="I4892" s="46"/>
      <c r="J4892" s="26"/>
      <c r="K4892" s="26"/>
      <c r="L4892" s="26"/>
      <c r="M4892" s="26"/>
      <c r="N4892" s="26"/>
      <c r="O4892" s="26"/>
      <c r="P4892" s="26"/>
      <c r="Q4892" s="26"/>
      <c r="R4892" s="26"/>
    </row>
    <row r="4893" spans="9:18" x14ac:dyDescent="0.25">
      <c r="I4893" s="46"/>
      <c r="J4893" s="26"/>
      <c r="K4893" s="26"/>
      <c r="L4893" s="26"/>
      <c r="M4893" s="26"/>
      <c r="N4893" s="26"/>
      <c r="O4893" s="26"/>
      <c r="P4893" s="26"/>
      <c r="Q4893" s="26"/>
      <c r="R4893" s="26"/>
    </row>
    <row r="4894" spans="9:18" x14ac:dyDescent="0.25">
      <c r="I4894" s="46"/>
      <c r="J4894" s="26"/>
      <c r="K4894" s="26"/>
      <c r="L4894" s="26"/>
      <c r="M4894" s="26"/>
      <c r="N4894" s="26"/>
      <c r="O4894" s="26"/>
      <c r="P4894" s="26"/>
      <c r="Q4894" s="26"/>
      <c r="R4894" s="26"/>
    </row>
    <row r="4895" spans="9:18" x14ac:dyDescent="0.25">
      <c r="I4895" s="46"/>
      <c r="J4895" s="26"/>
      <c r="K4895" s="26"/>
      <c r="L4895" s="26"/>
      <c r="M4895" s="26"/>
      <c r="N4895" s="26"/>
      <c r="O4895" s="26"/>
      <c r="P4895" s="26"/>
      <c r="Q4895" s="26"/>
      <c r="R4895" s="26"/>
    </row>
    <row r="4896" spans="9:18" x14ac:dyDescent="0.25">
      <c r="I4896" s="46"/>
      <c r="J4896" s="26"/>
      <c r="K4896" s="26"/>
      <c r="L4896" s="26"/>
      <c r="M4896" s="26"/>
      <c r="N4896" s="26"/>
      <c r="O4896" s="26"/>
      <c r="P4896" s="26"/>
      <c r="Q4896" s="26"/>
      <c r="R4896" s="26"/>
    </row>
    <row r="4897" spans="9:18" x14ac:dyDescent="0.25">
      <c r="I4897" s="46"/>
      <c r="J4897" s="26"/>
      <c r="K4897" s="26"/>
      <c r="L4897" s="26"/>
      <c r="M4897" s="26"/>
      <c r="N4897" s="26"/>
      <c r="O4897" s="26"/>
      <c r="P4897" s="26"/>
      <c r="Q4897" s="26"/>
      <c r="R4897" s="26"/>
    </row>
    <row r="4898" spans="9:18" x14ac:dyDescent="0.25">
      <c r="I4898" s="46"/>
      <c r="J4898" s="26"/>
      <c r="K4898" s="26"/>
      <c r="L4898" s="26"/>
      <c r="M4898" s="26"/>
      <c r="N4898" s="26"/>
      <c r="O4898" s="26"/>
      <c r="P4898" s="26"/>
      <c r="Q4898" s="26"/>
      <c r="R4898" s="26"/>
    </row>
    <row r="4899" spans="9:18" x14ac:dyDescent="0.25">
      <c r="I4899" s="46"/>
      <c r="J4899" s="26"/>
      <c r="K4899" s="26"/>
      <c r="L4899" s="26"/>
      <c r="M4899" s="26"/>
      <c r="N4899" s="26"/>
      <c r="O4899" s="26"/>
      <c r="P4899" s="26"/>
      <c r="Q4899" s="26"/>
      <c r="R4899" s="26"/>
    </row>
    <row r="4900" spans="9:18" x14ac:dyDescent="0.25">
      <c r="I4900" s="46"/>
      <c r="J4900" s="26"/>
      <c r="K4900" s="26"/>
      <c r="L4900" s="26"/>
      <c r="M4900" s="26"/>
      <c r="N4900" s="26"/>
      <c r="O4900" s="26"/>
      <c r="P4900" s="26"/>
      <c r="Q4900" s="26"/>
      <c r="R4900" s="26"/>
    </row>
    <row r="4901" spans="9:18" x14ac:dyDescent="0.25">
      <c r="I4901" s="46"/>
      <c r="J4901" s="26"/>
      <c r="K4901" s="26"/>
      <c r="L4901" s="26"/>
      <c r="M4901" s="26"/>
      <c r="N4901" s="26"/>
      <c r="O4901" s="26"/>
      <c r="P4901" s="26"/>
      <c r="Q4901" s="26"/>
      <c r="R4901" s="26"/>
    </row>
    <row r="4902" spans="9:18" x14ac:dyDescent="0.25">
      <c r="I4902" s="46"/>
      <c r="J4902" s="26"/>
      <c r="K4902" s="26"/>
      <c r="L4902" s="26"/>
      <c r="M4902" s="26"/>
      <c r="N4902" s="26"/>
      <c r="O4902" s="26"/>
      <c r="P4902" s="26"/>
      <c r="Q4902" s="26"/>
      <c r="R4902" s="26"/>
    </row>
    <row r="4903" spans="9:18" x14ac:dyDescent="0.25">
      <c r="I4903" s="46"/>
      <c r="J4903" s="26"/>
      <c r="K4903" s="26"/>
      <c r="L4903" s="26"/>
      <c r="M4903" s="26"/>
      <c r="N4903" s="26"/>
      <c r="O4903" s="26"/>
      <c r="P4903" s="26"/>
      <c r="Q4903" s="26"/>
      <c r="R4903" s="26"/>
    </row>
    <row r="4904" spans="9:18" x14ac:dyDescent="0.25">
      <c r="I4904" s="46"/>
      <c r="J4904" s="26"/>
      <c r="K4904" s="26"/>
      <c r="L4904" s="26"/>
      <c r="M4904" s="26"/>
      <c r="N4904" s="26"/>
      <c r="O4904" s="26"/>
      <c r="P4904" s="26"/>
      <c r="Q4904" s="26"/>
      <c r="R4904" s="26"/>
    </row>
    <row r="4905" spans="9:18" x14ac:dyDescent="0.25">
      <c r="I4905" s="46"/>
      <c r="J4905" s="26"/>
      <c r="K4905" s="26"/>
      <c r="L4905" s="26"/>
      <c r="M4905" s="26"/>
      <c r="N4905" s="26"/>
      <c r="O4905" s="26"/>
      <c r="P4905" s="26"/>
      <c r="Q4905" s="26"/>
      <c r="R4905" s="26"/>
    </row>
    <row r="4906" spans="9:18" x14ac:dyDescent="0.25">
      <c r="I4906" s="46"/>
      <c r="J4906" s="26"/>
      <c r="K4906" s="26"/>
      <c r="L4906" s="26"/>
      <c r="M4906" s="26"/>
      <c r="N4906" s="26"/>
      <c r="O4906" s="26"/>
      <c r="P4906" s="26"/>
      <c r="Q4906" s="26"/>
      <c r="R4906" s="26"/>
    </row>
    <row r="4907" spans="9:18" x14ac:dyDescent="0.25">
      <c r="I4907" s="46"/>
      <c r="J4907" s="26"/>
      <c r="K4907" s="26"/>
      <c r="L4907" s="26"/>
      <c r="M4907" s="26"/>
      <c r="N4907" s="26"/>
      <c r="O4907" s="26"/>
      <c r="P4907" s="26"/>
      <c r="Q4907" s="26"/>
      <c r="R4907" s="26"/>
    </row>
    <row r="4908" spans="9:18" x14ac:dyDescent="0.25">
      <c r="I4908" s="46"/>
      <c r="J4908" s="26"/>
      <c r="K4908" s="26"/>
      <c r="L4908" s="26"/>
      <c r="M4908" s="26"/>
      <c r="N4908" s="26"/>
      <c r="O4908" s="26"/>
      <c r="P4908" s="26"/>
      <c r="Q4908" s="26"/>
      <c r="R4908" s="26"/>
    </row>
    <row r="4909" spans="9:18" x14ac:dyDescent="0.25">
      <c r="I4909" s="46"/>
      <c r="J4909" s="26"/>
      <c r="K4909" s="26"/>
      <c r="L4909" s="26"/>
      <c r="M4909" s="26"/>
      <c r="N4909" s="26"/>
      <c r="O4909" s="26"/>
      <c r="P4909" s="26"/>
      <c r="Q4909" s="26"/>
      <c r="R4909" s="26"/>
    </row>
    <row r="4910" spans="9:18" x14ac:dyDescent="0.25">
      <c r="I4910" s="46"/>
      <c r="J4910" s="26"/>
      <c r="K4910" s="26"/>
      <c r="L4910" s="26"/>
      <c r="M4910" s="26"/>
      <c r="N4910" s="26"/>
      <c r="O4910" s="26"/>
      <c r="P4910" s="26"/>
      <c r="Q4910" s="26"/>
      <c r="R4910" s="26"/>
    </row>
    <row r="4911" spans="9:18" x14ac:dyDescent="0.25">
      <c r="I4911" s="46"/>
      <c r="J4911" s="26"/>
      <c r="K4911" s="26"/>
      <c r="L4911" s="26"/>
      <c r="M4911" s="26"/>
      <c r="N4911" s="26"/>
      <c r="O4911" s="26"/>
      <c r="P4911" s="26"/>
      <c r="Q4911" s="26"/>
      <c r="R4911" s="26"/>
    </row>
    <row r="4912" spans="9:18" x14ac:dyDescent="0.25">
      <c r="I4912" s="46"/>
      <c r="J4912" s="26"/>
      <c r="K4912" s="26"/>
      <c r="L4912" s="26"/>
      <c r="M4912" s="26"/>
      <c r="N4912" s="26"/>
      <c r="O4912" s="26"/>
      <c r="P4912" s="26"/>
      <c r="Q4912" s="26"/>
      <c r="R4912" s="26"/>
    </row>
    <row r="4913" spans="9:18" x14ac:dyDescent="0.25">
      <c r="I4913" s="46"/>
      <c r="J4913" s="26"/>
      <c r="K4913" s="26"/>
      <c r="L4913" s="26"/>
      <c r="M4913" s="26"/>
      <c r="N4913" s="26"/>
      <c r="O4913" s="26"/>
      <c r="P4913" s="26"/>
      <c r="Q4913" s="26"/>
      <c r="R4913" s="26"/>
    </row>
    <row r="4914" spans="9:18" x14ac:dyDescent="0.25">
      <c r="I4914" s="46"/>
      <c r="J4914" s="26"/>
      <c r="K4914" s="26"/>
      <c r="L4914" s="26"/>
      <c r="M4914" s="26"/>
      <c r="N4914" s="26"/>
      <c r="O4914" s="26"/>
      <c r="P4914" s="26"/>
      <c r="Q4914" s="26"/>
      <c r="R4914" s="26"/>
    </row>
    <row r="4915" spans="9:18" x14ac:dyDescent="0.25">
      <c r="I4915" s="46"/>
      <c r="J4915" s="26"/>
      <c r="K4915" s="26"/>
      <c r="L4915" s="26"/>
      <c r="M4915" s="26"/>
      <c r="N4915" s="26"/>
      <c r="O4915" s="26"/>
      <c r="P4915" s="26"/>
      <c r="Q4915" s="26"/>
      <c r="R4915" s="26"/>
    </row>
    <row r="4916" spans="9:18" x14ac:dyDescent="0.25">
      <c r="I4916" s="46"/>
      <c r="J4916" s="26"/>
      <c r="K4916" s="26"/>
      <c r="L4916" s="26"/>
      <c r="M4916" s="26"/>
      <c r="N4916" s="26"/>
      <c r="O4916" s="26"/>
      <c r="P4916" s="26"/>
      <c r="Q4916" s="26"/>
      <c r="R4916" s="26"/>
    </row>
    <row r="4917" spans="9:18" x14ac:dyDescent="0.25">
      <c r="I4917" s="46"/>
      <c r="J4917" s="26"/>
      <c r="K4917" s="26"/>
      <c r="L4917" s="26"/>
      <c r="M4917" s="26"/>
      <c r="N4917" s="26"/>
      <c r="O4917" s="26"/>
      <c r="P4917" s="26"/>
      <c r="Q4917" s="26"/>
      <c r="R4917" s="26"/>
    </row>
    <row r="4918" spans="9:18" x14ac:dyDescent="0.25">
      <c r="I4918" s="46"/>
      <c r="J4918" s="26"/>
      <c r="K4918" s="26"/>
      <c r="L4918" s="26"/>
      <c r="M4918" s="26"/>
      <c r="N4918" s="26"/>
      <c r="O4918" s="26"/>
      <c r="P4918" s="26"/>
      <c r="Q4918" s="26"/>
      <c r="R4918" s="26"/>
    </row>
    <row r="4919" spans="9:18" x14ac:dyDescent="0.25">
      <c r="I4919" s="46"/>
      <c r="J4919" s="26"/>
      <c r="K4919" s="26"/>
      <c r="L4919" s="26"/>
      <c r="M4919" s="26"/>
      <c r="N4919" s="26"/>
      <c r="O4919" s="26"/>
      <c r="P4919" s="26"/>
      <c r="Q4919" s="26"/>
      <c r="R4919" s="26"/>
    </row>
    <row r="4920" spans="9:18" x14ac:dyDescent="0.25">
      <c r="I4920" s="46"/>
      <c r="J4920" s="26"/>
      <c r="K4920" s="26"/>
      <c r="L4920" s="26"/>
      <c r="M4920" s="26"/>
      <c r="N4920" s="26"/>
      <c r="O4920" s="26"/>
      <c r="P4920" s="26"/>
      <c r="Q4920" s="26"/>
      <c r="R4920" s="26"/>
    </row>
    <row r="4921" spans="9:18" x14ac:dyDescent="0.25">
      <c r="I4921" s="46"/>
      <c r="J4921" s="26"/>
      <c r="K4921" s="26"/>
      <c r="L4921" s="26"/>
      <c r="M4921" s="26"/>
      <c r="N4921" s="26"/>
      <c r="O4921" s="26"/>
      <c r="P4921" s="26"/>
      <c r="Q4921" s="26"/>
      <c r="R4921" s="26"/>
    </row>
    <row r="4922" spans="9:18" x14ac:dyDescent="0.25">
      <c r="I4922" s="46"/>
      <c r="J4922" s="26"/>
      <c r="K4922" s="26"/>
      <c r="L4922" s="26"/>
      <c r="M4922" s="26"/>
      <c r="N4922" s="26"/>
      <c r="O4922" s="26"/>
      <c r="P4922" s="26"/>
      <c r="Q4922" s="26"/>
      <c r="R4922" s="26"/>
    </row>
    <row r="4923" spans="9:18" x14ac:dyDescent="0.25">
      <c r="I4923" s="46"/>
      <c r="J4923" s="26"/>
      <c r="K4923" s="26"/>
      <c r="L4923" s="26"/>
      <c r="M4923" s="26"/>
      <c r="N4923" s="26"/>
      <c r="O4923" s="26"/>
      <c r="P4923" s="26"/>
      <c r="Q4923" s="26"/>
      <c r="R4923" s="26"/>
    </row>
    <row r="4924" spans="9:18" x14ac:dyDescent="0.25">
      <c r="I4924" s="46"/>
      <c r="J4924" s="26"/>
      <c r="K4924" s="26"/>
      <c r="L4924" s="26"/>
      <c r="M4924" s="26"/>
      <c r="N4924" s="26"/>
      <c r="O4924" s="26"/>
      <c r="P4924" s="26"/>
      <c r="Q4924" s="26"/>
      <c r="R4924" s="26"/>
    </row>
    <row r="4925" spans="9:18" x14ac:dyDescent="0.25">
      <c r="I4925" s="46"/>
      <c r="J4925" s="26"/>
      <c r="K4925" s="26"/>
      <c r="L4925" s="26"/>
      <c r="M4925" s="26"/>
      <c r="N4925" s="26"/>
      <c r="O4925" s="26"/>
      <c r="P4925" s="26"/>
      <c r="Q4925" s="26"/>
      <c r="R4925" s="26"/>
    </row>
    <row r="4926" spans="9:18" x14ac:dyDescent="0.25">
      <c r="I4926" s="46"/>
      <c r="J4926" s="26"/>
      <c r="K4926" s="26"/>
      <c r="L4926" s="26"/>
      <c r="M4926" s="26"/>
      <c r="N4926" s="26"/>
      <c r="O4926" s="26"/>
      <c r="P4926" s="26"/>
      <c r="Q4926" s="26"/>
      <c r="R4926" s="26"/>
    </row>
    <row r="4927" spans="9:18" x14ac:dyDescent="0.25">
      <c r="I4927" s="46"/>
      <c r="J4927" s="26"/>
      <c r="K4927" s="26"/>
      <c r="L4927" s="26"/>
      <c r="M4927" s="26"/>
      <c r="N4927" s="26"/>
      <c r="O4927" s="26"/>
      <c r="P4927" s="26"/>
      <c r="Q4927" s="26"/>
      <c r="R4927" s="26"/>
    </row>
    <row r="4928" spans="9:18" x14ac:dyDescent="0.25">
      <c r="I4928" s="46"/>
      <c r="J4928" s="26"/>
      <c r="K4928" s="26"/>
      <c r="L4928" s="26"/>
      <c r="M4928" s="26"/>
      <c r="N4928" s="26"/>
      <c r="O4928" s="26"/>
      <c r="P4928" s="26"/>
      <c r="Q4928" s="26"/>
      <c r="R4928" s="26"/>
    </row>
    <row r="4929" spans="9:18" x14ac:dyDescent="0.25">
      <c r="I4929" s="46"/>
      <c r="J4929" s="26"/>
      <c r="K4929" s="26"/>
      <c r="L4929" s="26"/>
      <c r="M4929" s="26"/>
      <c r="N4929" s="26"/>
      <c r="O4929" s="26"/>
      <c r="P4929" s="26"/>
      <c r="Q4929" s="26"/>
      <c r="R4929" s="26"/>
    </row>
    <row r="4930" spans="9:18" x14ac:dyDescent="0.25">
      <c r="I4930" s="46"/>
      <c r="J4930" s="26"/>
      <c r="K4930" s="26"/>
      <c r="L4930" s="26"/>
      <c r="M4930" s="26"/>
      <c r="N4930" s="26"/>
      <c r="O4930" s="26"/>
      <c r="P4930" s="26"/>
      <c r="Q4930" s="26"/>
      <c r="R4930" s="26"/>
    </row>
    <row r="4931" spans="9:18" x14ac:dyDescent="0.25">
      <c r="I4931" s="46"/>
      <c r="J4931" s="26"/>
      <c r="K4931" s="26"/>
      <c r="L4931" s="26"/>
      <c r="M4931" s="26"/>
      <c r="N4931" s="26"/>
      <c r="O4931" s="26"/>
      <c r="P4931" s="26"/>
      <c r="Q4931" s="26"/>
      <c r="R4931" s="26"/>
    </row>
    <row r="4932" spans="9:18" x14ac:dyDescent="0.25">
      <c r="I4932" s="46"/>
      <c r="J4932" s="26"/>
      <c r="K4932" s="26"/>
      <c r="L4932" s="26"/>
      <c r="M4932" s="26"/>
      <c r="N4932" s="26"/>
      <c r="O4932" s="26"/>
      <c r="P4932" s="26"/>
      <c r="Q4932" s="26"/>
      <c r="R4932" s="26"/>
    </row>
    <row r="4933" spans="9:18" x14ac:dyDescent="0.25">
      <c r="I4933" s="46"/>
      <c r="J4933" s="26"/>
      <c r="K4933" s="26"/>
      <c r="L4933" s="26"/>
      <c r="M4933" s="26"/>
      <c r="N4933" s="26"/>
      <c r="O4933" s="26"/>
      <c r="P4933" s="26"/>
      <c r="Q4933" s="26"/>
      <c r="R4933" s="26"/>
    </row>
    <row r="4934" spans="9:18" x14ac:dyDescent="0.25">
      <c r="I4934" s="46"/>
      <c r="J4934" s="26"/>
      <c r="K4934" s="26"/>
      <c r="L4934" s="26"/>
      <c r="M4934" s="26"/>
      <c r="N4934" s="26"/>
      <c r="O4934" s="26"/>
      <c r="P4934" s="26"/>
      <c r="Q4934" s="26"/>
      <c r="R4934" s="26"/>
    </row>
    <row r="4935" spans="9:18" x14ac:dyDescent="0.25">
      <c r="I4935" s="46"/>
      <c r="J4935" s="26"/>
      <c r="K4935" s="26"/>
      <c r="L4935" s="26"/>
      <c r="M4935" s="26"/>
      <c r="N4935" s="26"/>
      <c r="O4935" s="26"/>
      <c r="P4935" s="26"/>
      <c r="Q4935" s="26"/>
      <c r="R4935" s="26"/>
    </row>
    <row r="4936" spans="9:18" x14ac:dyDescent="0.25">
      <c r="I4936" s="46"/>
      <c r="J4936" s="26"/>
      <c r="K4936" s="26"/>
      <c r="L4936" s="26"/>
      <c r="M4936" s="26"/>
      <c r="N4936" s="26"/>
      <c r="O4936" s="26"/>
      <c r="P4936" s="26"/>
      <c r="Q4936" s="26"/>
      <c r="R4936" s="26"/>
    </row>
    <row r="4937" spans="9:18" x14ac:dyDescent="0.25">
      <c r="I4937" s="46"/>
      <c r="J4937" s="26"/>
      <c r="K4937" s="26"/>
      <c r="L4937" s="26"/>
      <c r="M4937" s="26"/>
      <c r="N4937" s="26"/>
      <c r="O4937" s="26"/>
      <c r="P4937" s="26"/>
      <c r="Q4937" s="26"/>
      <c r="R4937" s="26"/>
    </row>
    <row r="4938" spans="9:18" x14ac:dyDescent="0.25">
      <c r="I4938" s="46"/>
      <c r="J4938" s="26"/>
      <c r="K4938" s="26"/>
      <c r="L4938" s="26"/>
      <c r="M4938" s="26"/>
      <c r="N4938" s="26"/>
      <c r="O4938" s="26"/>
      <c r="P4938" s="26"/>
      <c r="Q4938" s="26"/>
      <c r="R4938" s="26"/>
    </row>
    <row r="4939" spans="9:18" x14ac:dyDescent="0.25">
      <c r="I4939" s="46"/>
      <c r="J4939" s="26"/>
      <c r="K4939" s="26"/>
      <c r="L4939" s="26"/>
      <c r="M4939" s="26"/>
      <c r="N4939" s="26"/>
      <c r="O4939" s="26"/>
      <c r="P4939" s="26"/>
      <c r="Q4939" s="26"/>
      <c r="R4939" s="26"/>
    </row>
    <row r="4940" spans="9:18" x14ac:dyDescent="0.25">
      <c r="I4940" s="46"/>
      <c r="J4940" s="26"/>
      <c r="K4940" s="26"/>
      <c r="L4940" s="26"/>
      <c r="M4940" s="26"/>
      <c r="N4940" s="26"/>
      <c r="O4940" s="26"/>
      <c r="P4940" s="26"/>
      <c r="Q4940" s="26"/>
      <c r="R4940" s="26"/>
    </row>
    <row r="4941" spans="9:18" x14ac:dyDescent="0.25">
      <c r="I4941" s="46"/>
      <c r="J4941" s="26"/>
      <c r="K4941" s="26"/>
      <c r="L4941" s="26"/>
      <c r="M4941" s="26"/>
      <c r="N4941" s="26"/>
      <c r="O4941" s="26"/>
      <c r="P4941" s="26"/>
      <c r="Q4941" s="26"/>
      <c r="R4941" s="26"/>
    </row>
    <row r="4942" spans="9:18" x14ac:dyDescent="0.25">
      <c r="I4942" s="46"/>
      <c r="J4942" s="26"/>
      <c r="K4942" s="26"/>
      <c r="L4942" s="26"/>
      <c r="M4942" s="26"/>
      <c r="N4942" s="26"/>
      <c r="O4942" s="26"/>
      <c r="P4942" s="26"/>
      <c r="Q4942" s="26"/>
      <c r="R4942" s="26"/>
    </row>
    <row r="4943" spans="9:18" x14ac:dyDescent="0.25">
      <c r="I4943" s="46"/>
      <c r="J4943" s="26"/>
      <c r="K4943" s="26"/>
      <c r="L4943" s="26"/>
      <c r="M4943" s="26"/>
      <c r="N4943" s="26"/>
      <c r="O4943" s="26"/>
      <c r="P4943" s="26"/>
      <c r="Q4943" s="26"/>
      <c r="R4943" s="26"/>
    </row>
    <row r="4944" spans="9:18" x14ac:dyDescent="0.25">
      <c r="I4944" s="46"/>
      <c r="J4944" s="26"/>
      <c r="K4944" s="26"/>
      <c r="L4944" s="26"/>
      <c r="M4944" s="26"/>
      <c r="N4944" s="26"/>
      <c r="O4944" s="26"/>
      <c r="P4944" s="26"/>
      <c r="Q4944" s="26"/>
      <c r="R4944" s="26"/>
    </row>
    <row r="4945" spans="9:18" x14ac:dyDescent="0.25">
      <c r="I4945" s="46"/>
      <c r="J4945" s="26"/>
      <c r="K4945" s="26"/>
      <c r="L4945" s="26"/>
      <c r="M4945" s="26"/>
      <c r="N4945" s="26"/>
      <c r="O4945" s="26"/>
      <c r="P4945" s="26"/>
      <c r="Q4945" s="26"/>
      <c r="R4945" s="26"/>
    </row>
    <row r="4946" spans="9:18" x14ac:dyDescent="0.25">
      <c r="I4946" s="46"/>
      <c r="J4946" s="26"/>
      <c r="K4946" s="26"/>
      <c r="L4946" s="26"/>
      <c r="M4946" s="26"/>
      <c r="N4946" s="26"/>
      <c r="O4946" s="26"/>
      <c r="P4946" s="26"/>
      <c r="Q4946" s="26"/>
      <c r="R4946" s="26"/>
    </row>
    <row r="4947" spans="9:18" x14ac:dyDescent="0.25">
      <c r="I4947" s="46"/>
      <c r="J4947" s="26"/>
      <c r="K4947" s="26"/>
      <c r="L4947" s="26"/>
      <c r="M4947" s="26"/>
      <c r="N4947" s="26"/>
      <c r="O4947" s="26"/>
      <c r="P4947" s="26"/>
      <c r="Q4947" s="26"/>
      <c r="R4947" s="26"/>
    </row>
    <row r="4948" spans="9:18" x14ac:dyDescent="0.25">
      <c r="I4948" s="46"/>
      <c r="J4948" s="26"/>
      <c r="K4948" s="26"/>
      <c r="L4948" s="26"/>
      <c r="M4948" s="26"/>
      <c r="N4948" s="26"/>
      <c r="O4948" s="26"/>
      <c r="P4948" s="26"/>
      <c r="Q4948" s="26"/>
      <c r="R4948" s="26"/>
    </row>
    <row r="4949" spans="9:18" x14ac:dyDescent="0.25">
      <c r="I4949" s="46"/>
      <c r="J4949" s="26"/>
      <c r="K4949" s="26"/>
      <c r="L4949" s="26"/>
      <c r="M4949" s="26"/>
      <c r="N4949" s="26"/>
      <c r="O4949" s="26"/>
      <c r="P4949" s="26"/>
      <c r="Q4949" s="26"/>
      <c r="R4949" s="26"/>
    </row>
    <row r="4950" spans="9:18" x14ac:dyDescent="0.25">
      <c r="I4950" s="46"/>
      <c r="J4950" s="26"/>
      <c r="K4950" s="26"/>
      <c r="L4950" s="26"/>
      <c r="M4950" s="26"/>
      <c r="N4950" s="26"/>
      <c r="O4950" s="26"/>
      <c r="P4950" s="26"/>
      <c r="Q4950" s="26"/>
      <c r="R4950" s="26"/>
    </row>
    <row r="4951" spans="9:18" x14ac:dyDescent="0.25">
      <c r="I4951" s="46"/>
      <c r="J4951" s="26"/>
      <c r="K4951" s="26"/>
      <c r="L4951" s="26"/>
      <c r="M4951" s="26"/>
      <c r="N4951" s="26"/>
      <c r="O4951" s="26"/>
      <c r="P4951" s="26"/>
      <c r="Q4951" s="26"/>
      <c r="R4951" s="26"/>
    </row>
    <row r="4952" spans="9:18" x14ac:dyDescent="0.25">
      <c r="I4952" s="46"/>
      <c r="J4952" s="26"/>
      <c r="K4952" s="26"/>
      <c r="L4952" s="26"/>
      <c r="M4952" s="26"/>
      <c r="N4952" s="26"/>
      <c r="O4952" s="26"/>
      <c r="P4952" s="26"/>
      <c r="Q4952" s="26"/>
      <c r="R4952" s="26"/>
    </row>
    <row r="4953" spans="9:18" x14ac:dyDescent="0.25">
      <c r="I4953" s="46"/>
      <c r="J4953" s="26"/>
      <c r="K4953" s="26"/>
      <c r="L4953" s="26"/>
      <c r="M4953" s="26"/>
      <c r="N4953" s="26"/>
      <c r="O4953" s="26"/>
      <c r="P4953" s="26"/>
      <c r="Q4953" s="26"/>
      <c r="R4953" s="26"/>
    </row>
    <row r="4954" spans="9:18" x14ac:dyDescent="0.25">
      <c r="I4954" s="46"/>
      <c r="J4954" s="26"/>
      <c r="K4954" s="26"/>
      <c r="L4954" s="26"/>
      <c r="M4954" s="26"/>
      <c r="N4954" s="26"/>
      <c r="O4954" s="26"/>
      <c r="P4954" s="26"/>
      <c r="Q4954" s="26"/>
      <c r="R4954" s="26"/>
    </row>
    <row r="4955" spans="9:18" x14ac:dyDescent="0.25">
      <c r="I4955" s="46"/>
      <c r="J4955" s="26"/>
      <c r="K4955" s="26"/>
      <c r="L4955" s="26"/>
      <c r="M4955" s="26"/>
      <c r="N4955" s="26"/>
      <c r="O4955" s="26"/>
      <c r="P4955" s="26"/>
      <c r="Q4955" s="26"/>
      <c r="R4955" s="26"/>
    </row>
    <row r="4956" spans="9:18" x14ac:dyDescent="0.25">
      <c r="I4956" s="46"/>
      <c r="J4956" s="26"/>
      <c r="K4956" s="26"/>
      <c r="L4956" s="26"/>
      <c r="M4956" s="26"/>
      <c r="N4956" s="26"/>
      <c r="O4956" s="26"/>
      <c r="P4956" s="26"/>
      <c r="Q4956" s="26"/>
      <c r="R4956" s="26"/>
    </row>
    <row r="4957" spans="9:18" x14ac:dyDescent="0.25">
      <c r="I4957" s="46"/>
      <c r="J4957" s="26"/>
      <c r="K4957" s="26"/>
      <c r="L4957" s="26"/>
      <c r="M4957" s="26"/>
      <c r="N4957" s="26"/>
      <c r="O4957" s="26"/>
      <c r="P4957" s="26"/>
      <c r="Q4957" s="26"/>
      <c r="R4957" s="26"/>
    </row>
    <row r="4958" spans="9:18" x14ac:dyDescent="0.25">
      <c r="I4958" s="46"/>
      <c r="J4958" s="26"/>
      <c r="K4958" s="26"/>
      <c r="L4958" s="26"/>
      <c r="M4958" s="26"/>
      <c r="N4958" s="26"/>
      <c r="O4958" s="26"/>
      <c r="P4958" s="26"/>
      <c r="Q4958" s="26"/>
      <c r="R4958" s="26"/>
    </row>
    <row r="4959" spans="9:18" x14ac:dyDescent="0.25">
      <c r="I4959" s="46"/>
      <c r="J4959" s="26"/>
      <c r="K4959" s="26"/>
      <c r="L4959" s="26"/>
      <c r="M4959" s="26"/>
      <c r="N4959" s="26"/>
      <c r="O4959" s="26"/>
      <c r="P4959" s="26"/>
      <c r="Q4959" s="26"/>
      <c r="R4959" s="26"/>
    </row>
    <row r="4960" spans="9:18" x14ac:dyDescent="0.25">
      <c r="I4960" s="46"/>
      <c r="J4960" s="26"/>
      <c r="K4960" s="26"/>
      <c r="L4960" s="26"/>
      <c r="M4960" s="26"/>
      <c r="N4960" s="26"/>
      <c r="O4960" s="26"/>
      <c r="P4960" s="26"/>
      <c r="Q4960" s="26"/>
      <c r="R4960" s="26"/>
    </row>
    <row r="4961" spans="9:18" x14ac:dyDescent="0.25">
      <c r="I4961" s="46"/>
      <c r="J4961" s="26"/>
      <c r="K4961" s="26"/>
      <c r="L4961" s="26"/>
      <c r="M4961" s="26"/>
      <c r="N4961" s="26"/>
      <c r="O4961" s="26"/>
      <c r="P4961" s="26"/>
      <c r="Q4961" s="26"/>
      <c r="R4961" s="26"/>
    </row>
    <row r="4962" spans="9:18" x14ac:dyDescent="0.25">
      <c r="I4962" s="46"/>
      <c r="J4962" s="26"/>
      <c r="K4962" s="26"/>
      <c r="L4962" s="26"/>
      <c r="M4962" s="26"/>
      <c r="N4962" s="26"/>
      <c r="O4962" s="26"/>
      <c r="P4962" s="26"/>
      <c r="Q4962" s="26"/>
      <c r="R4962" s="26"/>
    </row>
    <row r="4963" spans="9:18" x14ac:dyDescent="0.25">
      <c r="I4963" s="46"/>
      <c r="J4963" s="26"/>
      <c r="K4963" s="26"/>
      <c r="L4963" s="26"/>
      <c r="M4963" s="26"/>
      <c r="N4963" s="26"/>
      <c r="O4963" s="26"/>
      <c r="P4963" s="26"/>
      <c r="Q4963" s="26"/>
      <c r="R4963" s="26"/>
    </row>
    <row r="4964" spans="9:18" x14ac:dyDescent="0.25">
      <c r="I4964" s="46"/>
      <c r="J4964" s="26"/>
      <c r="K4964" s="26"/>
      <c r="L4964" s="26"/>
      <c r="M4964" s="26"/>
      <c r="N4964" s="26"/>
      <c r="O4964" s="26"/>
      <c r="P4964" s="26"/>
      <c r="Q4964" s="26"/>
      <c r="R4964" s="26"/>
    </row>
    <row r="4965" spans="9:18" x14ac:dyDescent="0.25">
      <c r="I4965" s="46"/>
      <c r="J4965" s="26"/>
      <c r="K4965" s="26"/>
      <c r="L4965" s="26"/>
      <c r="M4965" s="26"/>
      <c r="N4965" s="26"/>
      <c r="O4965" s="26"/>
      <c r="P4965" s="26"/>
      <c r="Q4965" s="26"/>
      <c r="R4965" s="26"/>
    </row>
    <row r="4966" spans="9:18" x14ac:dyDescent="0.25">
      <c r="I4966" s="46"/>
      <c r="J4966" s="26"/>
      <c r="K4966" s="26"/>
      <c r="L4966" s="26"/>
      <c r="M4966" s="26"/>
      <c r="N4966" s="26"/>
      <c r="O4966" s="26"/>
      <c r="P4966" s="26"/>
      <c r="Q4966" s="26"/>
      <c r="R4966" s="26"/>
    </row>
    <row r="4967" spans="9:18" x14ac:dyDescent="0.25">
      <c r="I4967" s="46"/>
      <c r="J4967" s="26"/>
      <c r="K4967" s="26"/>
      <c r="L4967" s="26"/>
      <c r="M4967" s="26"/>
      <c r="N4967" s="26"/>
      <c r="O4967" s="26"/>
      <c r="P4967" s="26"/>
      <c r="Q4967" s="26"/>
      <c r="R4967" s="26"/>
    </row>
    <row r="4968" spans="9:18" x14ac:dyDescent="0.25">
      <c r="I4968" s="46"/>
      <c r="J4968" s="26"/>
      <c r="K4968" s="26"/>
      <c r="L4968" s="26"/>
      <c r="M4968" s="26"/>
      <c r="N4968" s="26"/>
      <c r="O4968" s="26"/>
      <c r="P4968" s="26"/>
      <c r="Q4968" s="26"/>
      <c r="R4968" s="26"/>
    </row>
    <row r="4969" spans="9:18" x14ac:dyDescent="0.25">
      <c r="I4969" s="46"/>
      <c r="J4969" s="26"/>
      <c r="K4969" s="26"/>
      <c r="L4969" s="26"/>
      <c r="M4969" s="26"/>
      <c r="N4969" s="26"/>
      <c r="O4969" s="26"/>
      <c r="P4969" s="26"/>
      <c r="Q4969" s="26"/>
      <c r="R4969" s="26"/>
    </row>
    <row r="4970" spans="9:18" x14ac:dyDescent="0.25">
      <c r="I4970" s="46"/>
      <c r="J4970" s="26"/>
      <c r="K4970" s="26"/>
      <c r="L4970" s="26"/>
      <c r="M4970" s="26"/>
      <c r="N4970" s="26"/>
      <c r="O4970" s="26"/>
      <c r="P4970" s="26"/>
      <c r="Q4970" s="26"/>
      <c r="R4970" s="26"/>
    </row>
    <row r="4971" spans="9:18" x14ac:dyDescent="0.25">
      <c r="I4971" s="46"/>
      <c r="J4971" s="26"/>
      <c r="K4971" s="26"/>
      <c r="L4971" s="26"/>
      <c r="M4971" s="26"/>
      <c r="N4971" s="26"/>
      <c r="O4971" s="26"/>
      <c r="P4971" s="26"/>
      <c r="Q4971" s="26"/>
      <c r="R4971" s="26"/>
    </row>
    <row r="4972" spans="9:18" x14ac:dyDescent="0.25">
      <c r="I4972" s="46"/>
      <c r="J4972" s="26"/>
      <c r="K4972" s="26"/>
      <c r="L4972" s="26"/>
      <c r="M4972" s="26"/>
      <c r="N4972" s="26"/>
      <c r="O4972" s="26"/>
      <c r="P4972" s="26"/>
      <c r="Q4972" s="26"/>
      <c r="R4972" s="26"/>
    </row>
    <row r="4973" spans="9:18" x14ac:dyDescent="0.25">
      <c r="I4973" s="46"/>
      <c r="J4973" s="26"/>
      <c r="K4973" s="26"/>
      <c r="L4973" s="26"/>
      <c r="M4973" s="26"/>
      <c r="N4973" s="26"/>
      <c r="O4973" s="26"/>
      <c r="P4973" s="26"/>
      <c r="Q4973" s="26"/>
      <c r="R4973" s="26"/>
    </row>
    <row r="4974" spans="9:18" x14ac:dyDescent="0.25">
      <c r="I4974" s="46"/>
      <c r="J4974" s="26"/>
      <c r="K4974" s="26"/>
      <c r="L4974" s="26"/>
      <c r="M4974" s="26"/>
      <c r="N4974" s="26"/>
      <c r="O4974" s="26"/>
      <c r="P4974" s="26"/>
      <c r="Q4974" s="26"/>
      <c r="R4974" s="26"/>
    </row>
    <row r="4975" spans="9:18" x14ac:dyDescent="0.25">
      <c r="I4975" s="46"/>
      <c r="J4975" s="26"/>
      <c r="K4975" s="26"/>
      <c r="L4975" s="26"/>
      <c r="M4975" s="26"/>
      <c r="N4975" s="26"/>
      <c r="O4975" s="26"/>
      <c r="P4975" s="26"/>
      <c r="Q4975" s="26"/>
      <c r="R4975" s="26"/>
    </row>
    <row r="4976" spans="9:18" x14ac:dyDescent="0.25">
      <c r="I4976" s="46"/>
      <c r="J4976" s="26"/>
      <c r="K4976" s="26"/>
      <c r="L4976" s="26"/>
      <c r="M4976" s="26"/>
      <c r="N4976" s="26"/>
      <c r="O4976" s="26"/>
      <c r="P4976" s="26"/>
      <c r="Q4976" s="26"/>
      <c r="R4976" s="26"/>
    </row>
    <row r="4977" spans="9:18" x14ac:dyDescent="0.25">
      <c r="I4977" s="46"/>
      <c r="J4977" s="26"/>
      <c r="K4977" s="26"/>
      <c r="L4977" s="26"/>
      <c r="M4977" s="26"/>
      <c r="N4977" s="26"/>
      <c r="O4977" s="26"/>
      <c r="P4977" s="26"/>
      <c r="Q4977" s="26"/>
      <c r="R4977" s="26"/>
    </row>
    <row r="4978" spans="9:18" x14ac:dyDescent="0.25">
      <c r="I4978" s="46"/>
      <c r="J4978" s="26"/>
      <c r="K4978" s="26"/>
      <c r="L4978" s="26"/>
      <c r="M4978" s="26"/>
      <c r="N4978" s="26"/>
      <c r="O4978" s="26"/>
      <c r="P4978" s="26"/>
      <c r="Q4978" s="26"/>
      <c r="R4978" s="26"/>
    </row>
    <row r="4979" spans="9:18" x14ac:dyDescent="0.25">
      <c r="I4979" s="46"/>
      <c r="J4979" s="26"/>
      <c r="K4979" s="26"/>
      <c r="L4979" s="26"/>
      <c r="M4979" s="26"/>
      <c r="N4979" s="26"/>
      <c r="O4979" s="26"/>
      <c r="P4979" s="26"/>
      <c r="Q4979" s="26"/>
      <c r="R4979" s="26"/>
    </row>
    <row r="4980" spans="9:18" x14ac:dyDescent="0.25">
      <c r="I4980" s="46"/>
      <c r="J4980" s="26"/>
      <c r="K4980" s="26"/>
      <c r="L4980" s="26"/>
      <c r="M4980" s="26"/>
      <c r="N4980" s="26"/>
      <c r="O4980" s="26"/>
      <c r="P4980" s="26"/>
      <c r="Q4980" s="26"/>
      <c r="R4980" s="26"/>
    </row>
    <row r="4981" spans="9:18" x14ac:dyDescent="0.25">
      <c r="I4981" s="46"/>
      <c r="J4981" s="26"/>
      <c r="K4981" s="26"/>
      <c r="L4981" s="26"/>
      <c r="M4981" s="26"/>
      <c r="N4981" s="26"/>
      <c r="O4981" s="26"/>
      <c r="P4981" s="26"/>
      <c r="Q4981" s="26"/>
      <c r="R4981" s="26"/>
    </row>
    <row r="4982" spans="9:18" x14ac:dyDescent="0.25">
      <c r="I4982" s="46"/>
      <c r="J4982" s="26"/>
      <c r="K4982" s="26"/>
      <c r="L4982" s="26"/>
      <c r="M4982" s="26"/>
      <c r="N4982" s="26"/>
      <c r="O4982" s="26"/>
      <c r="P4982" s="26"/>
      <c r="Q4982" s="26"/>
      <c r="R4982" s="26"/>
    </row>
    <row r="4983" spans="9:18" x14ac:dyDescent="0.25">
      <c r="I4983" s="46"/>
      <c r="J4983" s="26"/>
      <c r="K4983" s="26"/>
      <c r="L4983" s="26"/>
      <c r="M4983" s="26"/>
      <c r="N4983" s="26"/>
      <c r="O4983" s="26"/>
      <c r="P4983" s="26"/>
      <c r="Q4983" s="26"/>
      <c r="R4983" s="26"/>
    </row>
    <row r="4984" spans="9:18" x14ac:dyDescent="0.25">
      <c r="I4984" s="46"/>
      <c r="J4984" s="26"/>
      <c r="K4984" s="26"/>
      <c r="L4984" s="26"/>
      <c r="M4984" s="26"/>
      <c r="N4984" s="26"/>
      <c r="O4984" s="26"/>
      <c r="P4984" s="26"/>
      <c r="Q4984" s="26"/>
      <c r="R4984" s="26"/>
    </row>
    <row r="4985" spans="9:18" x14ac:dyDescent="0.25">
      <c r="I4985" s="46"/>
      <c r="J4985" s="26"/>
      <c r="K4985" s="26"/>
      <c r="L4985" s="26"/>
      <c r="M4985" s="26"/>
      <c r="N4985" s="26"/>
      <c r="O4985" s="26"/>
      <c r="P4985" s="26"/>
      <c r="Q4985" s="26"/>
      <c r="R4985" s="26"/>
    </row>
    <row r="4986" spans="9:18" x14ac:dyDescent="0.25">
      <c r="I4986" s="46"/>
      <c r="J4986" s="26"/>
      <c r="K4986" s="26"/>
      <c r="L4986" s="26"/>
      <c r="M4986" s="26"/>
      <c r="N4986" s="26"/>
      <c r="O4986" s="26"/>
      <c r="P4986" s="26"/>
      <c r="Q4986" s="26"/>
      <c r="R4986" s="26"/>
    </row>
    <row r="4987" spans="9:18" x14ac:dyDescent="0.25">
      <c r="I4987" s="46"/>
      <c r="J4987" s="26"/>
      <c r="K4987" s="26"/>
      <c r="L4987" s="26"/>
      <c r="M4987" s="26"/>
      <c r="N4987" s="26"/>
      <c r="O4987" s="26"/>
      <c r="P4987" s="26"/>
      <c r="Q4987" s="26"/>
      <c r="R4987" s="26"/>
    </row>
    <row r="4988" spans="9:18" x14ac:dyDescent="0.25">
      <c r="I4988" s="46"/>
      <c r="J4988" s="26"/>
      <c r="K4988" s="26"/>
      <c r="L4988" s="26"/>
      <c r="M4988" s="26"/>
      <c r="N4988" s="26"/>
      <c r="O4988" s="26"/>
      <c r="P4988" s="26"/>
      <c r="Q4988" s="26"/>
      <c r="R4988" s="26"/>
    </row>
    <row r="4989" spans="9:18" x14ac:dyDescent="0.25">
      <c r="I4989" s="46"/>
      <c r="J4989" s="26"/>
      <c r="K4989" s="26"/>
      <c r="L4989" s="26"/>
      <c r="M4989" s="26"/>
      <c r="N4989" s="26"/>
      <c r="O4989" s="26"/>
      <c r="P4989" s="26"/>
      <c r="Q4989" s="26"/>
      <c r="R4989" s="26"/>
    </row>
    <row r="4990" spans="9:18" x14ac:dyDescent="0.25">
      <c r="I4990" s="46"/>
      <c r="J4990" s="26"/>
      <c r="K4990" s="26"/>
      <c r="L4990" s="26"/>
      <c r="M4990" s="26"/>
      <c r="N4990" s="26"/>
      <c r="O4990" s="26"/>
      <c r="P4990" s="26"/>
      <c r="Q4990" s="26"/>
      <c r="R4990" s="26"/>
    </row>
    <row r="4991" spans="9:18" x14ac:dyDescent="0.25">
      <c r="I4991" s="46"/>
      <c r="J4991" s="26"/>
      <c r="K4991" s="26"/>
      <c r="L4991" s="26"/>
      <c r="M4991" s="26"/>
      <c r="N4991" s="26"/>
      <c r="O4991" s="26"/>
      <c r="P4991" s="26"/>
      <c r="Q4991" s="26"/>
      <c r="R4991" s="26"/>
    </row>
    <row r="4992" spans="9:18" x14ac:dyDescent="0.25">
      <c r="I4992" s="46"/>
      <c r="J4992" s="26"/>
      <c r="K4992" s="26"/>
      <c r="L4992" s="26"/>
      <c r="M4992" s="26"/>
      <c r="N4992" s="26"/>
      <c r="O4992" s="26"/>
      <c r="P4992" s="26"/>
      <c r="Q4992" s="26"/>
      <c r="R4992" s="26"/>
    </row>
    <row r="4993" spans="9:18" x14ac:dyDescent="0.25">
      <c r="I4993" s="46"/>
      <c r="J4993" s="26"/>
      <c r="K4993" s="26"/>
      <c r="L4993" s="26"/>
      <c r="M4993" s="26"/>
      <c r="N4993" s="26"/>
      <c r="O4993" s="26"/>
      <c r="P4993" s="26"/>
      <c r="Q4993" s="26"/>
      <c r="R4993" s="26"/>
    </row>
    <row r="4994" spans="9:18" x14ac:dyDescent="0.25">
      <c r="I4994" s="46"/>
      <c r="J4994" s="26"/>
      <c r="K4994" s="26"/>
      <c r="L4994" s="26"/>
      <c r="M4994" s="26"/>
      <c r="N4994" s="26"/>
      <c r="O4994" s="26"/>
      <c r="P4994" s="26"/>
      <c r="Q4994" s="26"/>
      <c r="R4994" s="26"/>
    </row>
    <row r="4995" spans="9:18" x14ac:dyDescent="0.25">
      <c r="I4995" s="46"/>
      <c r="J4995" s="26"/>
      <c r="K4995" s="26"/>
      <c r="L4995" s="26"/>
      <c r="M4995" s="26"/>
      <c r="N4995" s="26"/>
      <c r="O4995" s="26"/>
      <c r="P4995" s="26"/>
      <c r="Q4995" s="26"/>
      <c r="R4995" s="26"/>
    </row>
    <row r="4996" spans="9:18" x14ac:dyDescent="0.25">
      <c r="I4996" s="46"/>
      <c r="J4996" s="26"/>
      <c r="K4996" s="26"/>
      <c r="L4996" s="26"/>
      <c r="M4996" s="26"/>
      <c r="N4996" s="26"/>
      <c r="O4996" s="26"/>
      <c r="P4996" s="26"/>
      <c r="Q4996" s="26"/>
      <c r="R4996" s="26"/>
    </row>
    <row r="4997" spans="9:18" x14ac:dyDescent="0.25">
      <c r="I4997" s="46"/>
      <c r="J4997" s="26"/>
      <c r="K4997" s="26"/>
      <c r="L4997" s="26"/>
      <c r="M4997" s="26"/>
      <c r="N4997" s="26"/>
      <c r="O4997" s="26"/>
      <c r="P4997" s="26"/>
      <c r="Q4997" s="26"/>
      <c r="R4997" s="26"/>
    </row>
    <row r="4998" spans="9:18" x14ac:dyDescent="0.25">
      <c r="I4998" s="46"/>
      <c r="J4998" s="26"/>
      <c r="K4998" s="26"/>
      <c r="L4998" s="26"/>
      <c r="M4998" s="26"/>
      <c r="N4998" s="26"/>
      <c r="O4998" s="26"/>
      <c r="P4998" s="26"/>
      <c r="Q4998" s="26"/>
      <c r="R4998" s="26"/>
    </row>
    <row r="4999" spans="9:18" x14ac:dyDescent="0.25">
      <c r="I4999" s="46"/>
      <c r="J4999" s="26"/>
      <c r="K4999" s="26"/>
      <c r="L4999" s="26"/>
      <c r="M4999" s="26"/>
      <c r="N4999" s="26"/>
      <c r="O4999" s="26"/>
      <c r="P4999" s="26"/>
      <c r="Q4999" s="26"/>
      <c r="R4999" s="26"/>
    </row>
    <row r="5000" spans="9:18" x14ac:dyDescent="0.25">
      <c r="I5000" s="46"/>
      <c r="J5000" s="26"/>
      <c r="K5000" s="26"/>
      <c r="L5000" s="26"/>
      <c r="M5000" s="26"/>
      <c r="N5000" s="26"/>
      <c r="O5000" s="26"/>
      <c r="P5000" s="26"/>
      <c r="Q5000" s="26"/>
      <c r="R5000" s="26"/>
    </row>
    <row r="5001" spans="9:18" x14ac:dyDescent="0.25">
      <c r="I5001" s="46"/>
      <c r="J5001" s="26"/>
      <c r="K5001" s="26"/>
      <c r="L5001" s="26"/>
      <c r="M5001" s="26"/>
      <c r="N5001" s="26"/>
      <c r="O5001" s="26"/>
      <c r="P5001" s="26"/>
      <c r="Q5001" s="26"/>
      <c r="R5001" s="26"/>
    </row>
    <row r="5002" spans="9:18" x14ac:dyDescent="0.25">
      <c r="I5002" s="46"/>
      <c r="J5002" s="26"/>
      <c r="K5002" s="26"/>
      <c r="L5002" s="26"/>
      <c r="M5002" s="26"/>
      <c r="N5002" s="26"/>
      <c r="O5002" s="26"/>
      <c r="P5002" s="26"/>
      <c r="Q5002" s="26"/>
      <c r="R5002" s="26"/>
    </row>
    <row r="5003" spans="9:18" x14ac:dyDescent="0.25">
      <c r="I5003" s="46"/>
      <c r="J5003" s="26"/>
      <c r="K5003" s="26"/>
      <c r="L5003" s="26"/>
      <c r="M5003" s="26"/>
      <c r="N5003" s="26"/>
      <c r="O5003" s="26"/>
      <c r="P5003" s="26"/>
      <c r="Q5003" s="26"/>
      <c r="R5003" s="26"/>
    </row>
    <row r="5004" spans="9:18" x14ac:dyDescent="0.25">
      <c r="I5004" s="46"/>
      <c r="J5004" s="26"/>
      <c r="K5004" s="26"/>
      <c r="L5004" s="26"/>
      <c r="M5004" s="26"/>
      <c r="N5004" s="26"/>
      <c r="O5004" s="26"/>
      <c r="P5004" s="26"/>
      <c r="Q5004" s="26"/>
      <c r="R5004" s="26"/>
    </row>
    <row r="5005" spans="9:18" x14ac:dyDescent="0.25">
      <c r="I5005" s="46"/>
      <c r="J5005" s="26"/>
      <c r="K5005" s="26"/>
      <c r="L5005" s="26"/>
      <c r="M5005" s="26"/>
      <c r="N5005" s="26"/>
      <c r="O5005" s="26"/>
      <c r="P5005" s="26"/>
      <c r="Q5005" s="26"/>
      <c r="R5005" s="26"/>
    </row>
    <row r="5006" spans="9:18" x14ac:dyDescent="0.25">
      <c r="I5006" s="46"/>
      <c r="J5006" s="26"/>
      <c r="K5006" s="26"/>
      <c r="L5006" s="26"/>
      <c r="M5006" s="26"/>
      <c r="N5006" s="26"/>
      <c r="O5006" s="26"/>
      <c r="P5006" s="26"/>
      <c r="Q5006" s="26"/>
      <c r="R5006" s="26"/>
    </row>
    <row r="5007" spans="9:18" x14ac:dyDescent="0.25">
      <c r="I5007" s="46"/>
      <c r="J5007" s="26"/>
      <c r="K5007" s="26"/>
      <c r="L5007" s="26"/>
      <c r="M5007" s="26"/>
      <c r="N5007" s="26"/>
      <c r="O5007" s="26"/>
      <c r="P5007" s="26"/>
      <c r="Q5007" s="26"/>
      <c r="R5007" s="26"/>
    </row>
    <row r="5008" spans="9:18" x14ac:dyDescent="0.25">
      <c r="I5008" s="46"/>
      <c r="J5008" s="26"/>
      <c r="K5008" s="26"/>
      <c r="L5008" s="26"/>
      <c r="M5008" s="26"/>
      <c r="N5008" s="26"/>
      <c r="O5008" s="26"/>
      <c r="P5008" s="26"/>
      <c r="Q5008" s="26"/>
      <c r="R5008" s="26"/>
    </row>
    <row r="5009" spans="9:18" x14ac:dyDescent="0.25">
      <c r="I5009" s="46"/>
      <c r="J5009" s="26"/>
      <c r="K5009" s="26"/>
      <c r="L5009" s="26"/>
      <c r="M5009" s="26"/>
      <c r="N5009" s="26"/>
      <c r="O5009" s="26"/>
      <c r="P5009" s="26"/>
      <c r="Q5009" s="26"/>
      <c r="R5009" s="26"/>
    </row>
    <row r="5010" spans="9:18" x14ac:dyDescent="0.25">
      <c r="I5010" s="46"/>
      <c r="J5010" s="26"/>
      <c r="K5010" s="26"/>
      <c r="L5010" s="26"/>
      <c r="M5010" s="26"/>
      <c r="N5010" s="26"/>
      <c r="O5010" s="26"/>
      <c r="P5010" s="26"/>
      <c r="Q5010" s="26"/>
      <c r="R5010" s="26"/>
    </row>
    <row r="5011" spans="9:18" x14ac:dyDescent="0.25">
      <c r="I5011" s="46"/>
      <c r="J5011" s="26"/>
      <c r="K5011" s="26"/>
      <c r="L5011" s="26"/>
      <c r="M5011" s="26"/>
      <c r="N5011" s="26"/>
      <c r="O5011" s="26"/>
      <c r="P5011" s="26"/>
      <c r="Q5011" s="26"/>
      <c r="R5011" s="26"/>
    </row>
    <row r="5012" spans="9:18" x14ac:dyDescent="0.25">
      <c r="I5012" s="46"/>
      <c r="J5012" s="26"/>
      <c r="K5012" s="26"/>
      <c r="L5012" s="26"/>
      <c r="M5012" s="26"/>
      <c r="N5012" s="26"/>
      <c r="O5012" s="26"/>
      <c r="P5012" s="26"/>
      <c r="Q5012" s="26"/>
      <c r="R5012" s="26"/>
    </row>
    <row r="5013" spans="9:18" x14ac:dyDescent="0.25">
      <c r="I5013" s="46"/>
      <c r="J5013" s="26"/>
      <c r="K5013" s="26"/>
      <c r="L5013" s="26"/>
      <c r="M5013" s="26"/>
      <c r="N5013" s="26"/>
      <c r="O5013" s="26"/>
      <c r="P5013" s="26"/>
      <c r="Q5013" s="26"/>
      <c r="R5013" s="26"/>
    </row>
    <row r="5014" spans="9:18" x14ac:dyDescent="0.25">
      <c r="I5014" s="46"/>
      <c r="J5014" s="26"/>
      <c r="K5014" s="26"/>
      <c r="L5014" s="26"/>
      <c r="M5014" s="26"/>
      <c r="N5014" s="26"/>
      <c r="O5014" s="26"/>
      <c r="P5014" s="26"/>
      <c r="Q5014" s="26"/>
      <c r="R5014" s="26"/>
    </row>
    <row r="5015" spans="9:18" x14ac:dyDescent="0.25">
      <c r="I5015" s="46"/>
      <c r="J5015" s="26"/>
      <c r="K5015" s="26"/>
      <c r="L5015" s="26"/>
      <c r="M5015" s="26"/>
      <c r="N5015" s="26"/>
      <c r="O5015" s="26"/>
      <c r="P5015" s="26"/>
      <c r="Q5015" s="26"/>
      <c r="R5015" s="26"/>
    </row>
    <row r="5016" spans="9:18" x14ac:dyDescent="0.25">
      <c r="I5016" s="46"/>
      <c r="J5016" s="26"/>
      <c r="K5016" s="26"/>
      <c r="L5016" s="26"/>
      <c r="M5016" s="26"/>
      <c r="N5016" s="26"/>
      <c r="O5016" s="26"/>
      <c r="P5016" s="26"/>
      <c r="Q5016" s="26"/>
      <c r="R5016" s="26"/>
    </row>
    <row r="5017" spans="9:18" x14ac:dyDescent="0.25">
      <c r="I5017" s="46"/>
      <c r="J5017" s="26"/>
      <c r="K5017" s="26"/>
      <c r="L5017" s="26"/>
      <c r="M5017" s="26"/>
      <c r="N5017" s="26"/>
      <c r="O5017" s="26"/>
      <c r="P5017" s="26"/>
      <c r="Q5017" s="26"/>
      <c r="R5017" s="26"/>
    </row>
    <row r="5018" spans="9:18" x14ac:dyDescent="0.25">
      <c r="I5018" s="46"/>
      <c r="J5018" s="26"/>
      <c r="K5018" s="26"/>
      <c r="L5018" s="26"/>
      <c r="M5018" s="26"/>
      <c r="N5018" s="26"/>
      <c r="O5018" s="26"/>
      <c r="P5018" s="26"/>
      <c r="Q5018" s="26"/>
      <c r="R5018" s="26"/>
    </row>
    <row r="5019" spans="9:18" x14ac:dyDescent="0.25">
      <c r="I5019" s="46"/>
      <c r="J5019" s="26"/>
      <c r="K5019" s="26"/>
      <c r="L5019" s="26"/>
      <c r="M5019" s="26"/>
      <c r="N5019" s="26"/>
      <c r="O5019" s="26"/>
      <c r="P5019" s="26"/>
      <c r="Q5019" s="26"/>
      <c r="R5019" s="26"/>
    </row>
    <row r="5020" spans="9:18" x14ac:dyDescent="0.25">
      <c r="I5020" s="46"/>
      <c r="J5020" s="26"/>
      <c r="K5020" s="26"/>
      <c r="L5020" s="26"/>
      <c r="M5020" s="26"/>
      <c r="N5020" s="26"/>
      <c r="O5020" s="26"/>
      <c r="P5020" s="26"/>
      <c r="Q5020" s="26"/>
      <c r="R5020" s="26"/>
    </row>
    <row r="5021" spans="9:18" x14ac:dyDescent="0.25">
      <c r="I5021" s="46"/>
      <c r="J5021" s="26"/>
      <c r="K5021" s="26"/>
      <c r="L5021" s="26"/>
      <c r="M5021" s="26"/>
      <c r="N5021" s="26"/>
      <c r="O5021" s="26"/>
      <c r="P5021" s="26"/>
      <c r="Q5021" s="26"/>
      <c r="R5021" s="26"/>
    </row>
    <row r="5022" spans="9:18" x14ac:dyDescent="0.25">
      <c r="I5022" s="46"/>
      <c r="J5022" s="26"/>
      <c r="K5022" s="26"/>
      <c r="L5022" s="26"/>
      <c r="M5022" s="26"/>
      <c r="N5022" s="26"/>
      <c r="O5022" s="26"/>
      <c r="P5022" s="26"/>
      <c r="Q5022" s="26"/>
      <c r="R5022" s="26"/>
    </row>
    <row r="5023" spans="9:18" x14ac:dyDescent="0.25">
      <c r="I5023" s="46"/>
      <c r="J5023" s="26"/>
      <c r="K5023" s="26"/>
      <c r="L5023" s="26"/>
      <c r="M5023" s="26"/>
      <c r="N5023" s="26"/>
      <c r="O5023" s="26"/>
      <c r="P5023" s="26"/>
      <c r="Q5023" s="26"/>
      <c r="R5023" s="26"/>
    </row>
    <row r="5024" spans="9:18" x14ac:dyDescent="0.25">
      <c r="I5024" s="46"/>
      <c r="J5024" s="26"/>
      <c r="K5024" s="26"/>
      <c r="L5024" s="26"/>
      <c r="M5024" s="26"/>
      <c r="N5024" s="26"/>
      <c r="O5024" s="26"/>
      <c r="P5024" s="26"/>
      <c r="Q5024" s="26"/>
      <c r="R5024" s="26"/>
    </row>
    <row r="5025" spans="9:18" x14ac:dyDescent="0.25">
      <c r="I5025" s="46"/>
      <c r="J5025" s="26"/>
      <c r="K5025" s="26"/>
      <c r="L5025" s="26"/>
      <c r="M5025" s="26"/>
      <c r="N5025" s="26"/>
      <c r="O5025" s="26"/>
      <c r="P5025" s="26"/>
      <c r="Q5025" s="26"/>
      <c r="R5025" s="26"/>
    </row>
    <row r="5026" spans="9:18" x14ac:dyDescent="0.25">
      <c r="I5026" s="46"/>
      <c r="J5026" s="26"/>
      <c r="K5026" s="26"/>
      <c r="L5026" s="26"/>
      <c r="M5026" s="26"/>
      <c r="N5026" s="26"/>
      <c r="O5026" s="26"/>
      <c r="P5026" s="26"/>
      <c r="Q5026" s="26"/>
      <c r="R5026" s="26"/>
    </row>
    <row r="5027" spans="9:18" x14ac:dyDescent="0.25">
      <c r="I5027" s="46"/>
      <c r="J5027" s="26"/>
      <c r="K5027" s="26"/>
      <c r="L5027" s="26"/>
      <c r="M5027" s="26"/>
      <c r="N5027" s="26"/>
      <c r="O5027" s="26"/>
      <c r="P5027" s="26"/>
      <c r="Q5027" s="26"/>
      <c r="R5027" s="26"/>
    </row>
    <row r="5028" spans="9:18" x14ac:dyDescent="0.25">
      <c r="I5028" s="46"/>
      <c r="J5028" s="26"/>
      <c r="K5028" s="26"/>
      <c r="L5028" s="26"/>
      <c r="M5028" s="26"/>
      <c r="N5028" s="26"/>
      <c r="O5028" s="26"/>
      <c r="P5028" s="26"/>
      <c r="Q5028" s="26"/>
      <c r="R5028" s="26"/>
    </row>
    <row r="5029" spans="9:18" x14ac:dyDescent="0.25">
      <c r="I5029" s="46"/>
      <c r="J5029" s="26"/>
      <c r="K5029" s="26"/>
      <c r="L5029" s="26"/>
      <c r="M5029" s="26"/>
      <c r="N5029" s="26"/>
      <c r="O5029" s="26"/>
      <c r="P5029" s="26"/>
      <c r="Q5029" s="26"/>
      <c r="R5029" s="26"/>
    </row>
    <row r="5030" spans="9:18" x14ac:dyDescent="0.25">
      <c r="I5030" s="46"/>
      <c r="J5030" s="26"/>
      <c r="K5030" s="26"/>
      <c r="L5030" s="26"/>
      <c r="M5030" s="26"/>
      <c r="N5030" s="26"/>
      <c r="O5030" s="26"/>
      <c r="P5030" s="26"/>
      <c r="Q5030" s="26"/>
      <c r="R5030" s="26"/>
    </row>
    <row r="5031" spans="9:18" x14ac:dyDescent="0.25">
      <c r="I5031" s="46"/>
      <c r="J5031" s="26"/>
      <c r="K5031" s="26"/>
      <c r="L5031" s="26"/>
      <c r="M5031" s="26"/>
      <c r="N5031" s="26"/>
      <c r="O5031" s="26"/>
      <c r="P5031" s="26"/>
      <c r="Q5031" s="26"/>
      <c r="R5031" s="26"/>
    </row>
    <row r="5032" spans="9:18" x14ac:dyDescent="0.25">
      <c r="I5032" s="46"/>
      <c r="J5032" s="26"/>
      <c r="K5032" s="26"/>
      <c r="L5032" s="26"/>
      <c r="M5032" s="26"/>
      <c r="N5032" s="26"/>
      <c r="O5032" s="26"/>
      <c r="P5032" s="26"/>
      <c r="Q5032" s="26"/>
      <c r="R5032" s="26"/>
    </row>
    <row r="5033" spans="9:18" x14ac:dyDescent="0.25">
      <c r="I5033" s="46"/>
      <c r="J5033" s="26"/>
      <c r="K5033" s="26"/>
      <c r="L5033" s="26"/>
      <c r="M5033" s="26"/>
      <c r="N5033" s="26"/>
      <c r="O5033" s="26"/>
      <c r="P5033" s="26"/>
      <c r="Q5033" s="26"/>
      <c r="R5033" s="26"/>
    </row>
    <row r="5034" spans="9:18" x14ac:dyDescent="0.25">
      <c r="I5034" s="46"/>
      <c r="J5034" s="26"/>
      <c r="K5034" s="26"/>
      <c r="L5034" s="26"/>
      <c r="M5034" s="26"/>
      <c r="N5034" s="26"/>
      <c r="O5034" s="26"/>
      <c r="P5034" s="26"/>
      <c r="Q5034" s="26"/>
      <c r="R5034" s="26"/>
    </row>
    <row r="5035" spans="9:18" x14ac:dyDescent="0.25">
      <c r="I5035" s="46"/>
      <c r="J5035" s="26"/>
      <c r="K5035" s="26"/>
      <c r="L5035" s="26"/>
      <c r="M5035" s="26"/>
      <c r="N5035" s="26"/>
      <c r="O5035" s="26"/>
      <c r="P5035" s="26"/>
      <c r="Q5035" s="26"/>
      <c r="R5035" s="26"/>
    </row>
    <row r="5036" spans="9:18" x14ac:dyDescent="0.25">
      <c r="I5036" s="46"/>
      <c r="J5036" s="26"/>
      <c r="K5036" s="26"/>
      <c r="L5036" s="26"/>
      <c r="M5036" s="26"/>
      <c r="N5036" s="26"/>
      <c r="O5036" s="26"/>
      <c r="P5036" s="26"/>
      <c r="Q5036" s="26"/>
      <c r="R5036" s="26"/>
    </row>
    <row r="5037" spans="9:18" x14ac:dyDescent="0.25">
      <c r="I5037" s="46"/>
      <c r="J5037" s="26"/>
      <c r="K5037" s="26"/>
      <c r="L5037" s="26"/>
      <c r="M5037" s="26"/>
      <c r="N5037" s="26"/>
      <c r="O5037" s="26"/>
      <c r="P5037" s="26"/>
      <c r="Q5037" s="26"/>
      <c r="R5037" s="26"/>
    </row>
    <row r="5038" spans="9:18" x14ac:dyDescent="0.25">
      <c r="I5038" s="46"/>
      <c r="J5038" s="26"/>
      <c r="K5038" s="26"/>
      <c r="L5038" s="26"/>
      <c r="M5038" s="26"/>
      <c r="N5038" s="26"/>
      <c r="O5038" s="26"/>
      <c r="P5038" s="26"/>
      <c r="Q5038" s="26"/>
      <c r="R5038" s="26"/>
    </row>
    <row r="5039" spans="9:18" x14ac:dyDescent="0.25">
      <c r="I5039" s="46"/>
      <c r="J5039" s="26"/>
      <c r="K5039" s="26"/>
      <c r="L5039" s="26"/>
      <c r="M5039" s="26"/>
      <c r="N5039" s="26"/>
      <c r="O5039" s="26"/>
      <c r="P5039" s="26"/>
      <c r="Q5039" s="26"/>
      <c r="R5039" s="26"/>
    </row>
    <row r="5040" spans="9:18" x14ac:dyDescent="0.25">
      <c r="I5040" s="46"/>
      <c r="J5040" s="26"/>
      <c r="K5040" s="26"/>
      <c r="L5040" s="26"/>
      <c r="M5040" s="26"/>
      <c r="N5040" s="26"/>
      <c r="O5040" s="26"/>
      <c r="P5040" s="26"/>
      <c r="Q5040" s="26"/>
      <c r="R5040" s="26"/>
    </row>
    <row r="5041" spans="9:18" x14ac:dyDescent="0.25">
      <c r="I5041" s="46"/>
      <c r="J5041" s="26"/>
      <c r="K5041" s="26"/>
      <c r="L5041" s="26"/>
      <c r="M5041" s="26"/>
      <c r="N5041" s="26"/>
      <c r="O5041" s="26"/>
      <c r="P5041" s="26"/>
      <c r="Q5041" s="26"/>
      <c r="R5041" s="26"/>
    </row>
    <row r="5042" spans="9:18" x14ac:dyDescent="0.25">
      <c r="I5042" s="46"/>
      <c r="J5042" s="26"/>
      <c r="K5042" s="26"/>
      <c r="L5042" s="26"/>
      <c r="M5042" s="26"/>
      <c r="N5042" s="26"/>
      <c r="O5042" s="26"/>
      <c r="P5042" s="26"/>
      <c r="Q5042" s="26"/>
      <c r="R5042" s="26"/>
    </row>
    <row r="5043" spans="9:18" x14ac:dyDescent="0.25">
      <c r="I5043" s="46"/>
      <c r="J5043" s="26"/>
      <c r="K5043" s="26"/>
      <c r="L5043" s="26"/>
      <c r="M5043" s="26"/>
      <c r="N5043" s="26"/>
      <c r="O5043" s="26"/>
      <c r="P5043" s="26"/>
      <c r="Q5043" s="26"/>
      <c r="R5043" s="26"/>
    </row>
    <row r="5044" spans="9:18" x14ac:dyDescent="0.25">
      <c r="I5044" s="46"/>
      <c r="J5044" s="26"/>
      <c r="K5044" s="26"/>
      <c r="L5044" s="26"/>
      <c r="M5044" s="26"/>
      <c r="N5044" s="26"/>
      <c r="O5044" s="26"/>
      <c r="P5044" s="26"/>
      <c r="Q5044" s="26"/>
      <c r="R5044" s="26"/>
    </row>
    <row r="5045" spans="9:18" x14ac:dyDescent="0.25">
      <c r="I5045" s="46"/>
      <c r="J5045" s="26"/>
      <c r="K5045" s="26"/>
      <c r="L5045" s="26"/>
      <c r="M5045" s="26"/>
      <c r="N5045" s="26"/>
      <c r="O5045" s="26"/>
      <c r="P5045" s="26"/>
      <c r="Q5045" s="26"/>
      <c r="R5045" s="26"/>
    </row>
    <row r="5046" spans="9:18" x14ac:dyDescent="0.25">
      <c r="I5046" s="46"/>
      <c r="J5046" s="26"/>
      <c r="K5046" s="26"/>
      <c r="L5046" s="26"/>
      <c r="M5046" s="26"/>
      <c r="N5046" s="26"/>
      <c r="O5046" s="26"/>
      <c r="P5046" s="26"/>
      <c r="Q5046" s="26"/>
      <c r="R5046" s="26"/>
    </row>
    <row r="5047" spans="9:18" x14ac:dyDescent="0.25">
      <c r="I5047" s="46"/>
      <c r="J5047" s="26"/>
      <c r="K5047" s="26"/>
      <c r="L5047" s="26"/>
      <c r="M5047" s="26"/>
      <c r="N5047" s="26"/>
      <c r="O5047" s="26"/>
      <c r="P5047" s="26"/>
      <c r="Q5047" s="26"/>
      <c r="R5047" s="26"/>
    </row>
    <row r="5048" spans="9:18" x14ac:dyDescent="0.25">
      <c r="I5048" s="46"/>
      <c r="J5048" s="26"/>
      <c r="K5048" s="26"/>
      <c r="L5048" s="26"/>
      <c r="M5048" s="26"/>
      <c r="N5048" s="26"/>
      <c r="O5048" s="26"/>
      <c r="P5048" s="26"/>
      <c r="Q5048" s="26"/>
      <c r="R5048" s="26"/>
    </row>
    <row r="5049" spans="9:18" x14ac:dyDescent="0.25">
      <c r="I5049" s="46"/>
      <c r="J5049" s="26"/>
      <c r="K5049" s="26"/>
      <c r="L5049" s="26"/>
      <c r="M5049" s="26"/>
      <c r="N5049" s="26"/>
      <c r="O5049" s="26"/>
      <c r="P5049" s="26"/>
      <c r="Q5049" s="26"/>
      <c r="R5049" s="26"/>
    </row>
    <row r="5050" spans="9:18" x14ac:dyDescent="0.25">
      <c r="I5050" s="46"/>
      <c r="J5050" s="26"/>
      <c r="K5050" s="26"/>
      <c r="L5050" s="26"/>
      <c r="M5050" s="26"/>
      <c r="N5050" s="26"/>
      <c r="O5050" s="26"/>
      <c r="P5050" s="26"/>
      <c r="Q5050" s="26"/>
      <c r="R5050" s="26"/>
    </row>
    <row r="5051" spans="9:18" x14ac:dyDescent="0.25">
      <c r="I5051" s="46"/>
      <c r="J5051" s="26"/>
      <c r="K5051" s="26"/>
      <c r="L5051" s="26"/>
      <c r="M5051" s="26"/>
      <c r="N5051" s="26"/>
      <c r="O5051" s="26"/>
      <c r="P5051" s="26"/>
      <c r="Q5051" s="26"/>
      <c r="R5051" s="26"/>
    </row>
    <row r="5052" spans="9:18" x14ac:dyDescent="0.25">
      <c r="I5052" s="46"/>
      <c r="J5052" s="26"/>
      <c r="K5052" s="26"/>
      <c r="L5052" s="26"/>
      <c r="M5052" s="26"/>
      <c r="N5052" s="26"/>
      <c r="O5052" s="26"/>
      <c r="P5052" s="26"/>
      <c r="Q5052" s="26"/>
      <c r="R5052" s="26"/>
    </row>
    <row r="5053" spans="9:18" x14ac:dyDescent="0.25">
      <c r="I5053" s="46"/>
      <c r="J5053" s="26"/>
      <c r="K5053" s="26"/>
      <c r="L5053" s="26"/>
      <c r="M5053" s="26"/>
      <c r="N5053" s="26"/>
      <c r="O5053" s="26"/>
      <c r="P5053" s="26"/>
      <c r="Q5053" s="26"/>
      <c r="R5053" s="26"/>
    </row>
    <row r="5054" spans="9:18" x14ac:dyDescent="0.25">
      <c r="I5054" s="46"/>
      <c r="J5054" s="26"/>
      <c r="K5054" s="26"/>
      <c r="L5054" s="26"/>
      <c r="M5054" s="26"/>
      <c r="N5054" s="26"/>
      <c r="O5054" s="26"/>
      <c r="P5054" s="26"/>
      <c r="Q5054" s="26"/>
      <c r="R5054" s="26"/>
    </row>
    <row r="5055" spans="9:18" x14ac:dyDescent="0.25">
      <c r="I5055" s="46"/>
      <c r="J5055" s="26"/>
      <c r="K5055" s="26"/>
      <c r="L5055" s="26"/>
      <c r="M5055" s="26"/>
      <c r="N5055" s="26"/>
      <c r="O5055" s="26"/>
      <c r="P5055" s="26"/>
      <c r="Q5055" s="26"/>
      <c r="R5055" s="26"/>
    </row>
    <row r="5056" spans="9:18" x14ac:dyDescent="0.25">
      <c r="I5056" s="46"/>
      <c r="J5056" s="26"/>
      <c r="K5056" s="26"/>
      <c r="L5056" s="26"/>
      <c r="M5056" s="26"/>
      <c r="N5056" s="26"/>
      <c r="O5056" s="26"/>
      <c r="P5056" s="26"/>
      <c r="Q5056" s="26"/>
      <c r="R5056" s="26"/>
    </row>
    <row r="5057" spans="9:18" x14ac:dyDescent="0.25">
      <c r="I5057" s="46"/>
      <c r="J5057" s="26"/>
      <c r="K5057" s="26"/>
      <c r="L5057" s="26"/>
      <c r="M5057" s="26"/>
      <c r="N5057" s="26"/>
      <c r="O5057" s="26"/>
      <c r="P5057" s="26"/>
      <c r="Q5057" s="26"/>
      <c r="R5057" s="26"/>
    </row>
    <row r="5058" spans="9:18" x14ac:dyDescent="0.25">
      <c r="I5058" s="46"/>
      <c r="J5058" s="26"/>
      <c r="K5058" s="26"/>
      <c r="L5058" s="26"/>
      <c r="M5058" s="26"/>
      <c r="N5058" s="26"/>
      <c r="O5058" s="26"/>
      <c r="P5058" s="26"/>
      <c r="Q5058" s="26"/>
      <c r="R5058" s="26"/>
    </row>
    <row r="5059" spans="9:18" x14ac:dyDescent="0.25">
      <c r="I5059" s="46"/>
      <c r="J5059" s="26"/>
      <c r="K5059" s="26"/>
      <c r="L5059" s="26"/>
      <c r="M5059" s="26"/>
      <c r="N5059" s="26"/>
      <c r="O5059" s="26"/>
      <c r="P5059" s="26"/>
      <c r="Q5059" s="26"/>
      <c r="R5059" s="26"/>
    </row>
    <row r="5060" spans="9:18" x14ac:dyDescent="0.25">
      <c r="I5060" s="46"/>
      <c r="J5060" s="26"/>
      <c r="K5060" s="26"/>
      <c r="L5060" s="26"/>
      <c r="M5060" s="26"/>
      <c r="N5060" s="26"/>
      <c r="O5060" s="26"/>
      <c r="P5060" s="26"/>
      <c r="Q5060" s="26"/>
      <c r="R5060" s="26"/>
    </row>
    <row r="5061" spans="9:18" x14ac:dyDescent="0.25">
      <c r="I5061" s="46"/>
      <c r="J5061" s="26"/>
      <c r="K5061" s="26"/>
      <c r="L5061" s="26"/>
      <c r="M5061" s="26"/>
      <c r="N5061" s="26"/>
      <c r="O5061" s="26"/>
      <c r="P5061" s="26"/>
      <c r="Q5061" s="26"/>
      <c r="R5061" s="26"/>
    </row>
    <row r="5062" spans="9:18" x14ac:dyDescent="0.25">
      <c r="I5062" s="46"/>
      <c r="J5062" s="26"/>
      <c r="K5062" s="26"/>
      <c r="L5062" s="26"/>
      <c r="M5062" s="26"/>
      <c r="N5062" s="26"/>
      <c r="O5062" s="26"/>
      <c r="P5062" s="26"/>
      <c r="Q5062" s="26"/>
      <c r="R5062" s="26"/>
    </row>
    <row r="5063" spans="9:18" x14ac:dyDescent="0.25">
      <c r="I5063" s="46"/>
      <c r="J5063" s="26"/>
      <c r="K5063" s="26"/>
      <c r="L5063" s="26"/>
      <c r="M5063" s="26"/>
      <c r="N5063" s="26"/>
      <c r="O5063" s="26"/>
      <c r="P5063" s="26"/>
      <c r="Q5063" s="26"/>
      <c r="R5063" s="26"/>
    </row>
    <row r="5064" spans="9:18" x14ac:dyDescent="0.25">
      <c r="I5064" s="46"/>
      <c r="J5064" s="26"/>
      <c r="K5064" s="26"/>
      <c r="L5064" s="26"/>
      <c r="M5064" s="26"/>
      <c r="N5064" s="26"/>
      <c r="O5064" s="26"/>
      <c r="P5064" s="26"/>
      <c r="Q5064" s="26"/>
      <c r="R5064" s="26"/>
    </row>
    <row r="5065" spans="9:18" x14ac:dyDescent="0.25">
      <c r="I5065" s="46"/>
      <c r="J5065" s="26"/>
      <c r="K5065" s="26"/>
      <c r="L5065" s="26"/>
      <c r="M5065" s="26"/>
      <c r="N5065" s="26"/>
      <c r="O5065" s="26"/>
      <c r="P5065" s="26"/>
      <c r="Q5065" s="26"/>
      <c r="R5065" s="26"/>
    </row>
    <row r="5066" spans="9:18" x14ac:dyDescent="0.25">
      <c r="I5066" s="46"/>
      <c r="J5066" s="26"/>
      <c r="K5066" s="26"/>
      <c r="L5066" s="26"/>
      <c r="M5066" s="26"/>
      <c r="N5066" s="26"/>
      <c r="O5066" s="26"/>
      <c r="P5066" s="26"/>
      <c r="Q5066" s="26"/>
      <c r="R5066" s="26"/>
    </row>
    <row r="5067" spans="9:18" x14ac:dyDescent="0.25">
      <c r="I5067" s="46"/>
      <c r="J5067" s="26"/>
      <c r="K5067" s="26"/>
      <c r="L5067" s="26"/>
      <c r="M5067" s="26"/>
      <c r="N5067" s="26"/>
      <c r="O5067" s="26"/>
      <c r="P5067" s="26"/>
      <c r="Q5067" s="26"/>
      <c r="R5067" s="26"/>
    </row>
    <row r="5068" spans="9:18" x14ac:dyDescent="0.25">
      <c r="I5068" s="46"/>
      <c r="J5068" s="26"/>
      <c r="K5068" s="26"/>
      <c r="L5068" s="26"/>
      <c r="M5068" s="26"/>
      <c r="N5068" s="26"/>
      <c r="O5068" s="26"/>
      <c r="P5068" s="26"/>
      <c r="Q5068" s="26"/>
      <c r="R5068" s="26"/>
    </row>
    <row r="5069" spans="9:18" x14ac:dyDescent="0.25">
      <c r="I5069" s="46"/>
      <c r="J5069" s="26"/>
      <c r="K5069" s="26"/>
      <c r="L5069" s="26"/>
      <c r="M5069" s="26"/>
      <c r="N5069" s="26"/>
      <c r="O5069" s="26"/>
      <c r="P5069" s="26"/>
      <c r="Q5069" s="26"/>
      <c r="R5069" s="26"/>
    </row>
    <row r="5070" spans="9:18" x14ac:dyDescent="0.25">
      <c r="I5070" s="46"/>
      <c r="J5070" s="26"/>
      <c r="K5070" s="26"/>
      <c r="L5070" s="26"/>
      <c r="M5070" s="26"/>
      <c r="N5070" s="26"/>
      <c r="O5070" s="26"/>
      <c r="P5070" s="26"/>
      <c r="Q5070" s="26"/>
      <c r="R5070" s="26"/>
    </row>
    <row r="5071" spans="9:18" x14ac:dyDescent="0.25">
      <c r="I5071" s="46"/>
      <c r="J5071" s="26"/>
      <c r="K5071" s="26"/>
      <c r="L5071" s="26"/>
      <c r="M5071" s="26"/>
      <c r="N5071" s="26"/>
      <c r="O5071" s="26"/>
      <c r="P5071" s="26"/>
      <c r="Q5071" s="26"/>
      <c r="R5071" s="26"/>
    </row>
    <row r="5072" spans="9:18" x14ac:dyDescent="0.25">
      <c r="I5072" s="46"/>
      <c r="J5072" s="26"/>
      <c r="K5072" s="26"/>
      <c r="L5072" s="26"/>
      <c r="M5072" s="26"/>
      <c r="N5072" s="26"/>
      <c r="O5072" s="26"/>
      <c r="P5072" s="26"/>
      <c r="Q5072" s="26"/>
      <c r="R5072" s="26"/>
    </row>
    <row r="5073" spans="9:18" x14ac:dyDescent="0.25">
      <c r="I5073" s="46"/>
      <c r="J5073" s="26"/>
      <c r="K5073" s="26"/>
      <c r="L5073" s="26"/>
      <c r="M5073" s="26"/>
      <c r="N5073" s="26"/>
      <c r="O5073" s="26"/>
      <c r="P5073" s="26"/>
      <c r="Q5073" s="26"/>
      <c r="R5073" s="26"/>
    </row>
    <row r="5074" spans="9:18" x14ac:dyDescent="0.25">
      <c r="I5074" s="46"/>
      <c r="J5074" s="26"/>
      <c r="K5074" s="26"/>
      <c r="L5074" s="26"/>
      <c r="M5074" s="26"/>
      <c r="N5074" s="26"/>
      <c r="O5074" s="26"/>
      <c r="P5074" s="26"/>
      <c r="Q5074" s="26"/>
      <c r="R5074" s="26"/>
    </row>
    <row r="5075" spans="9:18" x14ac:dyDescent="0.25">
      <c r="I5075" s="46"/>
      <c r="J5075" s="26"/>
      <c r="K5075" s="26"/>
      <c r="L5075" s="26"/>
      <c r="M5075" s="26"/>
      <c r="N5075" s="26"/>
      <c r="O5075" s="26"/>
      <c r="P5075" s="26"/>
      <c r="Q5075" s="26"/>
      <c r="R5075" s="26"/>
    </row>
    <row r="5076" spans="9:18" x14ac:dyDescent="0.25">
      <c r="I5076" s="46"/>
      <c r="J5076" s="26"/>
      <c r="K5076" s="26"/>
      <c r="L5076" s="26"/>
      <c r="M5076" s="26"/>
      <c r="N5076" s="26"/>
      <c r="O5076" s="26"/>
      <c r="P5076" s="26"/>
      <c r="Q5076" s="26"/>
      <c r="R5076" s="26"/>
    </row>
    <row r="5077" spans="9:18" x14ac:dyDescent="0.25">
      <c r="I5077" s="46"/>
      <c r="J5077" s="26"/>
      <c r="K5077" s="26"/>
      <c r="L5077" s="26"/>
      <c r="M5077" s="26"/>
      <c r="N5077" s="26"/>
      <c r="O5077" s="26"/>
      <c r="P5077" s="26"/>
      <c r="Q5077" s="26"/>
      <c r="R5077" s="26"/>
    </row>
    <row r="5078" spans="9:18" x14ac:dyDescent="0.25">
      <c r="I5078" s="46"/>
      <c r="J5078" s="26"/>
      <c r="K5078" s="26"/>
      <c r="L5078" s="26"/>
      <c r="M5078" s="26"/>
      <c r="N5078" s="26"/>
      <c r="O5078" s="26"/>
      <c r="P5078" s="26"/>
      <c r="Q5078" s="26"/>
      <c r="R5078" s="26"/>
    </row>
    <row r="5079" spans="9:18" x14ac:dyDescent="0.25">
      <c r="I5079" s="46"/>
      <c r="J5079" s="26"/>
      <c r="K5079" s="26"/>
      <c r="L5079" s="26"/>
      <c r="M5079" s="26"/>
      <c r="N5079" s="26"/>
      <c r="O5079" s="26"/>
      <c r="P5079" s="26"/>
      <c r="Q5079" s="26"/>
      <c r="R5079" s="26"/>
    </row>
    <row r="5080" spans="9:18" x14ac:dyDescent="0.25">
      <c r="I5080" s="46"/>
      <c r="J5080" s="26"/>
      <c r="K5080" s="26"/>
      <c r="L5080" s="26"/>
      <c r="M5080" s="26"/>
      <c r="N5080" s="26"/>
      <c r="O5080" s="26"/>
      <c r="P5080" s="26"/>
      <c r="Q5080" s="26"/>
      <c r="R5080" s="26"/>
    </row>
    <row r="5081" spans="9:18" x14ac:dyDescent="0.25">
      <c r="I5081" s="46"/>
      <c r="J5081" s="26"/>
      <c r="K5081" s="26"/>
      <c r="L5081" s="26"/>
      <c r="M5081" s="26"/>
      <c r="N5081" s="26"/>
      <c r="O5081" s="26"/>
      <c r="P5081" s="26"/>
      <c r="Q5081" s="26"/>
      <c r="R5081" s="26"/>
    </row>
    <row r="5082" spans="9:18" x14ac:dyDescent="0.25">
      <c r="I5082" s="46"/>
      <c r="J5082" s="26"/>
      <c r="K5082" s="26"/>
      <c r="L5082" s="26"/>
      <c r="M5082" s="26"/>
      <c r="N5082" s="26"/>
      <c r="O5082" s="26"/>
      <c r="P5082" s="26"/>
      <c r="Q5082" s="26"/>
      <c r="R5082" s="26"/>
    </row>
    <row r="5083" spans="9:18" x14ac:dyDescent="0.25">
      <c r="I5083" s="46"/>
      <c r="J5083" s="26"/>
      <c r="K5083" s="26"/>
      <c r="L5083" s="26"/>
      <c r="M5083" s="26"/>
      <c r="N5083" s="26"/>
      <c r="O5083" s="26"/>
      <c r="P5083" s="26"/>
      <c r="Q5083" s="26"/>
      <c r="R5083" s="26"/>
    </row>
    <row r="5084" spans="9:18" x14ac:dyDescent="0.25">
      <c r="I5084" s="46"/>
      <c r="J5084" s="26"/>
      <c r="K5084" s="26"/>
      <c r="L5084" s="26"/>
      <c r="M5084" s="26"/>
      <c r="N5084" s="26"/>
      <c r="O5084" s="26"/>
      <c r="P5084" s="26"/>
      <c r="Q5084" s="26"/>
      <c r="R5084" s="26"/>
    </row>
    <row r="5085" spans="9:18" x14ac:dyDescent="0.25">
      <c r="I5085" s="46"/>
      <c r="J5085" s="26"/>
      <c r="K5085" s="26"/>
      <c r="L5085" s="26"/>
      <c r="M5085" s="26"/>
      <c r="N5085" s="26"/>
      <c r="O5085" s="26"/>
      <c r="P5085" s="26"/>
      <c r="Q5085" s="26"/>
      <c r="R5085" s="26"/>
    </row>
    <row r="5086" spans="9:18" x14ac:dyDescent="0.25">
      <c r="I5086" s="46"/>
      <c r="J5086" s="26"/>
      <c r="K5086" s="26"/>
      <c r="L5086" s="26"/>
      <c r="M5086" s="26"/>
      <c r="N5086" s="26"/>
      <c r="O5086" s="26"/>
      <c r="P5086" s="26"/>
      <c r="Q5086" s="26"/>
      <c r="R5086" s="26"/>
    </row>
    <row r="5087" spans="9:18" x14ac:dyDescent="0.25">
      <c r="I5087" s="46"/>
      <c r="J5087" s="26"/>
      <c r="K5087" s="26"/>
      <c r="L5087" s="26"/>
      <c r="M5087" s="26"/>
      <c r="N5087" s="26"/>
      <c r="O5087" s="26"/>
      <c r="P5087" s="26"/>
      <c r="Q5087" s="26"/>
      <c r="R5087" s="26"/>
    </row>
    <row r="5088" spans="9:18" x14ac:dyDescent="0.25">
      <c r="I5088" s="46"/>
      <c r="J5088" s="26"/>
      <c r="K5088" s="26"/>
      <c r="L5088" s="26"/>
      <c r="M5088" s="26"/>
      <c r="N5088" s="26"/>
      <c r="O5088" s="26"/>
      <c r="P5088" s="26"/>
      <c r="Q5088" s="26"/>
      <c r="R5088" s="26"/>
    </row>
    <row r="5089" spans="9:18" x14ac:dyDescent="0.25">
      <c r="I5089" s="46"/>
      <c r="J5089" s="26"/>
      <c r="K5089" s="26"/>
      <c r="L5089" s="26"/>
      <c r="M5089" s="26"/>
      <c r="N5089" s="26"/>
      <c r="O5089" s="26"/>
      <c r="P5089" s="26"/>
      <c r="Q5089" s="26"/>
      <c r="R5089" s="26"/>
    </row>
    <row r="5090" spans="9:18" x14ac:dyDescent="0.25">
      <c r="I5090" s="46"/>
      <c r="J5090" s="26"/>
      <c r="K5090" s="26"/>
      <c r="L5090" s="26"/>
      <c r="M5090" s="26"/>
      <c r="N5090" s="26"/>
      <c r="O5090" s="26"/>
      <c r="P5090" s="26"/>
      <c r="Q5090" s="26"/>
      <c r="R5090" s="26"/>
    </row>
    <row r="5091" spans="9:18" x14ac:dyDescent="0.25">
      <c r="I5091" s="46"/>
      <c r="J5091" s="26"/>
      <c r="K5091" s="26"/>
      <c r="L5091" s="26"/>
      <c r="M5091" s="26"/>
      <c r="N5091" s="26"/>
      <c r="O5091" s="26"/>
      <c r="P5091" s="26"/>
      <c r="Q5091" s="26"/>
      <c r="R5091" s="26"/>
    </row>
    <row r="5092" spans="9:18" x14ac:dyDescent="0.25">
      <c r="I5092" s="46"/>
      <c r="J5092" s="26"/>
      <c r="K5092" s="26"/>
      <c r="L5092" s="26"/>
      <c r="M5092" s="26"/>
      <c r="N5092" s="26"/>
      <c r="O5092" s="26"/>
      <c r="P5092" s="26"/>
      <c r="Q5092" s="26"/>
      <c r="R5092" s="26"/>
    </row>
    <row r="5093" spans="9:18" x14ac:dyDescent="0.25">
      <c r="I5093" s="46"/>
      <c r="J5093" s="26"/>
      <c r="K5093" s="26"/>
      <c r="L5093" s="26"/>
      <c r="M5093" s="26"/>
      <c r="N5093" s="26"/>
      <c r="O5093" s="26"/>
      <c r="P5093" s="26"/>
      <c r="Q5093" s="26"/>
      <c r="R5093" s="26"/>
    </row>
    <row r="5094" spans="9:18" x14ac:dyDescent="0.25">
      <c r="I5094" s="46"/>
      <c r="J5094" s="26"/>
      <c r="K5094" s="26"/>
      <c r="L5094" s="26"/>
      <c r="M5094" s="26"/>
      <c r="N5094" s="26"/>
      <c r="O5094" s="26"/>
      <c r="P5094" s="26"/>
      <c r="Q5094" s="26"/>
      <c r="R5094" s="26"/>
    </row>
    <row r="5095" spans="9:18" x14ac:dyDescent="0.25">
      <c r="I5095" s="46"/>
      <c r="J5095" s="26"/>
      <c r="K5095" s="26"/>
      <c r="L5095" s="26"/>
      <c r="M5095" s="26"/>
      <c r="N5095" s="26"/>
      <c r="O5095" s="26"/>
      <c r="P5095" s="26"/>
      <c r="Q5095" s="26"/>
      <c r="R5095" s="26"/>
    </row>
    <row r="5096" spans="9:18" x14ac:dyDescent="0.25">
      <c r="I5096" s="46"/>
      <c r="J5096" s="26"/>
      <c r="K5096" s="26"/>
      <c r="L5096" s="26"/>
      <c r="M5096" s="26"/>
      <c r="N5096" s="26"/>
      <c r="O5096" s="26"/>
      <c r="P5096" s="26"/>
      <c r="Q5096" s="26"/>
      <c r="R5096" s="26"/>
    </row>
    <row r="5097" spans="9:18" x14ac:dyDescent="0.25">
      <c r="I5097" s="46"/>
      <c r="J5097" s="26"/>
      <c r="K5097" s="26"/>
      <c r="L5097" s="26"/>
      <c r="M5097" s="26"/>
      <c r="N5097" s="26"/>
      <c r="O5097" s="26"/>
      <c r="P5097" s="26"/>
      <c r="Q5097" s="26"/>
      <c r="R5097" s="26"/>
    </row>
    <row r="5098" spans="9:18" x14ac:dyDescent="0.25">
      <c r="I5098" s="46"/>
      <c r="J5098" s="26"/>
      <c r="K5098" s="26"/>
      <c r="L5098" s="26"/>
      <c r="M5098" s="26"/>
      <c r="N5098" s="26"/>
      <c r="O5098" s="26"/>
      <c r="P5098" s="26"/>
      <c r="Q5098" s="26"/>
      <c r="R5098" s="26"/>
    </row>
    <row r="5099" spans="9:18" x14ac:dyDescent="0.25">
      <c r="I5099" s="46"/>
      <c r="J5099" s="26"/>
      <c r="K5099" s="26"/>
      <c r="L5099" s="26"/>
      <c r="M5099" s="26"/>
      <c r="N5099" s="26"/>
      <c r="O5099" s="26"/>
      <c r="P5099" s="26"/>
      <c r="Q5099" s="26"/>
      <c r="R5099" s="26"/>
    </row>
    <row r="5100" spans="9:18" x14ac:dyDescent="0.25">
      <c r="I5100" s="46"/>
      <c r="J5100" s="26"/>
      <c r="K5100" s="26"/>
      <c r="L5100" s="26"/>
      <c r="M5100" s="26"/>
      <c r="N5100" s="26"/>
      <c r="O5100" s="26"/>
      <c r="P5100" s="26"/>
      <c r="Q5100" s="26"/>
      <c r="R5100" s="26"/>
    </row>
    <row r="5101" spans="9:18" x14ac:dyDescent="0.25">
      <c r="I5101" s="46"/>
      <c r="J5101" s="26"/>
      <c r="K5101" s="26"/>
      <c r="L5101" s="26"/>
      <c r="M5101" s="26"/>
      <c r="N5101" s="26"/>
      <c r="O5101" s="26"/>
      <c r="P5101" s="26"/>
      <c r="Q5101" s="26"/>
      <c r="R5101" s="26"/>
    </row>
    <row r="5102" spans="9:18" x14ac:dyDescent="0.25">
      <c r="I5102" s="46"/>
      <c r="J5102" s="26"/>
      <c r="K5102" s="26"/>
      <c r="L5102" s="26"/>
      <c r="M5102" s="26"/>
      <c r="N5102" s="26"/>
      <c r="O5102" s="26"/>
      <c r="P5102" s="26"/>
      <c r="Q5102" s="26"/>
      <c r="R5102" s="26"/>
    </row>
    <row r="5103" spans="9:18" x14ac:dyDescent="0.25">
      <c r="I5103" s="46"/>
      <c r="J5103" s="26"/>
      <c r="K5103" s="26"/>
      <c r="L5103" s="26"/>
      <c r="M5103" s="26"/>
      <c r="N5103" s="26"/>
      <c r="O5103" s="26"/>
      <c r="P5103" s="26"/>
      <c r="Q5103" s="26"/>
      <c r="R5103" s="26"/>
    </row>
    <row r="5104" spans="9:18" x14ac:dyDescent="0.25">
      <c r="I5104" s="46"/>
      <c r="J5104" s="26"/>
      <c r="K5104" s="26"/>
      <c r="L5104" s="26"/>
      <c r="M5104" s="26"/>
      <c r="N5104" s="26"/>
      <c r="O5104" s="26"/>
      <c r="P5104" s="26"/>
      <c r="Q5104" s="26"/>
      <c r="R5104" s="26"/>
    </row>
    <row r="5105" spans="9:18" x14ac:dyDescent="0.25">
      <c r="I5105" s="46"/>
      <c r="J5105" s="26"/>
      <c r="K5105" s="26"/>
      <c r="L5105" s="26"/>
      <c r="M5105" s="26"/>
      <c r="N5105" s="26"/>
      <c r="O5105" s="26"/>
      <c r="P5105" s="26"/>
      <c r="Q5105" s="26"/>
      <c r="R5105" s="26"/>
    </row>
    <row r="5106" spans="9:18" x14ac:dyDescent="0.25">
      <c r="I5106" s="46"/>
      <c r="J5106" s="26"/>
      <c r="K5106" s="26"/>
      <c r="L5106" s="26"/>
      <c r="M5106" s="26"/>
      <c r="N5106" s="26"/>
      <c r="O5106" s="26"/>
      <c r="P5106" s="26"/>
      <c r="Q5106" s="26"/>
      <c r="R5106" s="26"/>
    </row>
    <row r="5107" spans="9:18" x14ac:dyDescent="0.25">
      <c r="I5107" s="46"/>
      <c r="J5107" s="26"/>
      <c r="K5107" s="26"/>
      <c r="L5107" s="26"/>
      <c r="M5107" s="26"/>
      <c r="N5107" s="26"/>
      <c r="O5107" s="26"/>
      <c r="P5107" s="26"/>
      <c r="Q5107" s="26"/>
      <c r="R5107" s="26"/>
    </row>
    <row r="5108" spans="9:18" x14ac:dyDescent="0.25">
      <c r="I5108" s="46"/>
      <c r="J5108" s="26"/>
      <c r="K5108" s="26"/>
      <c r="L5108" s="26"/>
      <c r="M5108" s="26"/>
      <c r="N5108" s="26"/>
      <c r="O5108" s="26"/>
      <c r="P5108" s="26"/>
      <c r="Q5108" s="26"/>
      <c r="R5108" s="26"/>
    </row>
    <row r="5109" spans="9:18" x14ac:dyDescent="0.25">
      <c r="I5109" s="46"/>
      <c r="J5109" s="26"/>
      <c r="K5109" s="26"/>
      <c r="L5109" s="26"/>
      <c r="M5109" s="26"/>
      <c r="N5109" s="26"/>
      <c r="O5109" s="26"/>
      <c r="P5109" s="26"/>
      <c r="Q5109" s="26"/>
      <c r="R5109" s="26"/>
    </row>
    <row r="5110" spans="9:18" x14ac:dyDescent="0.25">
      <c r="I5110" s="46"/>
      <c r="J5110" s="26"/>
      <c r="K5110" s="26"/>
      <c r="L5110" s="26"/>
      <c r="M5110" s="26"/>
      <c r="N5110" s="26"/>
      <c r="O5110" s="26"/>
      <c r="P5110" s="26"/>
      <c r="Q5110" s="26"/>
      <c r="R5110" s="26"/>
    </row>
    <row r="5111" spans="9:18" x14ac:dyDescent="0.25">
      <c r="I5111" s="46"/>
      <c r="J5111" s="26"/>
      <c r="K5111" s="26"/>
      <c r="L5111" s="26"/>
      <c r="M5111" s="26"/>
      <c r="N5111" s="26"/>
      <c r="O5111" s="26"/>
      <c r="P5111" s="26"/>
      <c r="Q5111" s="26"/>
      <c r="R5111" s="26"/>
    </row>
    <row r="5112" spans="9:18" x14ac:dyDescent="0.25">
      <c r="I5112" s="46"/>
      <c r="J5112" s="26"/>
      <c r="K5112" s="26"/>
      <c r="L5112" s="26"/>
      <c r="M5112" s="26"/>
      <c r="N5112" s="26"/>
      <c r="O5112" s="26"/>
      <c r="P5112" s="26"/>
      <c r="Q5112" s="26"/>
      <c r="R5112" s="26"/>
    </row>
    <row r="5113" spans="9:18" x14ac:dyDescent="0.25">
      <c r="I5113" s="46"/>
      <c r="J5113" s="26"/>
      <c r="K5113" s="26"/>
      <c r="L5113" s="26"/>
      <c r="M5113" s="26"/>
      <c r="N5113" s="26"/>
      <c r="O5113" s="26"/>
      <c r="P5113" s="26"/>
      <c r="Q5113" s="26"/>
      <c r="R5113" s="26"/>
    </row>
    <row r="5114" spans="9:18" x14ac:dyDescent="0.25">
      <c r="I5114" s="46"/>
      <c r="J5114" s="26"/>
      <c r="K5114" s="26"/>
      <c r="L5114" s="26"/>
      <c r="M5114" s="26"/>
      <c r="N5114" s="26"/>
      <c r="O5114" s="26"/>
      <c r="P5114" s="26"/>
      <c r="Q5114" s="26"/>
      <c r="R5114" s="26"/>
    </row>
    <row r="5115" spans="9:18" x14ac:dyDescent="0.25">
      <c r="I5115" s="46"/>
      <c r="J5115" s="26"/>
      <c r="K5115" s="26"/>
      <c r="L5115" s="26"/>
      <c r="M5115" s="26"/>
      <c r="N5115" s="26"/>
      <c r="O5115" s="26"/>
      <c r="P5115" s="26"/>
      <c r="Q5115" s="26"/>
      <c r="R5115" s="26"/>
    </row>
    <row r="5116" spans="9:18" x14ac:dyDescent="0.25">
      <c r="I5116" s="46"/>
      <c r="J5116" s="26"/>
      <c r="K5116" s="26"/>
      <c r="L5116" s="26"/>
      <c r="M5116" s="26"/>
      <c r="N5116" s="26"/>
      <c r="O5116" s="26"/>
      <c r="P5116" s="26"/>
      <c r="Q5116" s="26"/>
      <c r="R5116" s="26"/>
    </row>
    <row r="5117" spans="9:18" x14ac:dyDescent="0.25">
      <c r="I5117" s="46"/>
      <c r="J5117" s="26"/>
      <c r="K5117" s="26"/>
      <c r="L5117" s="26"/>
      <c r="M5117" s="26"/>
      <c r="N5117" s="26"/>
      <c r="O5117" s="26"/>
      <c r="P5117" s="26"/>
      <c r="Q5117" s="26"/>
      <c r="R5117" s="26"/>
    </row>
    <row r="5118" spans="9:18" x14ac:dyDescent="0.25">
      <c r="I5118" s="46"/>
      <c r="J5118" s="26"/>
      <c r="K5118" s="26"/>
      <c r="L5118" s="26"/>
      <c r="M5118" s="26"/>
      <c r="N5118" s="26"/>
      <c r="O5118" s="26"/>
      <c r="P5118" s="26"/>
      <c r="Q5118" s="26"/>
      <c r="R5118" s="26"/>
    </row>
    <row r="5119" spans="9:18" x14ac:dyDescent="0.25">
      <c r="I5119" s="46"/>
      <c r="J5119" s="26"/>
      <c r="K5119" s="26"/>
      <c r="L5119" s="26"/>
      <c r="M5119" s="26"/>
      <c r="N5119" s="26"/>
      <c r="O5119" s="26"/>
      <c r="P5119" s="26"/>
      <c r="Q5119" s="26"/>
      <c r="R5119" s="26"/>
    </row>
    <row r="5120" spans="9:18" x14ac:dyDescent="0.25">
      <c r="I5120" s="46"/>
      <c r="J5120" s="26"/>
      <c r="K5120" s="26"/>
      <c r="L5120" s="26"/>
      <c r="M5120" s="26"/>
      <c r="N5120" s="26"/>
      <c r="O5120" s="26"/>
      <c r="P5120" s="26"/>
      <c r="Q5120" s="26"/>
      <c r="R5120" s="26"/>
    </row>
    <row r="5121" spans="9:18" x14ac:dyDescent="0.25">
      <c r="I5121" s="46"/>
      <c r="J5121" s="26"/>
      <c r="K5121" s="26"/>
      <c r="L5121" s="26"/>
      <c r="M5121" s="26"/>
      <c r="N5121" s="26"/>
      <c r="O5121" s="26"/>
      <c r="P5121" s="26"/>
      <c r="Q5121" s="26"/>
      <c r="R5121" s="26"/>
    </row>
    <row r="5122" spans="9:18" x14ac:dyDescent="0.25">
      <c r="I5122" s="46"/>
      <c r="J5122" s="26"/>
      <c r="K5122" s="26"/>
      <c r="L5122" s="26"/>
      <c r="M5122" s="26"/>
      <c r="N5122" s="26"/>
      <c r="O5122" s="26"/>
      <c r="P5122" s="26"/>
      <c r="Q5122" s="26"/>
      <c r="R5122" s="26"/>
    </row>
    <row r="5123" spans="9:18" x14ac:dyDescent="0.25">
      <c r="I5123" s="46"/>
      <c r="J5123" s="26"/>
      <c r="K5123" s="26"/>
      <c r="L5123" s="26"/>
      <c r="M5123" s="26"/>
      <c r="N5123" s="26"/>
      <c r="O5123" s="26"/>
      <c r="P5123" s="26"/>
      <c r="Q5123" s="26"/>
      <c r="R5123" s="26"/>
    </row>
    <row r="5124" spans="9:18" x14ac:dyDescent="0.25">
      <c r="I5124" s="46"/>
      <c r="J5124" s="26"/>
      <c r="K5124" s="26"/>
      <c r="L5124" s="26"/>
      <c r="M5124" s="26"/>
      <c r="N5124" s="26"/>
      <c r="O5124" s="26"/>
      <c r="P5124" s="26"/>
      <c r="Q5124" s="26"/>
      <c r="R5124" s="26"/>
    </row>
    <row r="5125" spans="9:18" x14ac:dyDescent="0.25">
      <c r="I5125" s="46"/>
      <c r="J5125" s="26"/>
      <c r="K5125" s="26"/>
      <c r="L5125" s="26"/>
      <c r="M5125" s="26"/>
      <c r="N5125" s="26"/>
      <c r="O5125" s="26"/>
      <c r="P5125" s="26"/>
      <c r="Q5125" s="26"/>
      <c r="R5125" s="26"/>
    </row>
    <row r="5126" spans="9:18" x14ac:dyDescent="0.25">
      <c r="I5126" s="46"/>
      <c r="J5126" s="26"/>
      <c r="K5126" s="26"/>
      <c r="L5126" s="26"/>
      <c r="M5126" s="26"/>
      <c r="N5126" s="26"/>
      <c r="O5126" s="26"/>
      <c r="P5126" s="26"/>
      <c r="Q5126" s="26"/>
      <c r="R5126" s="26"/>
    </row>
    <row r="5127" spans="9:18" x14ac:dyDescent="0.25">
      <c r="I5127" s="46"/>
      <c r="J5127" s="26"/>
      <c r="K5127" s="26"/>
      <c r="L5127" s="26"/>
      <c r="M5127" s="26"/>
      <c r="N5127" s="26"/>
      <c r="O5127" s="26"/>
      <c r="P5127" s="26"/>
      <c r="Q5127" s="26"/>
      <c r="R5127" s="26"/>
    </row>
    <row r="5128" spans="9:18" x14ac:dyDescent="0.25">
      <c r="I5128" s="46"/>
      <c r="J5128" s="26"/>
      <c r="K5128" s="26"/>
      <c r="L5128" s="26"/>
      <c r="M5128" s="26"/>
      <c r="N5128" s="26"/>
      <c r="O5128" s="26"/>
      <c r="P5128" s="26"/>
      <c r="Q5128" s="26"/>
      <c r="R5128" s="26"/>
    </row>
    <row r="5129" spans="9:18" x14ac:dyDescent="0.25">
      <c r="I5129" s="46"/>
      <c r="J5129" s="26"/>
      <c r="K5129" s="26"/>
      <c r="L5129" s="26"/>
      <c r="M5129" s="26"/>
      <c r="N5129" s="26"/>
      <c r="O5129" s="26"/>
      <c r="P5129" s="26"/>
      <c r="Q5129" s="26"/>
      <c r="R5129" s="26"/>
    </row>
    <row r="5130" spans="9:18" x14ac:dyDescent="0.25">
      <c r="I5130" s="46"/>
      <c r="J5130" s="26"/>
      <c r="K5130" s="26"/>
      <c r="L5130" s="26"/>
      <c r="M5130" s="26"/>
      <c r="N5130" s="26"/>
      <c r="O5130" s="26"/>
      <c r="P5130" s="26"/>
      <c r="Q5130" s="26"/>
      <c r="R5130" s="26"/>
    </row>
    <row r="5131" spans="9:18" x14ac:dyDescent="0.25">
      <c r="I5131" s="46"/>
      <c r="J5131" s="26"/>
      <c r="K5131" s="26"/>
      <c r="L5131" s="26"/>
      <c r="M5131" s="26"/>
      <c r="N5131" s="26"/>
      <c r="O5131" s="26"/>
      <c r="P5131" s="26"/>
      <c r="Q5131" s="26"/>
      <c r="R5131" s="26"/>
    </row>
    <row r="5132" spans="9:18" x14ac:dyDescent="0.25">
      <c r="I5132" s="46"/>
      <c r="J5132" s="26"/>
      <c r="K5132" s="26"/>
      <c r="L5132" s="26"/>
      <c r="M5132" s="26"/>
      <c r="N5132" s="26"/>
      <c r="O5132" s="26"/>
      <c r="P5132" s="26"/>
      <c r="Q5132" s="26"/>
      <c r="R5132" s="26"/>
    </row>
    <row r="5133" spans="9:18" x14ac:dyDescent="0.25">
      <c r="I5133" s="46"/>
      <c r="J5133" s="26"/>
      <c r="K5133" s="26"/>
      <c r="L5133" s="26"/>
      <c r="M5133" s="26"/>
      <c r="N5133" s="26"/>
      <c r="O5133" s="26"/>
      <c r="P5133" s="26"/>
      <c r="Q5133" s="26"/>
      <c r="R5133" s="26"/>
    </row>
    <row r="5134" spans="9:18" x14ac:dyDescent="0.25">
      <c r="I5134" s="46"/>
      <c r="J5134" s="26"/>
      <c r="K5134" s="26"/>
      <c r="L5134" s="26"/>
      <c r="M5134" s="26"/>
      <c r="N5134" s="26"/>
      <c r="O5134" s="26"/>
      <c r="P5134" s="26"/>
      <c r="Q5134" s="26"/>
      <c r="R5134" s="26"/>
    </row>
    <row r="5135" spans="9:18" x14ac:dyDescent="0.25">
      <c r="I5135" s="46"/>
      <c r="J5135" s="26"/>
      <c r="K5135" s="26"/>
      <c r="L5135" s="26"/>
      <c r="M5135" s="26"/>
      <c r="N5135" s="26"/>
      <c r="O5135" s="26"/>
      <c r="P5135" s="26"/>
      <c r="Q5135" s="26"/>
      <c r="R5135" s="26"/>
    </row>
    <row r="5136" spans="9:18" x14ac:dyDescent="0.25">
      <c r="I5136" s="46"/>
      <c r="J5136" s="26"/>
      <c r="K5136" s="26"/>
      <c r="L5136" s="26"/>
      <c r="M5136" s="26"/>
      <c r="N5136" s="26"/>
      <c r="O5136" s="26"/>
      <c r="P5136" s="26"/>
      <c r="Q5136" s="26"/>
      <c r="R5136" s="26"/>
    </row>
    <row r="5137" spans="9:18" x14ac:dyDescent="0.25">
      <c r="I5137" s="46"/>
      <c r="J5137" s="26"/>
      <c r="K5137" s="26"/>
      <c r="L5137" s="26"/>
      <c r="M5137" s="26"/>
      <c r="N5137" s="26"/>
      <c r="O5137" s="26"/>
      <c r="P5137" s="26"/>
      <c r="Q5137" s="26"/>
      <c r="R5137" s="26"/>
    </row>
    <row r="5138" spans="9:18" x14ac:dyDescent="0.25">
      <c r="I5138" s="46"/>
      <c r="J5138" s="26"/>
      <c r="K5138" s="26"/>
      <c r="L5138" s="26"/>
      <c r="M5138" s="26"/>
      <c r="N5138" s="26"/>
      <c r="O5138" s="26"/>
      <c r="P5138" s="26"/>
      <c r="Q5138" s="26"/>
      <c r="R5138" s="26"/>
    </row>
    <row r="5139" spans="9:18" x14ac:dyDescent="0.25">
      <c r="I5139" s="46"/>
      <c r="J5139" s="26"/>
      <c r="K5139" s="26"/>
      <c r="L5139" s="26"/>
      <c r="M5139" s="26"/>
      <c r="N5139" s="26"/>
      <c r="O5139" s="26"/>
      <c r="P5139" s="26"/>
      <c r="Q5139" s="26"/>
      <c r="R5139" s="26"/>
    </row>
    <row r="5140" spans="9:18" x14ac:dyDescent="0.25">
      <c r="I5140" s="46"/>
      <c r="J5140" s="26"/>
      <c r="K5140" s="26"/>
      <c r="L5140" s="26"/>
      <c r="M5140" s="26"/>
      <c r="N5140" s="26"/>
      <c r="O5140" s="26"/>
      <c r="P5140" s="26"/>
      <c r="Q5140" s="26"/>
      <c r="R5140" s="26"/>
    </row>
    <row r="5141" spans="9:18" x14ac:dyDescent="0.25">
      <c r="I5141" s="46"/>
      <c r="J5141" s="26"/>
      <c r="K5141" s="26"/>
      <c r="L5141" s="26"/>
      <c r="M5141" s="26"/>
      <c r="N5141" s="26"/>
      <c r="O5141" s="26"/>
      <c r="P5141" s="26"/>
      <c r="Q5141" s="26"/>
      <c r="R5141" s="26"/>
    </row>
    <row r="5142" spans="9:18" x14ac:dyDescent="0.25">
      <c r="I5142" s="46"/>
      <c r="J5142" s="26"/>
      <c r="K5142" s="26"/>
      <c r="L5142" s="26"/>
      <c r="M5142" s="26"/>
      <c r="N5142" s="26"/>
      <c r="O5142" s="26"/>
      <c r="P5142" s="26"/>
      <c r="Q5142" s="26"/>
      <c r="R5142" s="26"/>
    </row>
    <row r="5143" spans="9:18" x14ac:dyDescent="0.25">
      <c r="I5143" s="46"/>
      <c r="J5143" s="26"/>
      <c r="K5143" s="26"/>
      <c r="L5143" s="26"/>
      <c r="M5143" s="26"/>
      <c r="N5143" s="26"/>
      <c r="O5143" s="26"/>
      <c r="P5143" s="26"/>
      <c r="Q5143" s="26"/>
      <c r="R5143" s="26"/>
    </row>
    <row r="5144" spans="9:18" x14ac:dyDescent="0.25">
      <c r="I5144" s="46"/>
      <c r="J5144" s="26"/>
      <c r="K5144" s="26"/>
      <c r="L5144" s="26"/>
      <c r="M5144" s="26"/>
      <c r="N5144" s="26"/>
      <c r="O5144" s="26"/>
      <c r="P5144" s="26"/>
      <c r="Q5144" s="26"/>
      <c r="R5144" s="26"/>
    </row>
    <row r="5145" spans="9:18" x14ac:dyDescent="0.25">
      <c r="I5145" s="46"/>
      <c r="J5145" s="26"/>
      <c r="K5145" s="26"/>
      <c r="L5145" s="26"/>
      <c r="M5145" s="26"/>
      <c r="N5145" s="26"/>
      <c r="O5145" s="26"/>
      <c r="P5145" s="26"/>
      <c r="Q5145" s="26"/>
      <c r="R5145" s="26"/>
    </row>
    <row r="5146" spans="9:18" x14ac:dyDescent="0.25">
      <c r="I5146" s="46"/>
      <c r="J5146" s="26"/>
      <c r="K5146" s="26"/>
      <c r="L5146" s="26"/>
      <c r="M5146" s="26"/>
      <c r="N5146" s="26"/>
      <c r="O5146" s="26"/>
      <c r="P5146" s="26"/>
      <c r="Q5146" s="26"/>
      <c r="R5146" s="26"/>
    </row>
    <row r="5147" spans="9:18" x14ac:dyDescent="0.25">
      <c r="I5147" s="46"/>
      <c r="J5147" s="26"/>
      <c r="K5147" s="26"/>
      <c r="L5147" s="26"/>
      <c r="M5147" s="26"/>
      <c r="N5147" s="26"/>
      <c r="O5147" s="26"/>
      <c r="P5147" s="26"/>
      <c r="Q5147" s="26"/>
      <c r="R5147" s="26"/>
    </row>
    <row r="5148" spans="9:18" x14ac:dyDescent="0.25">
      <c r="I5148" s="46"/>
      <c r="J5148" s="26"/>
      <c r="K5148" s="26"/>
      <c r="L5148" s="26"/>
      <c r="M5148" s="26"/>
      <c r="N5148" s="26"/>
      <c r="O5148" s="26"/>
      <c r="P5148" s="26"/>
      <c r="Q5148" s="26"/>
      <c r="R5148" s="26"/>
    </row>
    <row r="5149" spans="9:18" x14ac:dyDescent="0.25">
      <c r="I5149" s="46"/>
      <c r="J5149" s="26"/>
      <c r="K5149" s="26"/>
      <c r="L5149" s="26"/>
      <c r="M5149" s="26"/>
      <c r="N5149" s="26"/>
      <c r="O5149" s="26"/>
      <c r="P5149" s="26"/>
      <c r="Q5149" s="26"/>
      <c r="R5149" s="26"/>
    </row>
    <row r="5150" spans="9:18" x14ac:dyDescent="0.25">
      <c r="I5150" s="46"/>
      <c r="J5150" s="26"/>
      <c r="K5150" s="26"/>
      <c r="L5150" s="26"/>
      <c r="M5150" s="26"/>
      <c r="N5150" s="26"/>
      <c r="O5150" s="26"/>
      <c r="P5150" s="26"/>
      <c r="Q5150" s="26"/>
      <c r="R5150" s="26"/>
    </row>
    <row r="5151" spans="9:18" x14ac:dyDescent="0.25">
      <c r="I5151" s="46"/>
      <c r="J5151" s="26"/>
      <c r="K5151" s="26"/>
      <c r="L5151" s="26"/>
      <c r="M5151" s="26"/>
      <c r="N5151" s="26"/>
      <c r="O5151" s="26"/>
      <c r="P5151" s="26"/>
      <c r="Q5151" s="26"/>
      <c r="R5151" s="26"/>
    </row>
    <row r="5152" spans="9:18" x14ac:dyDescent="0.25">
      <c r="I5152" s="46"/>
      <c r="J5152" s="26"/>
      <c r="K5152" s="26"/>
      <c r="L5152" s="26"/>
      <c r="M5152" s="26"/>
      <c r="N5152" s="26"/>
      <c r="O5152" s="26"/>
      <c r="P5152" s="26"/>
      <c r="Q5152" s="26"/>
      <c r="R5152" s="26"/>
    </row>
    <row r="5153" spans="9:18" x14ac:dyDescent="0.25">
      <c r="I5153" s="46"/>
      <c r="J5153" s="26"/>
      <c r="K5153" s="26"/>
      <c r="L5153" s="26"/>
      <c r="M5153" s="26"/>
      <c r="N5153" s="26"/>
      <c r="O5153" s="26"/>
      <c r="P5153" s="26"/>
      <c r="Q5153" s="26"/>
      <c r="R5153" s="26"/>
    </row>
    <row r="5154" spans="9:18" x14ac:dyDescent="0.25">
      <c r="I5154" s="46"/>
      <c r="J5154" s="26"/>
      <c r="K5154" s="26"/>
      <c r="L5154" s="26"/>
      <c r="M5154" s="26"/>
      <c r="N5154" s="26"/>
      <c r="O5154" s="26"/>
      <c r="P5154" s="26"/>
      <c r="Q5154" s="26"/>
      <c r="R5154" s="26"/>
    </row>
    <row r="5155" spans="9:18" x14ac:dyDescent="0.25">
      <c r="I5155" s="46"/>
      <c r="J5155" s="26"/>
      <c r="K5155" s="26"/>
      <c r="L5155" s="26"/>
      <c r="M5155" s="26"/>
      <c r="N5155" s="26"/>
      <c r="O5155" s="26"/>
      <c r="P5155" s="26"/>
      <c r="Q5155" s="26"/>
      <c r="R5155" s="26"/>
    </row>
    <row r="5156" spans="9:18" x14ac:dyDescent="0.25">
      <c r="I5156" s="46"/>
      <c r="J5156" s="26"/>
      <c r="K5156" s="26"/>
      <c r="L5156" s="26"/>
      <c r="M5156" s="26"/>
      <c r="N5156" s="26"/>
      <c r="O5156" s="26"/>
      <c r="P5156" s="26"/>
      <c r="Q5156" s="26"/>
      <c r="R5156" s="26"/>
    </row>
    <row r="5157" spans="9:18" x14ac:dyDescent="0.25">
      <c r="I5157" s="46"/>
      <c r="J5157" s="26"/>
      <c r="K5157" s="26"/>
      <c r="L5157" s="26"/>
      <c r="M5157" s="26"/>
      <c r="N5157" s="26"/>
      <c r="O5157" s="26"/>
      <c r="P5157" s="26"/>
      <c r="Q5157" s="26"/>
      <c r="R5157" s="26"/>
    </row>
    <row r="5158" spans="9:18" x14ac:dyDescent="0.25">
      <c r="I5158" s="46"/>
      <c r="J5158" s="26"/>
      <c r="K5158" s="26"/>
      <c r="L5158" s="26"/>
      <c r="M5158" s="26"/>
      <c r="N5158" s="26"/>
      <c r="O5158" s="26"/>
      <c r="P5158" s="26"/>
      <c r="Q5158" s="26"/>
      <c r="R5158" s="26"/>
    </row>
    <row r="5159" spans="9:18" x14ac:dyDescent="0.25">
      <c r="I5159" s="46"/>
      <c r="J5159" s="26"/>
      <c r="K5159" s="26"/>
      <c r="L5159" s="26"/>
      <c r="M5159" s="26"/>
      <c r="N5159" s="26"/>
      <c r="O5159" s="26"/>
      <c r="P5159" s="26"/>
      <c r="Q5159" s="26"/>
      <c r="R5159" s="26"/>
    </row>
    <row r="5160" spans="9:18" x14ac:dyDescent="0.25">
      <c r="I5160" s="46"/>
      <c r="J5160" s="26"/>
      <c r="K5160" s="26"/>
      <c r="L5160" s="26"/>
      <c r="M5160" s="26"/>
      <c r="N5160" s="26"/>
      <c r="O5160" s="26"/>
      <c r="P5160" s="26"/>
      <c r="Q5160" s="26"/>
      <c r="R5160" s="26"/>
    </row>
    <row r="5161" spans="9:18" x14ac:dyDescent="0.25">
      <c r="I5161" s="46"/>
      <c r="J5161" s="26"/>
      <c r="K5161" s="26"/>
      <c r="L5161" s="26"/>
      <c r="M5161" s="26"/>
      <c r="N5161" s="26"/>
      <c r="O5161" s="26"/>
      <c r="P5161" s="26"/>
      <c r="Q5161" s="26"/>
      <c r="R5161" s="26"/>
    </row>
    <row r="5162" spans="9:18" x14ac:dyDescent="0.25">
      <c r="I5162" s="46"/>
      <c r="J5162" s="26"/>
      <c r="K5162" s="26"/>
      <c r="L5162" s="26"/>
      <c r="M5162" s="26"/>
      <c r="N5162" s="26"/>
      <c r="O5162" s="26"/>
      <c r="P5162" s="26"/>
      <c r="Q5162" s="26"/>
      <c r="R5162" s="26"/>
    </row>
    <row r="5163" spans="9:18" x14ac:dyDescent="0.25">
      <c r="I5163" s="46"/>
      <c r="J5163" s="26"/>
      <c r="K5163" s="26"/>
      <c r="L5163" s="26"/>
      <c r="M5163" s="26"/>
      <c r="N5163" s="26"/>
      <c r="O5163" s="26"/>
      <c r="P5163" s="26"/>
      <c r="Q5163" s="26"/>
      <c r="R5163" s="26"/>
    </row>
    <row r="5164" spans="9:18" x14ac:dyDescent="0.25">
      <c r="I5164" s="46"/>
      <c r="J5164" s="26"/>
      <c r="K5164" s="26"/>
      <c r="L5164" s="26"/>
      <c r="M5164" s="26"/>
      <c r="N5164" s="26"/>
      <c r="O5164" s="26"/>
      <c r="P5164" s="26"/>
      <c r="Q5164" s="26"/>
      <c r="R5164" s="26"/>
    </row>
    <row r="5165" spans="9:18" x14ac:dyDescent="0.25">
      <c r="I5165" s="46"/>
      <c r="J5165" s="26"/>
      <c r="K5165" s="26"/>
      <c r="L5165" s="26"/>
      <c r="M5165" s="26"/>
      <c r="N5165" s="26"/>
      <c r="O5165" s="26"/>
      <c r="P5165" s="26"/>
      <c r="Q5165" s="26"/>
      <c r="R5165" s="26"/>
    </row>
    <row r="5166" spans="9:18" x14ac:dyDescent="0.25">
      <c r="I5166" s="46"/>
      <c r="J5166" s="26"/>
      <c r="K5166" s="26"/>
      <c r="L5166" s="26"/>
      <c r="M5166" s="26"/>
      <c r="N5166" s="26"/>
      <c r="O5166" s="26"/>
      <c r="P5166" s="26"/>
      <c r="Q5166" s="26"/>
      <c r="R5166" s="26"/>
    </row>
    <row r="5167" spans="9:18" x14ac:dyDescent="0.25">
      <c r="I5167" s="46"/>
      <c r="J5167" s="26"/>
      <c r="K5167" s="26"/>
      <c r="L5167" s="26"/>
      <c r="M5167" s="26"/>
      <c r="N5167" s="26"/>
      <c r="O5167" s="26"/>
      <c r="P5167" s="26"/>
      <c r="Q5167" s="26"/>
      <c r="R5167" s="26"/>
    </row>
    <row r="5168" spans="9:18" x14ac:dyDescent="0.25">
      <c r="I5168" s="46"/>
      <c r="J5168" s="26"/>
      <c r="K5168" s="26"/>
      <c r="L5168" s="26"/>
      <c r="M5168" s="26"/>
      <c r="N5168" s="26"/>
      <c r="O5168" s="26"/>
      <c r="P5168" s="26"/>
      <c r="Q5168" s="26"/>
      <c r="R5168" s="26"/>
    </row>
    <row r="5169" spans="9:18" x14ac:dyDescent="0.25">
      <c r="I5169" s="46"/>
      <c r="J5169" s="26"/>
      <c r="K5169" s="26"/>
      <c r="L5169" s="26"/>
      <c r="M5169" s="26"/>
      <c r="N5169" s="26"/>
      <c r="O5169" s="26"/>
      <c r="P5169" s="26"/>
      <c r="Q5169" s="26"/>
      <c r="R5169" s="26"/>
    </row>
    <row r="5170" spans="9:18" x14ac:dyDescent="0.25">
      <c r="I5170" s="46"/>
      <c r="J5170" s="26"/>
      <c r="K5170" s="26"/>
      <c r="L5170" s="26"/>
      <c r="M5170" s="26"/>
      <c r="N5170" s="26"/>
      <c r="O5170" s="26"/>
      <c r="P5170" s="26"/>
      <c r="Q5170" s="26"/>
      <c r="R5170" s="26"/>
    </row>
    <row r="5171" spans="9:18" x14ac:dyDescent="0.25">
      <c r="I5171" s="46"/>
      <c r="J5171" s="26"/>
      <c r="K5171" s="26"/>
      <c r="L5171" s="26"/>
      <c r="M5171" s="26"/>
      <c r="N5171" s="26"/>
      <c r="O5171" s="26"/>
      <c r="P5171" s="26"/>
      <c r="Q5171" s="26"/>
      <c r="R5171" s="26"/>
    </row>
    <row r="5172" spans="9:18" x14ac:dyDescent="0.25">
      <c r="I5172" s="46"/>
      <c r="J5172" s="26"/>
      <c r="K5172" s="26"/>
      <c r="L5172" s="26"/>
      <c r="M5172" s="26"/>
      <c r="N5172" s="26"/>
      <c r="O5172" s="26"/>
      <c r="P5172" s="26"/>
      <c r="Q5172" s="26"/>
      <c r="R5172" s="26"/>
    </row>
    <row r="5173" spans="9:18" x14ac:dyDescent="0.25">
      <c r="I5173" s="46"/>
      <c r="J5173" s="26"/>
      <c r="K5173" s="26"/>
      <c r="L5173" s="26"/>
      <c r="M5173" s="26"/>
      <c r="N5173" s="26"/>
      <c r="O5173" s="26"/>
      <c r="P5173" s="26"/>
      <c r="Q5173" s="26"/>
      <c r="R5173" s="26"/>
    </row>
    <row r="5174" spans="9:18" x14ac:dyDescent="0.25">
      <c r="I5174" s="46"/>
      <c r="J5174" s="26"/>
      <c r="K5174" s="26"/>
      <c r="L5174" s="26"/>
      <c r="M5174" s="26"/>
      <c r="N5174" s="26"/>
      <c r="O5174" s="26"/>
      <c r="P5174" s="26"/>
      <c r="Q5174" s="26"/>
      <c r="R5174" s="26"/>
    </row>
    <row r="5175" spans="9:18" x14ac:dyDescent="0.25">
      <c r="I5175" s="46"/>
      <c r="J5175" s="26"/>
      <c r="K5175" s="26"/>
      <c r="L5175" s="26"/>
      <c r="M5175" s="26"/>
      <c r="N5175" s="26"/>
      <c r="O5175" s="26"/>
      <c r="P5175" s="26"/>
      <c r="Q5175" s="26"/>
      <c r="R5175" s="26"/>
    </row>
    <row r="5176" spans="9:18" x14ac:dyDescent="0.25">
      <c r="I5176" s="46"/>
      <c r="J5176" s="26"/>
      <c r="K5176" s="26"/>
      <c r="L5176" s="26"/>
      <c r="M5176" s="26"/>
      <c r="N5176" s="26"/>
      <c r="O5176" s="26"/>
      <c r="P5176" s="26"/>
      <c r="Q5176" s="26"/>
      <c r="R5176" s="26"/>
    </row>
    <row r="5177" spans="9:18" x14ac:dyDescent="0.25">
      <c r="I5177" s="46"/>
      <c r="J5177" s="26"/>
      <c r="K5177" s="26"/>
      <c r="L5177" s="26"/>
      <c r="M5177" s="26"/>
      <c r="N5177" s="26"/>
      <c r="O5177" s="26"/>
      <c r="P5177" s="26"/>
      <c r="Q5177" s="26"/>
      <c r="R5177" s="26"/>
    </row>
    <row r="5178" spans="9:18" x14ac:dyDescent="0.25">
      <c r="I5178" s="46"/>
      <c r="J5178" s="26"/>
      <c r="K5178" s="26"/>
      <c r="L5178" s="26"/>
      <c r="M5178" s="26"/>
      <c r="N5178" s="26"/>
      <c r="O5178" s="26"/>
      <c r="P5178" s="26"/>
      <c r="Q5178" s="26"/>
      <c r="R5178" s="26"/>
    </row>
    <row r="5179" spans="9:18" x14ac:dyDescent="0.25">
      <c r="I5179" s="46"/>
      <c r="J5179" s="26"/>
      <c r="K5179" s="26"/>
      <c r="L5179" s="26"/>
      <c r="M5179" s="26"/>
      <c r="N5179" s="26"/>
      <c r="O5179" s="26"/>
      <c r="P5179" s="26"/>
      <c r="Q5179" s="26"/>
      <c r="R5179" s="26"/>
    </row>
    <row r="5180" spans="9:18" x14ac:dyDescent="0.25">
      <c r="I5180" s="46"/>
      <c r="J5180" s="26"/>
      <c r="K5180" s="26"/>
      <c r="L5180" s="26"/>
      <c r="M5180" s="26"/>
      <c r="N5180" s="26"/>
      <c r="O5180" s="26"/>
      <c r="P5180" s="26"/>
      <c r="Q5180" s="26"/>
      <c r="R5180" s="26"/>
    </row>
    <row r="5181" spans="9:18" x14ac:dyDescent="0.25">
      <c r="I5181" s="46"/>
      <c r="J5181" s="26"/>
      <c r="K5181" s="26"/>
      <c r="L5181" s="26"/>
      <c r="M5181" s="26"/>
      <c r="N5181" s="26"/>
      <c r="O5181" s="26"/>
      <c r="P5181" s="26"/>
      <c r="Q5181" s="26"/>
      <c r="R5181" s="26"/>
    </row>
    <row r="5182" spans="9:18" x14ac:dyDescent="0.25">
      <c r="I5182" s="46"/>
      <c r="J5182" s="26"/>
      <c r="K5182" s="26"/>
      <c r="L5182" s="26"/>
      <c r="M5182" s="26"/>
      <c r="N5182" s="26"/>
      <c r="O5182" s="26"/>
      <c r="P5182" s="26"/>
      <c r="Q5182" s="26"/>
      <c r="R5182" s="26"/>
    </row>
    <row r="5183" spans="9:18" x14ac:dyDescent="0.25">
      <c r="I5183" s="46"/>
      <c r="J5183" s="26"/>
      <c r="K5183" s="26"/>
      <c r="L5183" s="26"/>
      <c r="M5183" s="26"/>
      <c r="N5183" s="26"/>
      <c r="O5183" s="26"/>
      <c r="P5183" s="26"/>
      <c r="Q5183" s="26"/>
      <c r="R5183" s="26"/>
    </row>
    <row r="5184" spans="9:18" x14ac:dyDescent="0.25">
      <c r="I5184" s="46"/>
      <c r="J5184" s="26"/>
      <c r="K5184" s="26"/>
      <c r="L5184" s="26"/>
      <c r="M5184" s="26"/>
      <c r="N5184" s="26"/>
      <c r="O5184" s="26"/>
      <c r="P5184" s="26"/>
      <c r="Q5184" s="26"/>
      <c r="R5184" s="26"/>
    </row>
    <row r="5185" spans="9:18" x14ac:dyDescent="0.25">
      <c r="I5185" s="46"/>
      <c r="J5185" s="26"/>
      <c r="K5185" s="26"/>
      <c r="L5185" s="26"/>
      <c r="M5185" s="26"/>
      <c r="N5185" s="26"/>
      <c r="O5185" s="26"/>
      <c r="P5185" s="26"/>
      <c r="Q5185" s="26"/>
      <c r="R5185" s="26"/>
    </row>
    <row r="5186" spans="9:18" x14ac:dyDescent="0.25">
      <c r="I5186" s="46"/>
      <c r="J5186" s="26"/>
      <c r="K5186" s="26"/>
      <c r="L5186" s="26"/>
      <c r="M5186" s="26"/>
      <c r="N5186" s="26"/>
      <c r="O5186" s="26"/>
      <c r="P5186" s="26"/>
      <c r="Q5186" s="26"/>
      <c r="R5186" s="26"/>
    </row>
    <row r="5187" spans="9:18" x14ac:dyDescent="0.25">
      <c r="I5187" s="46"/>
      <c r="J5187" s="26"/>
      <c r="K5187" s="26"/>
      <c r="L5187" s="26"/>
      <c r="M5187" s="26"/>
      <c r="N5187" s="26"/>
      <c r="O5187" s="26"/>
      <c r="P5187" s="26"/>
      <c r="Q5187" s="26"/>
      <c r="R5187" s="26"/>
    </row>
    <row r="5188" spans="9:18" x14ac:dyDescent="0.25">
      <c r="I5188" s="46"/>
      <c r="J5188" s="26"/>
      <c r="K5188" s="26"/>
      <c r="L5188" s="26"/>
      <c r="M5188" s="26"/>
      <c r="N5188" s="26"/>
      <c r="O5188" s="26"/>
      <c r="P5188" s="26"/>
      <c r="Q5188" s="26"/>
      <c r="R5188" s="26"/>
    </row>
    <row r="5189" spans="9:18" x14ac:dyDescent="0.25">
      <c r="I5189" s="46"/>
      <c r="J5189" s="26"/>
      <c r="K5189" s="26"/>
      <c r="L5189" s="26"/>
      <c r="M5189" s="26"/>
      <c r="N5189" s="26"/>
      <c r="O5189" s="26"/>
      <c r="P5189" s="26"/>
      <c r="Q5189" s="26"/>
      <c r="R5189" s="26"/>
    </row>
    <row r="5190" spans="9:18" x14ac:dyDescent="0.25">
      <c r="I5190" s="46"/>
      <c r="J5190" s="26"/>
      <c r="K5190" s="26"/>
      <c r="L5190" s="26"/>
      <c r="M5190" s="26"/>
      <c r="N5190" s="26"/>
      <c r="O5190" s="26"/>
      <c r="P5190" s="26"/>
      <c r="Q5190" s="26"/>
      <c r="R5190" s="26"/>
    </row>
    <row r="5191" spans="9:18" x14ac:dyDescent="0.25">
      <c r="I5191" s="46"/>
      <c r="J5191" s="26"/>
      <c r="K5191" s="26"/>
      <c r="L5191" s="26"/>
      <c r="M5191" s="26"/>
      <c r="N5191" s="26"/>
      <c r="O5191" s="26"/>
      <c r="P5191" s="26"/>
      <c r="Q5191" s="26"/>
      <c r="R5191" s="26"/>
    </row>
    <row r="5192" spans="9:18" x14ac:dyDescent="0.25">
      <c r="I5192" s="46"/>
      <c r="J5192" s="26"/>
      <c r="K5192" s="26"/>
      <c r="L5192" s="26"/>
      <c r="M5192" s="26"/>
      <c r="N5192" s="26"/>
      <c r="O5192" s="26"/>
      <c r="P5192" s="26"/>
      <c r="Q5192" s="26"/>
      <c r="R5192" s="26"/>
    </row>
    <row r="5193" spans="9:18" x14ac:dyDescent="0.25">
      <c r="I5193" s="46"/>
      <c r="J5193" s="26"/>
      <c r="K5193" s="26"/>
      <c r="L5193" s="26"/>
      <c r="M5193" s="26"/>
      <c r="N5193" s="26"/>
      <c r="O5193" s="26"/>
      <c r="P5193" s="26"/>
      <c r="Q5193" s="26"/>
      <c r="R5193" s="26"/>
    </row>
    <row r="5194" spans="9:18" x14ac:dyDescent="0.25">
      <c r="I5194" s="46"/>
      <c r="J5194" s="26"/>
      <c r="K5194" s="26"/>
      <c r="L5194" s="26"/>
      <c r="M5194" s="26"/>
      <c r="N5194" s="26"/>
      <c r="O5194" s="26"/>
      <c r="P5194" s="26"/>
      <c r="Q5194" s="26"/>
      <c r="R5194" s="26"/>
    </row>
    <row r="5195" spans="9:18" x14ac:dyDescent="0.25">
      <c r="I5195" s="46"/>
      <c r="J5195" s="26"/>
      <c r="K5195" s="26"/>
      <c r="L5195" s="26"/>
      <c r="M5195" s="26"/>
      <c r="N5195" s="26"/>
      <c r="O5195" s="26"/>
      <c r="P5195" s="26"/>
      <c r="Q5195" s="26"/>
      <c r="R5195" s="26"/>
    </row>
    <row r="5196" spans="9:18" x14ac:dyDescent="0.25">
      <c r="I5196" s="46"/>
      <c r="J5196" s="26"/>
      <c r="K5196" s="26"/>
      <c r="L5196" s="26"/>
      <c r="M5196" s="26"/>
      <c r="N5196" s="26"/>
      <c r="O5196" s="26"/>
      <c r="P5196" s="26"/>
      <c r="Q5196" s="26"/>
      <c r="R5196" s="26"/>
    </row>
    <row r="5197" spans="9:18" x14ac:dyDescent="0.25">
      <c r="I5197" s="46"/>
      <c r="J5197" s="26"/>
      <c r="K5197" s="26"/>
      <c r="L5197" s="26"/>
      <c r="M5197" s="26"/>
      <c r="N5197" s="26"/>
      <c r="O5197" s="26"/>
      <c r="P5197" s="26"/>
      <c r="Q5197" s="26"/>
      <c r="R5197" s="26"/>
    </row>
    <row r="5198" spans="9:18" x14ac:dyDescent="0.25">
      <c r="I5198" s="46"/>
      <c r="J5198" s="26"/>
      <c r="K5198" s="26"/>
      <c r="L5198" s="26"/>
      <c r="M5198" s="26"/>
      <c r="N5198" s="26"/>
      <c r="O5198" s="26"/>
      <c r="P5198" s="26"/>
      <c r="Q5198" s="26"/>
      <c r="R5198" s="26"/>
    </row>
    <row r="5199" spans="9:18" x14ac:dyDescent="0.25">
      <c r="I5199" s="46"/>
      <c r="J5199" s="26"/>
      <c r="K5199" s="26"/>
      <c r="L5199" s="26"/>
      <c r="M5199" s="26"/>
      <c r="N5199" s="26"/>
      <c r="O5199" s="26"/>
      <c r="P5199" s="26"/>
      <c r="Q5199" s="26"/>
      <c r="R5199" s="26"/>
    </row>
    <row r="5200" spans="9:18" x14ac:dyDescent="0.25">
      <c r="I5200" s="46"/>
      <c r="J5200" s="26"/>
      <c r="K5200" s="26"/>
      <c r="L5200" s="26"/>
      <c r="M5200" s="26"/>
      <c r="N5200" s="26"/>
      <c r="O5200" s="26"/>
      <c r="P5200" s="26"/>
      <c r="Q5200" s="26"/>
      <c r="R5200" s="26"/>
    </row>
    <row r="5201" spans="9:18" x14ac:dyDescent="0.25">
      <c r="I5201" s="46"/>
      <c r="J5201" s="26"/>
      <c r="K5201" s="26"/>
      <c r="L5201" s="26"/>
      <c r="M5201" s="26"/>
      <c r="N5201" s="26"/>
      <c r="O5201" s="26"/>
      <c r="P5201" s="26"/>
      <c r="Q5201" s="26"/>
      <c r="R5201" s="26"/>
    </row>
    <row r="5202" spans="9:18" x14ac:dyDescent="0.25">
      <c r="I5202" s="46"/>
      <c r="J5202" s="26"/>
      <c r="K5202" s="26"/>
      <c r="L5202" s="26"/>
      <c r="M5202" s="26"/>
      <c r="N5202" s="26"/>
      <c r="O5202" s="26"/>
      <c r="P5202" s="26"/>
      <c r="Q5202" s="26"/>
      <c r="R5202" s="26"/>
    </row>
    <row r="5203" spans="9:18" x14ac:dyDescent="0.25">
      <c r="I5203" s="46"/>
      <c r="J5203" s="26"/>
      <c r="K5203" s="26"/>
      <c r="L5203" s="26"/>
      <c r="M5203" s="26"/>
      <c r="N5203" s="26"/>
      <c r="O5203" s="26"/>
      <c r="P5203" s="26"/>
      <c r="Q5203" s="26"/>
      <c r="R5203" s="26"/>
    </row>
    <row r="5204" spans="9:18" x14ac:dyDescent="0.25">
      <c r="I5204" s="46"/>
      <c r="J5204" s="26"/>
      <c r="K5204" s="26"/>
      <c r="L5204" s="26"/>
      <c r="M5204" s="26"/>
      <c r="N5204" s="26"/>
      <c r="O5204" s="26"/>
      <c r="P5204" s="26"/>
      <c r="Q5204" s="26"/>
      <c r="R5204" s="26"/>
    </row>
    <row r="5205" spans="9:18" x14ac:dyDescent="0.25">
      <c r="I5205" s="46"/>
      <c r="J5205" s="26"/>
      <c r="K5205" s="26"/>
      <c r="L5205" s="26"/>
      <c r="M5205" s="26"/>
      <c r="N5205" s="26"/>
      <c r="O5205" s="26"/>
      <c r="P5205" s="26"/>
      <c r="Q5205" s="26"/>
      <c r="R5205" s="26"/>
    </row>
    <row r="5206" spans="9:18" x14ac:dyDescent="0.25">
      <c r="I5206" s="46"/>
      <c r="J5206" s="26"/>
      <c r="K5206" s="26"/>
      <c r="L5206" s="26"/>
      <c r="M5206" s="26"/>
      <c r="N5206" s="26"/>
      <c r="O5206" s="26"/>
      <c r="P5206" s="26"/>
      <c r="Q5206" s="26"/>
      <c r="R5206" s="26"/>
    </row>
    <row r="5207" spans="9:18" x14ac:dyDescent="0.25">
      <c r="I5207" s="46"/>
      <c r="J5207" s="26"/>
      <c r="K5207" s="26"/>
      <c r="L5207" s="26"/>
      <c r="M5207" s="26"/>
      <c r="N5207" s="26"/>
      <c r="O5207" s="26"/>
      <c r="P5207" s="26"/>
      <c r="Q5207" s="26"/>
      <c r="R5207" s="26"/>
    </row>
    <row r="5208" spans="9:18" x14ac:dyDescent="0.25">
      <c r="I5208" s="46"/>
      <c r="J5208" s="26"/>
      <c r="K5208" s="26"/>
      <c r="L5208" s="26"/>
      <c r="M5208" s="26"/>
      <c r="N5208" s="26"/>
      <c r="O5208" s="26"/>
      <c r="P5208" s="26"/>
      <c r="Q5208" s="26"/>
      <c r="R5208" s="26"/>
    </row>
    <row r="5209" spans="9:18" x14ac:dyDescent="0.25">
      <c r="I5209" s="46"/>
      <c r="J5209" s="26"/>
      <c r="K5209" s="26"/>
      <c r="L5209" s="26"/>
      <c r="M5209" s="26"/>
      <c r="N5209" s="26"/>
      <c r="O5209" s="26"/>
      <c r="P5209" s="26"/>
      <c r="Q5209" s="26"/>
      <c r="R5209" s="26"/>
    </row>
    <row r="5210" spans="9:18" x14ac:dyDescent="0.25">
      <c r="I5210" s="46"/>
      <c r="J5210" s="26"/>
      <c r="K5210" s="26"/>
      <c r="L5210" s="26"/>
      <c r="M5210" s="26"/>
      <c r="N5210" s="26"/>
      <c r="O5210" s="26"/>
      <c r="P5210" s="26"/>
      <c r="Q5210" s="26"/>
      <c r="R5210" s="26"/>
    </row>
    <row r="5211" spans="9:18" x14ac:dyDescent="0.25">
      <c r="I5211" s="46"/>
      <c r="J5211" s="26"/>
      <c r="K5211" s="26"/>
      <c r="L5211" s="26"/>
      <c r="M5211" s="26"/>
      <c r="N5211" s="26"/>
      <c r="O5211" s="26"/>
      <c r="P5211" s="26"/>
      <c r="Q5211" s="26"/>
      <c r="R5211" s="26"/>
    </row>
    <row r="5212" spans="9:18" x14ac:dyDescent="0.25">
      <c r="I5212" s="46"/>
      <c r="J5212" s="26"/>
      <c r="K5212" s="26"/>
      <c r="L5212" s="26"/>
      <c r="M5212" s="26"/>
      <c r="N5212" s="26"/>
      <c r="O5212" s="26"/>
      <c r="P5212" s="26"/>
      <c r="Q5212" s="26"/>
      <c r="R5212" s="26"/>
    </row>
    <row r="5213" spans="9:18" x14ac:dyDescent="0.25">
      <c r="I5213" s="46"/>
      <c r="J5213" s="26"/>
      <c r="K5213" s="26"/>
      <c r="L5213" s="26"/>
      <c r="M5213" s="26"/>
      <c r="N5213" s="26"/>
      <c r="O5213" s="26"/>
      <c r="P5213" s="26"/>
      <c r="Q5213" s="26"/>
      <c r="R5213" s="26"/>
    </row>
    <row r="5214" spans="9:18" x14ac:dyDescent="0.25">
      <c r="I5214" s="46"/>
      <c r="J5214" s="26"/>
      <c r="K5214" s="26"/>
      <c r="L5214" s="26"/>
      <c r="M5214" s="26"/>
      <c r="N5214" s="26"/>
      <c r="O5214" s="26"/>
      <c r="P5214" s="26"/>
      <c r="Q5214" s="26"/>
      <c r="R5214" s="26"/>
    </row>
    <row r="5215" spans="9:18" x14ac:dyDescent="0.25">
      <c r="I5215" s="46"/>
      <c r="J5215" s="26"/>
      <c r="K5215" s="26"/>
      <c r="L5215" s="26"/>
      <c r="M5215" s="26"/>
      <c r="N5215" s="26"/>
      <c r="O5215" s="26"/>
      <c r="P5215" s="26"/>
      <c r="Q5215" s="26"/>
      <c r="R5215" s="26"/>
    </row>
    <row r="5216" spans="9:18" x14ac:dyDescent="0.25">
      <c r="I5216" s="46"/>
      <c r="J5216" s="26"/>
      <c r="K5216" s="26"/>
      <c r="L5216" s="26"/>
      <c r="M5216" s="26"/>
      <c r="N5216" s="26"/>
      <c r="O5216" s="26"/>
      <c r="P5216" s="26"/>
      <c r="Q5216" s="26"/>
      <c r="R5216" s="26"/>
    </row>
    <row r="5217" spans="9:18" x14ac:dyDescent="0.25">
      <c r="I5217" s="46"/>
      <c r="J5217" s="26"/>
      <c r="K5217" s="26"/>
      <c r="L5217" s="26"/>
      <c r="M5217" s="26"/>
      <c r="N5217" s="26"/>
      <c r="O5217" s="26"/>
      <c r="P5217" s="26"/>
      <c r="Q5217" s="26"/>
      <c r="R5217" s="26"/>
    </row>
    <row r="5218" spans="9:18" x14ac:dyDescent="0.25">
      <c r="I5218" s="46"/>
      <c r="J5218" s="26"/>
      <c r="K5218" s="26"/>
      <c r="L5218" s="26"/>
      <c r="M5218" s="26"/>
      <c r="N5218" s="26"/>
      <c r="O5218" s="26"/>
      <c r="P5218" s="26"/>
      <c r="Q5218" s="26"/>
      <c r="R5218" s="26"/>
    </row>
    <row r="5219" spans="9:18" x14ac:dyDescent="0.25">
      <c r="I5219" s="46"/>
      <c r="J5219" s="26"/>
      <c r="K5219" s="26"/>
      <c r="L5219" s="26"/>
      <c r="M5219" s="26"/>
      <c r="N5219" s="26"/>
      <c r="O5219" s="26"/>
      <c r="P5219" s="26"/>
      <c r="Q5219" s="26"/>
      <c r="R5219" s="26"/>
    </row>
    <row r="5220" spans="9:18" x14ac:dyDescent="0.25">
      <c r="I5220" s="46"/>
      <c r="J5220" s="26"/>
      <c r="K5220" s="26"/>
      <c r="L5220" s="26"/>
      <c r="M5220" s="26"/>
      <c r="N5220" s="26"/>
      <c r="O5220" s="26"/>
      <c r="P5220" s="26"/>
      <c r="Q5220" s="26"/>
      <c r="R5220" s="26"/>
    </row>
    <row r="5221" spans="9:18" x14ac:dyDescent="0.25">
      <c r="I5221" s="46"/>
      <c r="J5221" s="26"/>
      <c r="K5221" s="26"/>
      <c r="L5221" s="26"/>
      <c r="M5221" s="26"/>
      <c r="N5221" s="26"/>
      <c r="O5221" s="26"/>
      <c r="P5221" s="26"/>
      <c r="Q5221" s="26"/>
      <c r="R5221" s="26"/>
    </row>
    <row r="5222" spans="9:18" x14ac:dyDescent="0.25">
      <c r="I5222" s="46"/>
      <c r="J5222" s="26"/>
      <c r="K5222" s="26"/>
      <c r="L5222" s="26"/>
      <c r="M5222" s="26"/>
      <c r="N5222" s="26"/>
      <c r="O5222" s="26"/>
      <c r="P5222" s="26"/>
      <c r="Q5222" s="26"/>
      <c r="R5222" s="26"/>
    </row>
    <row r="5223" spans="9:18" x14ac:dyDescent="0.25">
      <c r="I5223" s="46"/>
      <c r="J5223" s="26"/>
      <c r="K5223" s="26"/>
      <c r="L5223" s="26"/>
      <c r="M5223" s="26"/>
      <c r="N5223" s="26"/>
      <c r="O5223" s="26"/>
      <c r="P5223" s="26"/>
      <c r="Q5223" s="26"/>
      <c r="R5223" s="26"/>
    </row>
    <row r="5224" spans="9:18" x14ac:dyDescent="0.25">
      <c r="I5224" s="46"/>
      <c r="J5224" s="26"/>
      <c r="K5224" s="26"/>
      <c r="L5224" s="26"/>
      <c r="M5224" s="26"/>
      <c r="N5224" s="26"/>
      <c r="O5224" s="26"/>
      <c r="P5224" s="26"/>
      <c r="Q5224" s="26"/>
      <c r="R5224" s="26"/>
    </row>
    <row r="5225" spans="9:18" x14ac:dyDescent="0.25">
      <c r="I5225" s="46"/>
      <c r="J5225" s="26"/>
      <c r="K5225" s="26"/>
      <c r="L5225" s="26"/>
      <c r="M5225" s="26"/>
      <c r="N5225" s="26"/>
      <c r="O5225" s="26"/>
      <c r="P5225" s="26"/>
      <c r="Q5225" s="26"/>
      <c r="R5225" s="26"/>
    </row>
    <row r="5226" spans="9:18" x14ac:dyDescent="0.25">
      <c r="I5226" s="46"/>
      <c r="J5226" s="26"/>
      <c r="K5226" s="26"/>
      <c r="L5226" s="26"/>
      <c r="M5226" s="26"/>
      <c r="N5226" s="26"/>
      <c r="O5226" s="26"/>
      <c r="P5226" s="26"/>
      <c r="Q5226" s="26"/>
      <c r="R5226" s="26"/>
    </row>
    <row r="5227" spans="9:18" x14ac:dyDescent="0.25">
      <c r="I5227" s="46"/>
      <c r="J5227" s="26"/>
      <c r="K5227" s="26"/>
      <c r="L5227" s="26"/>
      <c r="M5227" s="26"/>
      <c r="N5227" s="26"/>
      <c r="O5227" s="26"/>
      <c r="P5227" s="26"/>
      <c r="Q5227" s="26"/>
      <c r="R5227" s="26"/>
    </row>
    <row r="5228" spans="9:18" x14ac:dyDescent="0.25">
      <c r="I5228" s="46"/>
      <c r="J5228" s="26"/>
      <c r="K5228" s="26"/>
      <c r="L5228" s="26"/>
      <c r="M5228" s="26"/>
      <c r="N5228" s="26"/>
      <c r="O5228" s="26"/>
      <c r="P5228" s="26"/>
      <c r="Q5228" s="26"/>
      <c r="R5228" s="26"/>
    </row>
    <row r="5229" spans="9:18" x14ac:dyDescent="0.25">
      <c r="I5229" s="46"/>
      <c r="J5229" s="26"/>
      <c r="K5229" s="26"/>
      <c r="L5229" s="26"/>
      <c r="M5229" s="26"/>
      <c r="N5229" s="26"/>
      <c r="O5229" s="26"/>
      <c r="P5229" s="26"/>
      <c r="Q5229" s="26"/>
      <c r="R5229" s="26"/>
    </row>
    <row r="5230" spans="9:18" x14ac:dyDescent="0.25">
      <c r="I5230" s="46"/>
      <c r="J5230" s="26"/>
      <c r="K5230" s="26"/>
      <c r="L5230" s="26"/>
      <c r="M5230" s="26"/>
      <c r="N5230" s="26"/>
      <c r="O5230" s="26"/>
      <c r="P5230" s="26"/>
      <c r="Q5230" s="26"/>
      <c r="R5230" s="26"/>
    </row>
    <row r="5231" spans="9:18" x14ac:dyDescent="0.25">
      <c r="I5231" s="46"/>
      <c r="J5231" s="26"/>
      <c r="K5231" s="26"/>
      <c r="L5231" s="26"/>
      <c r="M5231" s="26"/>
      <c r="N5231" s="26"/>
      <c r="O5231" s="26"/>
      <c r="P5231" s="26"/>
      <c r="Q5231" s="26"/>
      <c r="R5231" s="26"/>
    </row>
    <row r="5232" spans="9:18" x14ac:dyDescent="0.25">
      <c r="I5232" s="46"/>
      <c r="J5232" s="26"/>
      <c r="K5232" s="26"/>
      <c r="L5232" s="26"/>
      <c r="M5232" s="26"/>
      <c r="N5232" s="26"/>
      <c r="O5232" s="26"/>
      <c r="P5232" s="26"/>
      <c r="Q5232" s="26"/>
      <c r="R5232" s="26"/>
    </row>
    <row r="5233" spans="9:18" x14ac:dyDescent="0.25">
      <c r="I5233" s="46"/>
      <c r="J5233" s="26"/>
      <c r="K5233" s="26"/>
      <c r="L5233" s="26"/>
      <c r="M5233" s="26"/>
      <c r="N5233" s="26"/>
      <c r="O5233" s="26"/>
      <c r="P5233" s="26"/>
      <c r="Q5233" s="26"/>
      <c r="R5233" s="26"/>
    </row>
    <row r="5234" spans="9:18" x14ac:dyDescent="0.25">
      <c r="I5234" s="46"/>
      <c r="J5234" s="26"/>
      <c r="K5234" s="26"/>
      <c r="L5234" s="26"/>
      <c r="M5234" s="26"/>
      <c r="N5234" s="26"/>
      <c r="O5234" s="26"/>
      <c r="P5234" s="26"/>
      <c r="Q5234" s="26"/>
      <c r="R5234" s="26"/>
    </row>
    <row r="5235" spans="9:18" x14ac:dyDescent="0.25">
      <c r="I5235" s="46"/>
      <c r="J5235" s="26"/>
      <c r="K5235" s="26"/>
      <c r="L5235" s="26"/>
      <c r="M5235" s="26"/>
      <c r="N5235" s="26"/>
      <c r="O5235" s="26"/>
      <c r="P5235" s="26"/>
      <c r="Q5235" s="26"/>
      <c r="R5235" s="26"/>
    </row>
    <row r="5236" spans="9:18" x14ac:dyDescent="0.25">
      <c r="I5236" s="46"/>
      <c r="J5236" s="26"/>
      <c r="K5236" s="26"/>
      <c r="L5236" s="26"/>
      <c r="M5236" s="26"/>
      <c r="N5236" s="26"/>
      <c r="O5236" s="26"/>
      <c r="P5236" s="26"/>
      <c r="Q5236" s="26"/>
      <c r="R5236" s="26"/>
    </row>
    <row r="5237" spans="9:18" x14ac:dyDescent="0.25">
      <c r="I5237" s="46"/>
      <c r="J5237" s="26"/>
      <c r="K5237" s="26"/>
      <c r="L5237" s="26"/>
      <c r="M5237" s="26"/>
      <c r="N5237" s="26"/>
      <c r="O5237" s="26"/>
      <c r="P5237" s="26"/>
      <c r="Q5237" s="26"/>
      <c r="R5237" s="26"/>
    </row>
    <row r="5238" spans="9:18" x14ac:dyDescent="0.25">
      <c r="I5238" s="46"/>
      <c r="J5238" s="26"/>
      <c r="K5238" s="26"/>
      <c r="L5238" s="26"/>
      <c r="M5238" s="26"/>
      <c r="N5238" s="26"/>
      <c r="O5238" s="26"/>
      <c r="P5238" s="26"/>
      <c r="Q5238" s="26"/>
      <c r="R5238" s="26"/>
    </row>
    <row r="5239" spans="9:18" x14ac:dyDescent="0.25">
      <c r="I5239" s="46"/>
      <c r="J5239" s="26"/>
      <c r="K5239" s="26"/>
      <c r="L5239" s="26"/>
      <c r="M5239" s="26"/>
      <c r="N5239" s="26"/>
      <c r="O5239" s="26"/>
      <c r="P5239" s="26"/>
      <c r="Q5239" s="26"/>
      <c r="R5239" s="26"/>
    </row>
    <row r="5240" spans="9:18" x14ac:dyDescent="0.25">
      <c r="I5240" s="46"/>
      <c r="J5240" s="26"/>
      <c r="K5240" s="26"/>
      <c r="L5240" s="26"/>
      <c r="M5240" s="26"/>
      <c r="N5240" s="26"/>
      <c r="O5240" s="26"/>
      <c r="P5240" s="26"/>
      <c r="Q5240" s="26"/>
      <c r="R5240" s="26"/>
    </row>
    <row r="5241" spans="9:18" x14ac:dyDescent="0.25">
      <c r="I5241" s="46"/>
      <c r="J5241" s="26"/>
      <c r="K5241" s="26"/>
      <c r="L5241" s="26"/>
      <c r="M5241" s="26"/>
      <c r="N5241" s="26"/>
      <c r="O5241" s="26"/>
      <c r="P5241" s="26"/>
      <c r="Q5241" s="26"/>
      <c r="R5241" s="26"/>
    </row>
    <row r="5242" spans="9:18" x14ac:dyDescent="0.25">
      <c r="I5242" s="46"/>
      <c r="J5242" s="26"/>
      <c r="K5242" s="26"/>
      <c r="L5242" s="26"/>
      <c r="M5242" s="26"/>
      <c r="N5242" s="26"/>
      <c r="O5242" s="26"/>
      <c r="P5242" s="26"/>
      <c r="Q5242" s="26"/>
      <c r="R5242" s="26"/>
    </row>
    <row r="5243" spans="9:18" x14ac:dyDescent="0.25">
      <c r="I5243" s="46"/>
      <c r="J5243" s="26"/>
      <c r="K5243" s="26"/>
      <c r="L5243" s="26"/>
      <c r="M5243" s="26"/>
      <c r="N5243" s="26"/>
      <c r="O5243" s="26"/>
      <c r="P5243" s="26"/>
      <c r="Q5243" s="26"/>
      <c r="R5243" s="26"/>
    </row>
    <row r="5244" spans="9:18" x14ac:dyDescent="0.25">
      <c r="I5244" s="46"/>
      <c r="J5244" s="26"/>
      <c r="K5244" s="26"/>
      <c r="L5244" s="26"/>
      <c r="M5244" s="26"/>
      <c r="N5244" s="26"/>
      <c r="O5244" s="26"/>
      <c r="P5244" s="26"/>
      <c r="Q5244" s="26"/>
      <c r="R5244" s="26"/>
    </row>
    <row r="5245" spans="9:18" x14ac:dyDescent="0.25">
      <c r="I5245" s="46"/>
      <c r="J5245" s="26"/>
      <c r="K5245" s="26"/>
      <c r="L5245" s="26"/>
      <c r="M5245" s="26"/>
      <c r="N5245" s="26"/>
      <c r="O5245" s="26"/>
      <c r="P5245" s="26"/>
      <c r="Q5245" s="26"/>
      <c r="R5245" s="26"/>
    </row>
    <row r="5246" spans="9:18" x14ac:dyDescent="0.25">
      <c r="I5246" s="46"/>
      <c r="J5246" s="26"/>
      <c r="K5246" s="26"/>
      <c r="L5246" s="26"/>
      <c r="M5246" s="26"/>
      <c r="N5246" s="26"/>
      <c r="O5246" s="26"/>
      <c r="P5246" s="26"/>
      <c r="Q5246" s="26"/>
      <c r="R5246" s="26"/>
    </row>
    <row r="5247" spans="9:18" x14ac:dyDescent="0.25">
      <c r="I5247" s="46"/>
      <c r="J5247" s="26"/>
      <c r="K5247" s="26"/>
      <c r="L5247" s="26"/>
      <c r="M5247" s="26"/>
      <c r="N5247" s="26"/>
      <c r="O5247" s="26"/>
      <c r="P5247" s="26"/>
      <c r="Q5247" s="26"/>
      <c r="R5247" s="26"/>
    </row>
    <row r="5248" spans="9:18" x14ac:dyDescent="0.25">
      <c r="I5248" s="46"/>
      <c r="J5248" s="26"/>
      <c r="K5248" s="26"/>
      <c r="L5248" s="26"/>
      <c r="M5248" s="26"/>
      <c r="N5248" s="26"/>
      <c r="O5248" s="26"/>
      <c r="P5248" s="26"/>
      <c r="Q5248" s="26"/>
      <c r="R5248" s="26"/>
    </row>
    <row r="5249" spans="9:18" x14ac:dyDescent="0.25">
      <c r="I5249" s="46"/>
      <c r="J5249" s="26"/>
      <c r="K5249" s="26"/>
      <c r="L5249" s="26"/>
      <c r="M5249" s="26"/>
      <c r="N5249" s="26"/>
      <c r="O5249" s="26"/>
      <c r="P5249" s="26"/>
      <c r="Q5249" s="26"/>
      <c r="R5249" s="26"/>
    </row>
    <row r="5250" spans="9:18" x14ac:dyDescent="0.25">
      <c r="I5250" s="46"/>
      <c r="J5250" s="26"/>
      <c r="K5250" s="26"/>
      <c r="L5250" s="26"/>
      <c r="M5250" s="26"/>
      <c r="N5250" s="26"/>
      <c r="O5250" s="26"/>
      <c r="P5250" s="26"/>
      <c r="Q5250" s="26"/>
      <c r="R5250" s="26"/>
    </row>
    <row r="5251" spans="9:18" x14ac:dyDescent="0.25">
      <c r="I5251" s="46"/>
      <c r="J5251" s="26"/>
      <c r="K5251" s="26"/>
      <c r="L5251" s="26"/>
      <c r="M5251" s="26"/>
      <c r="N5251" s="26"/>
      <c r="O5251" s="26"/>
      <c r="P5251" s="26"/>
      <c r="Q5251" s="26"/>
      <c r="R5251" s="26"/>
    </row>
    <row r="5252" spans="9:18" x14ac:dyDescent="0.25">
      <c r="I5252" s="46"/>
      <c r="J5252" s="26"/>
      <c r="K5252" s="26"/>
      <c r="L5252" s="26"/>
      <c r="M5252" s="26"/>
      <c r="N5252" s="26"/>
      <c r="O5252" s="26"/>
      <c r="P5252" s="26"/>
      <c r="Q5252" s="26"/>
      <c r="R5252" s="26"/>
    </row>
    <row r="5253" spans="9:18" x14ac:dyDescent="0.25">
      <c r="I5253" s="46"/>
      <c r="J5253" s="26"/>
      <c r="K5253" s="26"/>
      <c r="L5253" s="26"/>
      <c r="M5253" s="26"/>
      <c r="N5253" s="26"/>
      <c r="O5253" s="26"/>
      <c r="P5253" s="26"/>
      <c r="Q5253" s="26"/>
      <c r="R5253" s="26"/>
    </row>
    <row r="5254" spans="9:18" x14ac:dyDescent="0.25">
      <c r="I5254" s="46"/>
      <c r="J5254" s="26"/>
      <c r="K5254" s="26"/>
      <c r="L5254" s="26"/>
      <c r="M5254" s="26"/>
      <c r="N5254" s="26"/>
      <c r="O5254" s="26"/>
      <c r="P5254" s="26"/>
      <c r="Q5254" s="26"/>
      <c r="R5254" s="26"/>
    </row>
    <row r="5255" spans="9:18" x14ac:dyDescent="0.25">
      <c r="I5255" s="46"/>
      <c r="J5255" s="26"/>
      <c r="K5255" s="26"/>
      <c r="L5255" s="26"/>
      <c r="M5255" s="26"/>
      <c r="N5255" s="26"/>
      <c r="O5255" s="26"/>
      <c r="P5255" s="26"/>
      <c r="Q5255" s="26"/>
      <c r="R5255" s="26"/>
    </row>
    <row r="5256" spans="9:18" x14ac:dyDescent="0.25">
      <c r="I5256" s="46"/>
      <c r="J5256" s="26"/>
      <c r="K5256" s="26"/>
      <c r="L5256" s="26"/>
      <c r="M5256" s="26"/>
      <c r="N5256" s="26"/>
      <c r="O5256" s="26"/>
      <c r="P5256" s="26"/>
      <c r="Q5256" s="26"/>
      <c r="R5256" s="26"/>
    </row>
    <row r="5257" spans="9:18" x14ac:dyDescent="0.25">
      <c r="I5257" s="46"/>
      <c r="J5257" s="26"/>
      <c r="K5257" s="26"/>
      <c r="L5257" s="26"/>
      <c r="M5257" s="26"/>
      <c r="N5257" s="26"/>
      <c r="O5257" s="26"/>
      <c r="P5257" s="26"/>
      <c r="Q5257" s="26"/>
      <c r="R5257" s="26"/>
    </row>
    <row r="5258" spans="9:18" x14ac:dyDescent="0.25">
      <c r="I5258" s="46"/>
      <c r="J5258" s="26"/>
      <c r="K5258" s="26"/>
      <c r="L5258" s="26"/>
      <c r="M5258" s="26"/>
      <c r="N5258" s="26"/>
      <c r="O5258" s="26"/>
      <c r="P5258" s="26"/>
      <c r="Q5258" s="26"/>
      <c r="R5258" s="26"/>
    </row>
    <row r="5259" spans="9:18" x14ac:dyDescent="0.25">
      <c r="I5259" s="46"/>
      <c r="J5259" s="26"/>
      <c r="K5259" s="26"/>
      <c r="L5259" s="26"/>
      <c r="M5259" s="26"/>
      <c r="N5259" s="26"/>
      <c r="O5259" s="26"/>
      <c r="P5259" s="26"/>
      <c r="Q5259" s="26"/>
      <c r="R5259" s="26"/>
    </row>
    <row r="5260" spans="9:18" x14ac:dyDescent="0.25">
      <c r="I5260" s="46"/>
      <c r="J5260" s="26"/>
      <c r="K5260" s="26"/>
      <c r="L5260" s="26"/>
      <c r="M5260" s="26"/>
      <c r="N5260" s="26"/>
      <c r="O5260" s="26"/>
      <c r="P5260" s="26"/>
      <c r="Q5260" s="26"/>
      <c r="R5260" s="26"/>
    </row>
    <row r="5261" spans="9:18" x14ac:dyDescent="0.25">
      <c r="I5261" s="46"/>
      <c r="J5261" s="26"/>
      <c r="K5261" s="26"/>
      <c r="L5261" s="26"/>
      <c r="M5261" s="26"/>
      <c r="N5261" s="26"/>
      <c r="O5261" s="26"/>
      <c r="P5261" s="26"/>
      <c r="Q5261" s="26"/>
      <c r="R5261" s="26"/>
    </row>
    <row r="5262" spans="9:18" x14ac:dyDescent="0.25">
      <c r="I5262" s="46"/>
      <c r="J5262" s="26"/>
      <c r="K5262" s="26"/>
      <c r="L5262" s="26"/>
      <c r="M5262" s="26"/>
      <c r="N5262" s="26"/>
      <c r="O5262" s="26"/>
      <c r="P5262" s="26"/>
      <c r="Q5262" s="26"/>
      <c r="R5262" s="26"/>
    </row>
    <row r="5263" spans="9:18" x14ac:dyDescent="0.25">
      <c r="I5263" s="46"/>
      <c r="J5263" s="26"/>
      <c r="K5263" s="26"/>
      <c r="L5263" s="26"/>
      <c r="M5263" s="26"/>
      <c r="N5263" s="26"/>
      <c r="O5263" s="26"/>
      <c r="P5263" s="26"/>
      <c r="Q5263" s="26"/>
      <c r="R5263" s="26"/>
    </row>
    <row r="5264" spans="9:18" x14ac:dyDescent="0.25">
      <c r="I5264" s="46"/>
      <c r="J5264" s="26"/>
      <c r="K5264" s="26"/>
      <c r="L5264" s="26"/>
      <c r="M5264" s="26"/>
      <c r="N5264" s="26"/>
      <c r="O5264" s="26"/>
      <c r="P5264" s="26"/>
      <c r="Q5264" s="26"/>
      <c r="R5264" s="26"/>
    </row>
    <row r="5265" spans="9:18" x14ac:dyDescent="0.25">
      <c r="I5265" s="46"/>
      <c r="J5265" s="26"/>
      <c r="K5265" s="26"/>
      <c r="L5265" s="26"/>
      <c r="M5265" s="26"/>
      <c r="N5265" s="26"/>
      <c r="O5265" s="26"/>
      <c r="P5265" s="26"/>
      <c r="Q5265" s="26"/>
      <c r="R5265" s="26"/>
    </row>
    <row r="5266" spans="9:18" x14ac:dyDescent="0.25">
      <c r="I5266" s="46"/>
      <c r="J5266" s="26"/>
      <c r="K5266" s="26"/>
      <c r="L5266" s="26"/>
      <c r="M5266" s="26"/>
      <c r="N5266" s="26"/>
      <c r="O5266" s="26"/>
      <c r="P5266" s="26"/>
      <c r="Q5266" s="26"/>
      <c r="R5266" s="26"/>
    </row>
    <row r="5267" spans="9:18" x14ac:dyDescent="0.25">
      <c r="I5267" s="46"/>
      <c r="J5267" s="26"/>
      <c r="K5267" s="26"/>
      <c r="L5267" s="26"/>
      <c r="M5267" s="26"/>
      <c r="N5267" s="26"/>
      <c r="O5267" s="26"/>
      <c r="P5267" s="26"/>
      <c r="Q5267" s="26"/>
      <c r="R5267" s="26"/>
    </row>
    <row r="5268" spans="9:18" x14ac:dyDescent="0.25">
      <c r="I5268" s="46"/>
      <c r="J5268" s="26"/>
      <c r="K5268" s="26"/>
      <c r="L5268" s="26"/>
      <c r="M5268" s="26"/>
      <c r="N5268" s="26"/>
      <c r="O5268" s="26"/>
      <c r="P5268" s="26"/>
      <c r="Q5268" s="26"/>
      <c r="R5268" s="26"/>
    </row>
    <row r="5269" spans="9:18" x14ac:dyDescent="0.25">
      <c r="I5269" s="46"/>
      <c r="J5269" s="26"/>
      <c r="K5269" s="26"/>
      <c r="L5269" s="26"/>
      <c r="M5269" s="26"/>
      <c r="N5269" s="26"/>
      <c r="O5269" s="26"/>
      <c r="P5269" s="26"/>
      <c r="Q5269" s="26"/>
      <c r="R5269" s="26"/>
    </row>
    <row r="5270" spans="9:18" x14ac:dyDescent="0.25">
      <c r="I5270" s="46"/>
      <c r="J5270" s="26"/>
      <c r="K5270" s="26"/>
      <c r="L5270" s="26"/>
      <c r="M5270" s="26"/>
      <c r="N5270" s="26"/>
      <c r="O5270" s="26"/>
      <c r="P5270" s="26"/>
      <c r="Q5270" s="26"/>
      <c r="R5270" s="26"/>
    </row>
    <row r="5271" spans="9:18" x14ac:dyDescent="0.25">
      <c r="I5271" s="46"/>
      <c r="J5271" s="26"/>
      <c r="K5271" s="26"/>
      <c r="L5271" s="26"/>
      <c r="M5271" s="26"/>
      <c r="N5271" s="26"/>
      <c r="O5271" s="26"/>
      <c r="P5271" s="26"/>
      <c r="Q5271" s="26"/>
      <c r="R5271" s="26"/>
    </row>
    <row r="5272" spans="9:18" x14ac:dyDescent="0.25">
      <c r="I5272" s="46"/>
      <c r="J5272" s="26"/>
      <c r="K5272" s="26"/>
      <c r="L5272" s="26"/>
      <c r="M5272" s="26"/>
      <c r="N5272" s="26"/>
      <c r="O5272" s="26"/>
      <c r="P5272" s="26"/>
      <c r="Q5272" s="26"/>
      <c r="R5272" s="26"/>
    </row>
    <row r="5273" spans="9:18" x14ac:dyDescent="0.25">
      <c r="I5273" s="46"/>
      <c r="J5273" s="26"/>
      <c r="K5273" s="26"/>
      <c r="L5273" s="26"/>
      <c r="M5273" s="26"/>
      <c r="N5273" s="26"/>
      <c r="O5273" s="26"/>
      <c r="P5273" s="26"/>
      <c r="Q5273" s="26"/>
      <c r="R5273" s="26"/>
    </row>
    <row r="5274" spans="9:18" x14ac:dyDescent="0.25">
      <c r="I5274" s="46"/>
      <c r="J5274" s="26"/>
      <c r="K5274" s="26"/>
      <c r="L5274" s="26"/>
      <c r="M5274" s="26"/>
      <c r="N5274" s="26"/>
      <c r="O5274" s="26"/>
      <c r="P5274" s="26"/>
      <c r="Q5274" s="26"/>
      <c r="R5274" s="26"/>
    </row>
    <row r="5275" spans="9:18" x14ac:dyDescent="0.25">
      <c r="I5275" s="46"/>
      <c r="J5275" s="26"/>
      <c r="K5275" s="26"/>
      <c r="L5275" s="26"/>
      <c r="M5275" s="26"/>
      <c r="N5275" s="26"/>
      <c r="O5275" s="26"/>
      <c r="P5275" s="26"/>
      <c r="Q5275" s="26"/>
      <c r="R5275" s="26"/>
    </row>
    <row r="5276" spans="9:18" x14ac:dyDescent="0.25">
      <c r="I5276" s="46"/>
      <c r="J5276" s="26"/>
      <c r="K5276" s="26"/>
      <c r="L5276" s="26"/>
      <c r="M5276" s="26"/>
      <c r="N5276" s="26"/>
      <c r="O5276" s="26"/>
      <c r="P5276" s="26"/>
      <c r="Q5276" s="26"/>
      <c r="R5276" s="26"/>
    </row>
    <row r="5277" spans="9:18" x14ac:dyDescent="0.25">
      <c r="I5277" s="46"/>
      <c r="J5277" s="26"/>
      <c r="K5277" s="26"/>
      <c r="L5277" s="26"/>
      <c r="M5277" s="26"/>
      <c r="N5277" s="26"/>
      <c r="O5277" s="26"/>
      <c r="P5277" s="26"/>
      <c r="Q5277" s="26"/>
      <c r="R5277" s="26"/>
    </row>
    <row r="5278" spans="9:18" x14ac:dyDescent="0.25">
      <c r="I5278" s="46"/>
      <c r="J5278" s="26"/>
      <c r="K5278" s="26"/>
      <c r="L5278" s="26"/>
      <c r="M5278" s="26"/>
      <c r="N5278" s="26"/>
      <c r="O5278" s="26"/>
      <c r="P5278" s="26"/>
      <c r="Q5278" s="26"/>
      <c r="R5278" s="26"/>
    </row>
    <row r="5279" spans="9:18" x14ac:dyDescent="0.25">
      <c r="I5279" s="46"/>
      <c r="J5279" s="26"/>
      <c r="K5279" s="26"/>
      <c r="L5279" s="26"/>
      <c r="M5279" s="26"/>
      <c r="N5279" s="26"/>
      <c r="O5279" s="26"/>
      <c r="P5279" s="26"/>
      <c r="Q5279" s="26"/>
      <c r="R5279" s="26"/>
    </row>
    <row r="5280" spans="9:18" x14ac:dyDescent="0.25">
      <c r="I5280" s="46"/>
      <c r="J5280" s="26"/>
      <c r="K5280" s="26"/>
      <c r="L5280" s="26"/>
      <c r="M5280" s="26"/>
      <c r="N5280" s="26"/>
      <c r="O5280" s="26"/>
      <c r="P5280" s="26"/>
      <c r="Q5280" s="26"/>
      <c r="R5280" s="26"/>
    </row>
    <row r="5281" spans="9:18" x14ac:dyDescent="0.25">
      <c r="I5281" s="46"/>
      <c r="J5281" s="26"/>
      <c r="K5281" s="26"/>
      <c r="L5281" s="26"/>
      <c r="M5281" s="26"/>
      <c r="N5281" s="26"/>
      <c r="O5281" s="26"/>
      <c r="P5281" s="26"/>
      <c r="Q5281" s="26"/>
      <c r="R5281" s="26"/>
    </row>
    <row r="5282" spans="9:18" x14ac:dyDescent="0.25">
      <c r="I5282" s="46"/>
      <c r="J5282" s="26"/>
      <c r="K5282" s="26"/>
      <c r="L5282" s="26"/>
      <c r="M5282" s="26"/>
      <c r="N5282" s="26"/>
      <c r="O5282" s="26"/>
      <c r="P5282" s="26"/>
      <c r="Q5282" s="26"/>
      <c r="R5282" s="26"/>
    </row>
    <row r="5283" spans="9:18" x14ac:dyDescent="0.25">
      <c r="I5283" s="46"/>
      <c r="J5283" s="26"/>
      <c r="K5283" s="26"/>
      <c r="L5283" s="26"/>
      <c r="M5283" s="26"/>
      <c r="N5283" s="26"/>
      <c r="O5283" s="26"/>
      <c r="P5283" s="26"/>
      <c r="Q5283" s="26"/>
      <c r="R5283" s="26"/>
    </row>
    <row r="5284" spans="9:18" x14ac:dyDescent="0.25">
      <c r="I5284" s="46"/>
      <c r="J5284" s="26"/>
      <c r="K5284" s="26"/>
      <c r="L5284" s="26"/>
      <c r="M5284" s="26"/>
      <c r="N5284" s="26"/>
      <c r="O5284" s="26"/>
      <c r="P5284" s="26"/>
      <c r="Q5284" s="26"/>
      <c r="R5284" s="26"/>
    </row>
    <row r="5285" spans="9:18" x14ac:dyDescent="0.25">
      <c r="I5285" s="46"/>
      <c r="J5285" s="26"/>
      <c r="K5285" s="26"/>
      <c r="L5285" s="26"/>
      <c r="M5285" s="26"/>
      <c r="N5285" s="26"/>
      <c r="O5285" s="26"/>
      <c r="P5285" s="26"/>
      <c r="Q5285" s="26"/>
      <c r="R5285" s="26"/>
    </row>
    <row r="5286" spans="9:18" x14ac:dyDescent="0.25">
      <c r="I5286" s="46"/>
      <c r="J5286" s="26"/>
      <c r="K5286" s="26"/>
      <c r="L5286" s="26"/>
      <c r="M5286" s="26"/>
      <c r="N5286" s="26"/>
      <c r="O5286" s="26"/>
      <c r="P5286" s="26"/>
      <c r="Q5286" s="26"/>
      <c r="R5286" s="26"/>
    </row>
    <row r="5287" spans="9:18" x14ac:dyDescent="0.25">
      <c r="I5287" s="46"/>
      <c r="J5287" s="26"/>
      <c r="K5287" s="26"/>
      <c r="L5287" s="26"/>
      <c r="M5287" s="26"/>
      <c r="N5287" s="26"/>
      <c r="O5287" s="26"/>
      <c r="P5287" s="26"/>
      <c r="Q5287" s="26"/>
      <c r="R5287" s="26"/>
    </row>
    <row r="5288" spans="9:18" x14ac:dyDescent="0.25">
      <c r="I5288" s="46"/>
      <c r="J5288" s="26"/>
      <c r="K5288" s="26"/>
      <c r="L5288" s="26"/>
      <c r="M5288" s="26"/>
      <c r="N5288" s="26"/>
      <c r="O5288" s="26"/>
      <c r="P5288" s="26"/>
      <c r="Q5288" s="26"/>
      <c r="R5288" s="26"/>
    </row>
    <row r="5289" spans="9:18" x14ac:dyDescent="0.25">
      <c r="I5289" s="46"/>
      <c r="J5289" s="26"/>
      <c r="K5289" s="26"/>
      <c r="L5289" s="26"/>
      <c r="M5289" s="26"/>
      <c r="N5289" s="26"/>
      <c r="O5289" s="26"/>
      <c r="P5289" s="26"/>
      <c r="Q5289" s="26"/>
      <c r="R5289" s="26"/>
    </row>
    <row r="5290" spans="9:18" x14ac:dyDescent="0.25">
      <c r="I5290" s="46"/>
      <c r="J5290" s="26"/>
      <c r="K5290" s="26"/>
      <c r="L5290" s="26"/>
      <c r="M5290" s="26"/>
      <c r="N5290" s="26"/>
      <c r="O5290" s="26"/>
      <c r="P5290" s="26"/>
      <c r="Q5290" s="26"/>
      <c r="R5290" s="26"/>
    </row>
    <row r="5291" spans="9:18" x14ac:dyDescent="0.25">
      <c r="I5291" s="46"/>
      <c r="J5291" s="26"/>
      <c r="K5291" s="26"/>
      <c r="L5291" s="26"/>
      <c r="M5291" s="26"/>
      <c r="N5291" s="26"/>
      <c r="O5291" s="26"/>
      <c r="P5291" s="26"/>
      <c r="Q5291" s="26"/>
      <c r="R5291" s="26"/>
    </row>
    <row r="5292" spans="9:18" x14ac:dyDescent="0.25">
      <c r="I5292" s="46"/>
      <c r="J5292" s="26"/>
      <c r="K5292" s="26"/>
      <c r="L5292" s="26"/>
      <c r="M5292" s="26"/>
      <c r="N5292" s="26"/>
      <c r="O5292" s="26"/>
      <c r="P5292" s="26"/>
      <c r="Q5292" s="26"/>
      <c r="R5292" s="26"/>
    </row>
    <row r="5293" spans="9:18" x14ac:dyDescent="0.25">
      <c r="I5293" s="46"/>
      <c r="J5293" s="26"/>
      <c r="K5293" s="26"/>
      <c r="L5293" s="26"/>
      <c r="M5293" s="26"/>
      <c r="N5293" s="26"/>
      <c r="O5293" s="26"/>
      <c r="P5293" s="26"/>
      <c r="Q5293" s="26"/>
      <c r="R5293" s="26"/>
    </row>
    <row r="5294" spans="9:18" x14ac:dyDescent="0.25">
      <c r="I5294" s="46"/>
      <c r="J5294" s="26"/>
      <c r="K5294" s="26"/>
      <c r="L5294" s="26"/>
      <c r="M5294" s="26"/>
      <c r="N5294" s="26"/>
      <c r="O5294" s="26"/>
      <c r="P5294" s="26"/>
      <c r="Q5294" s="26"/>
      <c r="R5294" s="26"/>
    </row>
    <row r="5295" spans="9:18" x14ac:dyDescent="0.25">
      <c r="I5295" s="46"/>
      <c r="J5295" s="26"/>
      <c r="K5295" s="26"/>
      <c r="L5295" s="26"/>
      <c r="M5295" s="26"/>
      <c r="N5295" s="26"/>
      <c r="O5295" s="26"/>
      <c r="P5295" s="26"/>
      <c r="Q5295" s="26"/>
      <c r="R5295" s="26"/>
    </row>
    <row r="5296" spans="9:18" x14ac:dyDescent="0.25">
      <c r="I5296" s="46"/>
      <c r="J5296" s="26"/>
      <c r="K5296" s="26"/>
      <c r="L5296" s="26"/>
      <c r="M5296" s="26"/>
      <c r="N5296" s="26"/>
      <c r="O5296" s="26"/>
      <c r="P5296" s="26"/>
      <c r="Q5296" s="26"/>
      <c r="R5296" s="26"/>
    </row>
    <row r="5297" spans="9:18" x14ac:dyDescent="0.25">
      <c r="I5297" s="46"/>
      <c r="J5297" s="26"/>
      <c r="K5297" s="26"/>
      <c r="L5297" s="26"/>
      <c r="M5297" s="26"/>
      <c r="N5297" s="26"/>
      <c r="O5297" s="26"/>
      <c r="P5297" s="26"/>
      <c r="Q5297" s="26"/>
      <c r="R5297" s="26"/>
    </row>
    <row r="5298" spans="9:18" x14ac:dyDescent="0.25">
      <c r="I5298" s="46"/>
      <c r="J5298" s="26"/>
      <c r="K5298" s="26"/>
      <c r="L5298" s="26"/>
      <c r="M5298" s="26"/>
      <c r="N5298" s="26"/>
      <c r="O5298" s="26"/>
      <c r="P5298" s="26"/>
      <c r="Q5298" s="26"/>
      <c r="R5298" s="26"/>
    </row>
    <row r="5299" spans="9:18" x14ac:dyDescent="0.25">
      <c r="I5299" s="46"/>
      <c r="J5299" s="26"/>
      <c r="K5299" s="26"/>
      <c r="L5299" s="26"/>
      <c r="M5299" s="26"/>
      <c r="N5299" s="26"/>
      <c r="O5299" s="26"/>
      <c r="P5299" s="26"/>
      <c r="Q5299" s="26"/>
      <c r="R5299" s="26"/>
    </row>
    <row r="5300" spans="9:18" x14ac:dyDescent="0.25">
      <c r="I5300" s="46"/>
      <c r="J5300" s="26"/>
      <c r="K5300" s="26"/>
      <c r="L5300" s="26"/>
      <c r="M5300" s="26"/>
      <c r="N5300" s="26"/>
      <c r="O5300" s="26"/>
      <c r="P5300" s="26"/>
      <c r="Q5300" s="26"/>
      <c r="R5300" s="26"/>
    </row>
    <row r="5301" spans="9:18" x14ac:dyDescent="0.25">
      <c r="I5301" s="46"/>
      <c r="J5301" s="26"/>
      <c r="K5301" s="26"/>
      <c r="L5301" s="26"/>
      <c r="M5301" s="26"/>
      <c r="N5301" s="26"/>
      <c r="O5301" s="26"/>
      <c r="P5301" s="26"/>
      <c r="Q5301" s="26"/>
      <c r="R5301" s="26"/>
    </row>
    <row r="5302" spans="9:18" x14ac:dyDescent="0.25">
      <c r="I5302" s="46"/>
      <c r="J5302" s="26"/>
      <c r="K5302" s="26"/>
      <c r="L5302" s="26"/>
      <c r="M5302" s="26"/>
      <c r="N5302" s="26"/>
      <c r="O5302" s="26"/>
      <c r="P5302" s="26"/>
      <c r="Q5302" s="26"/>
      <c r="R5302" s="26"/>
    </row>
    <row r="5303" spans="9:18" x14ac:dyDescent="0.25">
      <c r="I5303" s="46"/>
      <c r="J5303" s="26"/>
      <c r="K5303" s="26"/>
      <c r="L5303" s="26"/>
      <c r="M5303" s="26"/>
      <c r="N5303" s="26"/>
      <c r="O5303" s="26"/>
      <c r="P5303" s="26"/>
      <c r="Q5303" s="26"/>
      <c r="R5303" s="26"/>
    </row>
    <row r="5304" spans="9:18" x14ac:dyDescent="0.25">
      <c r="I5304" s="46"/>
      <c r="J5304" s="26"/>
      <c r="K5304" s="26"/>
      <c r="L5304" s="26"/>
      <c r="M5304" s="26"/>
      <c r="N5304" s="26"/>
      <c r="O5304" s="26"/>
      <c r="P5304" s="26"/>
      <c r="Q5304" s="26"/>
      <c r="R5304" s="26"/>
    </row>
    <row r="5305" spans="9:18" x14ac:dyDescent="0.25">
      <c r="I5305" s="46"/>
      <c r="J5305" s="26"/>
      <c r="K5305" s="26"/>
      <c r="L5305" s="26"/>
      <c r="M5305" s="26"/>
      <c r="N5305" s="26"/>
      <c r="O5305" s="26"/>
      <c r="P5305" s="26"/>
      <c r="Q5305" s="26"/>
      <c r="R5305" s="26"/>
    </row>
    <row r="5306" spans="9:18" x14ac:dyDescent="0.25">
      <c r="I5306" s="46"/>
      <c r="J5306" s="26"/>
      <c r="K5306" s="26"/>
      <c r="L5306" s="26"/>
      <c r="M5306" s="26"/>
      <c r="N5306" s="26"/>
      <c r="O5306" s="26"/>
      <c r="P5306" s="26"/>
      <c r="Q5306" s="26"/>
      <c r="R5306" s="26"/>
    </row>
    <row r="5307" spans="9:18" x14ac:dyDescent="0.25">
      <c r="I5307" s="46"/>
      <c r="J5307" s="26"/>
      <c r="K5307" s="26"/>
      <c r="L5307" s="26"/>
      <c r="M5307" s="26"/>
      <c r="N5307" s="26"/>
      <c r="O5307" s="26"/>
      <c r="P5307" s="26"/>
      <c r="Q5307" s="26"/>
      <c r="R5307" s="26"/>
    </row>
    <row r="5308" spans="9:18" x14ac:dyDescent="0.25">
      <c r="I5308" s="46"/>
      <c r="J5308" s="26"/>
      <c r="K5308" s="26"/>
      <c r="L5308" s="26"/>
      <c r="M5308" s="26"/>
      <c r="N5308" s="26"/>
      <c r="O5308" s="26"/>
      <c r="P5308" s="26"/>
      <c r="Q5308" s="26"/>
      <c r="R5308" s="26"/>
    </row>
    <row r="5309" spans="9:18" x14ac:dyDescent="0.25">
      <c r="I5309" s="46"/>
      <c r="J5309" s="26"/>
      <c r="K5309" s="26"/>
      <c r="L5309" s="26"/>
      <c r="M5309" s="26"/>
      <c r="N5309" s="26"/>
      <c r="O5309" s="26"/>
      <c r="P5309" s="26"/>
      <c r="Q5309" s="26"/>
      <c r="R5309" s="26"/>
    </row>
    <row r="5310" spans="9:18" x14ac:dyDescent="0.25">
      <c r="I5310" s="46"/>
      <c r="J5310" s="26"/>
      <c r="K5310" s="26"/>
      <c r="L5310" s="26"/>
      <c r="M5310" s="26"/>
      <c r="N5310" s="26"/>
      <c r="O5310" s="26"/>
      <c r="P5310" s="26"/>
      <c r="Q5310" s="26"/>
      <c r="R5310" s="26"/>
    </row>
    <row r="5311" spans="9:18" x14ac:dyDescent="0.25">
      <c r="I5311" s="46"/>
      <c r="J5311" s="26"/>
      <c r="K5311" s="26"/>
      <c r="L5311" s="26"/>
      <c r="M5311" s="26"/>
      <c r="N5311" s="26"/>
      <c r="O5311" s="26"/>
      <c r="P5311" s="26"/>
      <c r="Q5311" s="26"/>
      <c r="R5311" s="26"/>
    </row>
    <row r="5312" spans="9:18" x14ac:dyDescent="0.25">
      <c r="I5312" s="46"/>
      <c r="J5312" s="26"/>
      <c r="K5312" s="26"/>
      <c r="L5312" s="26"/>
      <c r="M5312" s="26"/>
      <c r="N5312" s="26"/>
      <c r="O5312" s="26"/>
      <c r="P5312" s="26"/>
      <c r="Q5312" s="26"/>
      <c r="R5312" s="26"/>
    </row>
    <row r="5313" spans="9:18" x14ac:dyDescent="0.25">
      <c r="I5313" s="46"/>
      <c r="J5313" s="26"/>
      <c r="K5313" s="26"/>
      <c r="L5313" s="26"/>
      <c r="M5313" s="26"/>
      <c r="N5313" s="26"/>
      <c r="O5313" s="26"/>
      <c r="P5313" s="26"/>
      <c r="Q5313" s="26"/>
      <c r="R5313" s="26"/>
    </row>
    <row r="5314" spans="9:18" x14ac:dyDescent="0.25">
      <c r="I5314" s="46"/>
      <c r="J5314" s="26"/>
      <c r="K5314" s="26"/>
      <c r="L5314" s="26"/>
      <c r="M5314" s="26"/>
      <c r="N5314" s="26"/>
      <c r="O5314" s="26"/>
      <c r="P5314" s="26"/>
      <c r="Q5314" s="26"/>
      <c r="R5314" s="26"/>
    </row>
    <row r="5315" spans="9:18" x14ac:dyDescent="0.25">
      <c r="I5315" s="46"/>
      <c r="J5315" s="26"/>
      <c r="K5315" s="26"/>
      <c r="L5315" s="26"/>
      <c r="M5315" s="26"/>
      <c r="N5315" s="26"/>
      <c r="O5315" s="26"/>
      <c r="P5315" s="26"/>
      <c r="Q5315" s="26"/>
      <c r="R5315" s="26"/>
    </row>
    <row r="5316" spans="9:18" x14ac:dyDescent="0.25">
      <c r="I5316" s="46"/>
      <c r="J5316" s="26"/>
      <c r="K5316" s="26"/>
      <c r="L5316" s="26"/>
      <c r="M5316" s="26"/>
      <c r="N5316" s="26"/>
      <c r="O5316" s="26"/>
      <c r="P5316" s="26"/>
      <c r="Q5316" s="26"/>
      <c r="R5316" s="26"/>
    </row>
    <row r="5317" spans="9:18" x14ac:dyDescent="0.25">
      <c r="I5317" s="46"/>
      <c r="J5317" s="26"/>
      <c r="K5317" s="26"/>
      <c r="L5317" s="26"/>
      <c r="M5317" s="26"/>
      <c r="N5317" s="26"/>
      <c r="O5317" s="26"/>
      <c r="P5317" s="26"/>
      <c r="Q5317" s="26"/>
      <c r="R5317" s="26"/>
    </row>
    <row r="5318" spans="9:18" x14ac:dyDescent="0.25">
      <c r="I5318" s="46"/>
      <c r="J5318" s="26"/>
      <c r="K5318" s="26"/>
      <c r="L5318" s="26"/>
      <c r="M5318" s="26"/>
      <c r="N5318" s="26"/>
      <c r="O5318" s="26"/>
      <c r="P5318" s="26"/>
      <c r="Q5318" s="26"/>
      <c r="R5318" s="26"/>
    </row>
    <row r="5319" spans="9:18" x14ac:dyDescent="0.25">
      <c r="I5319" s="46"/>
      <c r="J5319" s="26"/>
      <c r="K5319" s="26"/>
      <c r="L5319" s="26"/>
      <c r="M5319" s="26"/>
      <c r="N5319" s="26"/>
      <c r="O5319" s="26"/>
      <c r="P5319" s="26"/>
      <c r="Q5319" s="26"/>
      <c r="R5319" s="26"/>
    </row>
    <row r="5320" spans="9:18" x14ac:dyDescent="0.25">
      <c r="I5320" s="46"/>
      <c r="J5320" s="26"/>
      <c r="K5320" s="26"/>
      <c r="L5320" s="26"/>
      <c r="M5320" s="26"/>
      <c r="N5320" s="26"/>
      <c r="O5320" s="26"/>
      <c r="P5320" s="26"/>
      <c r="Q5320" s="26"/>
      <c r="R5320" s="26"/>
    </row>
    <row r="5321" spans="9:18" x14ac:dyDescent="0.25">
      <c r="I5321" s="46"/>
      <c r="J5321" s="26"/>
      <c r="K5321" s="26"/>
      <c r="L5321" s="26"/>
      <c r="M5321" s="26"/>
      <c r="N5321" s="26"/>
      <c r="O5321" s="26"/>
      <c r="P5321" s="26"/>
      <c r="Q5321" s="26"/>
      <c r="R5321" s="26"/>
    </row>
    <row r="5322" spans="9:18" x14ac:dyDescent="0.25">
      <c r="I5322" s="46"/>
      <c r="J5322" s="26"/>
      <c r="K5322" s="26"/>
      <c r="L5322" s="26"/>
      <c r="M5322" s="26"/>
      <c r="N5322" s="26"/>
      <c r="O5322" s="26"/>
      <c r="P5322" s="26"/>
      <c r="Q5322" s="26"/>
      <c r="R5322" s="26"/>
    </row>
    <row r="5323" spans="9:18" x14ac:dyDescent="0.25">
      <c r="I5323" s="46"/>
      <c r="J5323" s="26"/>
      <c r="K5323" s="26"/>
      <c r="L5323" s="26"/>
      <c r="M5323" s="26"/>
      <c r="N5323" s="26"/>
      <c r="O5323" s="26"/>
      <c r="P5323" s="26"/>
      <c r="Q5323" s="26"/>
      <c r="R5323" s="26"/>
    </row>
    <row r="5324" spans="9:18" x14ac:dyDescent="0.25">
      <c r="I5324" s="46"/>
      <c r="J5324" s="26"/>
      <c r="K5324" s="26"/>
      <c r="L5324" s="26"/>
      <c r="M5324" s="26"/>
      <c r="N5324" s="26"/>
      <c r="O5324" s="26"/>
      <c r="P5324" s="26"/>
      <c r="Q5324" s="26"/>
      <c r="R5324" s="26"/>
    </row>
    <row r="5325" spans="9:18" x14ac:dyDescent="0.25">
      <c r="I5325" s="46"/>
      <c r="J5325" s="26"/>
      <c r="K5325" s="26"/>
      <c r="L5325" s="26"/>
      <c r="M5325" s="26"/>
      <c r="N5325" s="26"/>
      <c r="O5325" s="26"/>
      <c r="P5325" s="26"/>
      <c r="Q5325" s="26"/>
      <c r="R5325" s="26"/>
    </row>
    <row r="5326" spans="9:18" x14ac:dyDescent="0.25">
      <c r="I5326" s="46"/>
      <c r="J5326" s="26"/>
      <c r="K5326" s="26"/>
      <c r="L5326" s="26"/>
      <c r="M5326" s="26"/>
      <c r="N5326" s="26"/>
      <c r="O5326" s="26"/>
      <c r="P5326" s="26"/>
      <c r="Q5326" s="26"/>
      <c r="R5326" s="26"/>
    </row>
    <row r="5327" spans="9:18" x14ac:dyDescent="0.25">
      <c r="I5327" s="46"/>
      <c r="J5327" s="26"/>
      <c r="K5327" s="26"/>
      <c r="L5327" s="26"/>
      <c r="M5327" s="26"/>
      <c r="N5327" s="26"/>
      <c r="O5327" s="26"/>
      <c r="P5327" s="26"/>
      <c r="Q5327" s="26"/>
      <c r="R5327" s="26"/>
    </row>
    <row r="5328" spans="9:18" x14ac:dyDescent="0.25">
      <c r="I5328" s="46"/>
      <c r="J5328" s="26"/>
      <c r="K5328" s="26"/>
      <c r="L5328" s="26"/>
      <c r="M5328" s="26"/>
      <c r="N5328" s="26"/>
      <c r="O5328" s="26"/>
      <c r="P5328" s="26"/>
      <c r="Q5328" s="26"/>
      <c r="R5328" s="26"/>
    </row>
    <row r="5329" spans="9:18" x14ac:dyDescent="0.25">
      <c r="I5329" s="46"/>
      <c r="J5329" s="26"/>
      <c r="K5329" s="26"/>
      <c r="L5329" s="26"/>
      <c r="M5329" s="26"/>
      <c r="N5329" s="26"/>
      <c r="O5329" s="26"/>
      <c r="P5329" s="26"/>
      <c r="Q5329" s="26"/>
      <c r="R5329" s="26"/>
    </row>
    <row r="5330" spans="9:18" x14ac:dyDescent="0.25">
      <c r="I5330" s="46"/>
      <c r="J5330" s="26"/>
      <c r="K5330" s="26"/>
      <c r="L5330" s="26"/>
      <c r="M5330" s="26"/>
      <c r="N5330" s="26"/>
      <c r="O5330" s="26"/>
      <c r="P5330" s="26"/>
      <c r="Q5330" s="26"/>
      <c r="R5330" s="26"/>
    </row>
    <row r="5331" spans="9:18" x14ac:dyDescent="0.25">
      <c r="I5331" s="46"/>
      <c r="J5331" s="26"/>
      <c r="K5331" s="26"/>
      <c r="L5331" s="26"/>
      <c r="M5331" s="26"/>
      <c r="N5331" s="26"/>
      <c r="O5331" s="26"/>
      <c r="P5331" s="26"/>
      <c r="Q5331" s="26"/>
      <c r="R5331" s="26"/>
    </row>
    <row r="5332" spans="9:18" x14ac:dyDescent="0.25">
      <c r="I5332" s="46"/>
      <c r="J5332" s="26"/>
      <c r="K5332" s="26"/>
      <c r="L5332" s="26"/>
      <c r="M5332" s="26"/>
      <c r="N5332" s="26"/>
      <c r="O5332" s="26"/>
      <c r="P5332" s="26"/>
      <c r="Q5332" s="26"/>
      <c r="R5332" s="26"/>
    </row>
    <row r="5333" spans="9:18" x14ac:dyDescent="0.25">
      <c r="I5333" s="46"/>
      <c r="J5333" s="26"/>
      <c r="K5333" s="26"/>
      <c r="L5333" s="26"/>
      <c r="M5333" s="26"/>
      <c r="N5333" s="26"/>
      <c r="O5333" s="26"/>
      <c r="P5333" s="26"/>
      <c r="Q5333" s="26"/>
      <c r="R5333" s="26"/>
    </row>
    <row r="5334" spans="9:18" x14ac:dyDescent="0.25">
      <c r="I5334" s="46"/>
      <c r="J5334" s="26"/>
      <c r="K5334" s="26"/>
      <c r="L5334" s="26"/>
      <c r="M5334" s="26"/>
      <c r="N5334" s="26"/>
      <c r="O5334" s="26"/>
      <c r="P5334" s="26"/>
      <c r="Q5334" s="26"/>
      <c r="R5334" s="26"/>
    </row>
    <row r="5335" spans="9:18" x14ac:dyDescent="0.25">
      <c r="I5335" s="46"/>
      <c r="J5335" s="26"/>
      <c r="K5335" s="26"/>
      <c r="L5335" s="26"/>
      <c r="M5335" s="26"/>
      <c r="N5335" s="26"/>
      <c r="O5335" s="26"/>
      <c r="P5335" s="26"/>
      <c r="Q5335" s="26"/>
      <c r="R5335" s="26"/>
    </row>
    <row r="5336" spans="9:18" x14ac:dyDescent="0.25">
      <c r="I5336" s="46"/>
      <c r="J5336" s="26"/>
      <c r="K5336" s="26"/>
      <c r="L5336" s="26"/>
      <c r="M5336" s="26"/>
      <c r="N5336" s="26"/>
      <c r="O5336" s="26"/>
      <c r="P5336" s="26"/>
      <c r="Q5336" s="26"/>
      <c r="R5336" s="26"/>
    </row>
    <row r="5337" spans="9:18" x14ac:dyDescent="0.25">
      <c r="I5337" s="46"/>
      <c r="J5337" s="26"/>
      <c r="K5337" s="26"/>
      <c r="L5337" s="26"/>
      <c r="M5337" s="26"/>
      <c r="N5337" s="26"/>
      <c r="O5337" s="26"/>
      <c r="P5337" s="26"/>
      <c r="Q5337" s="26"/>
      <c r="R5337" s="26"/>
    </row>
    <row r="5338" spans="9:18" x14ac:dyDescent="0.25">
      <c r="I5338" s="46"/>
      <c r="J5338" s="26"/>
      <c r="K5338" s="26"/>
      <c r="L5338" s="26"/>
      <c r="M5338" s="26"/>
      <c r="N5338" s="26"/>
      <c r="O5338" s="26"/>
      <c r="P5338" s="26"/>
      <c r="Q5338" s="26"/>
      <c r="R5338" s="26"/>
    </row>
    <row r="5339" spans="9:18" x14ac:dyDescent="0.25">
      <c r="I5339" s="46"/>
      <c r="J5339" s="26"/>
      <c r="K5339" s="26"/>
      <c r="L5339" s="26"/>
      <c r="M5339" s="26"/>
      <c r="N5339" s="26"/>
      <c r="O5339" s="26"/>
      <c r="P5339" s="26"/>
      <c r="Q5339" s="26"/>
      <c r="R5339" s="26"/>
    </row>
    <row r="5340" spans="9:18" x14ac:dyDescent="0.25">
      <c r="I5340" s="46"/>
      <c r="J5340" s="26"/>
      <c r="K5340" s="26"/>
      <c r="L5340" s="26"/>
      <c r="M5340" s="26"/>
      <c r="N5340" s="26"/>
      <c r="O5340" s="26"/>
      <c r="P5340" s="26"/>
      <c r="Q5340" s="26"/>
      <c r="R5340" s="26"/>
    </row>
    <row r="5341" spans="9:18" x14ac:dyDescent="0.25">
      <c r="I5341" s="46"/>
      <c r="J5341" s="26"/>
      <c r="K5341" s="26"/>
      <c r="L5341" s="26"/>
      <c r="M5341" s="26"/>
      <c r="N5341" s="26"/>
      <c r="O5341" s="26"/>
      <c r="P5341" s="26"/>
      <c r="Q5341" s="26"/>
      <c r="R5341" s="26"/>
    </row>
    <row r="5342" spans="9:18" x14ac:dyDescent="0.25">
      <c r="I5342" s="46"/>
      <c r="J5342" s="26"/>
      <c r="K5342" s="26"/>
      <c r="L5342" s="26"/>
      <c r="M5342" s="26"/>
      <c r="N5342" s="26"/>
      <c r="O5342" s="26"/>
      <c r="P5342" s="26"/>
      <c r="Q5342" s="26"/>
      <c r="R5342" s="26"/>
    </row>
    <row r="5343" spans="9:18" x14ac:dyDescent="0.25">
      <c r="I5343" s="46"/>
      <c r="J5343" s="26"/>
      <c r="K5343" s="26"/>
      <c r="L5343" s="26"/>
      <c r="M5343" s="26"/>
      <c r="N5343" s="26"/>
      <c r="O5343" s="26"/>
      <c r="P5343" s="26"/>
      <c r="Q5343" s="26"/>
      <c r="R5343" s="26"/>
    </row>
    <row r="5344" spans="9:18" x14ac:dyDescent="0.25">
      <c r="I5344" s="46"/>
      <c r="J5344" s="26"/>
      <c r="K5344" s="26"/>
      <c r="L5344" s="26"/>
      <c r="M5344" s="26"/>
      <c r="N5344" s="26"/>
      <c r="O5344" s="26"/>
      <c r="P5344" s="26"/>
      <c r="Q5344" s="26"/>
      <c r="R5344" s="26"/>
    </row>
    <row r="5345" spans="9:18" x14ac:dyDescent="0.25">
      <c r="I5345" s="46"/>
      <c r="J5345" s="26"/>
      <c r="K5345" s="26"/>
      <c r="L5345" s="26"/>
      <c r="M5345" s="26"/>
      <c r="N5345" s="26"/>
      <c r="O5345" s="26"/>
      <c r="P5345" s="26"/>
      <c r="Q5345" s="26"/>
      <c r="R5345" s="26"/>
    </row>
    <row r="5346" spans="9:18" x14ac:dyDescent="0.25">
      <c r="I5346" s="46"/>
      <c r="J5346" s="26"/>
      <c r="K5346" s="26"/>
      <c r="L5346" s="26"/>
      <c r="M5346" s="26"/>
      <c r="N5346" s="26"/>
      <c r="O5346" s="26"/>
      <c r="P5346" s="26"/>
      <c r="Q5346" s="26"/>
      <c r="R5346" s="26"/>
    </row>
    <row r="5347" spans="9:18" x14ac:dyDescent="0.25">
      <c r="I5347" s="46"/>
      <c r="J5347" s="26"/>
      <c r="K5347" s="26"/>
      <c r="L5347" s="26"/>
      <c r="M5347" s="26"/>
      <c r="N5347" s="26"/>
      <c r="O5347" s="26"/>
      <c r="P5347" s="26"/>
      <c r="Q5347" s="26"/>
      <c r="R5347" s="26"/>
    </row>
    <row r="5348" spans="9:18" x14ac:dyDescent="0.25">
      <c r="I5348" s="46"/>
      <c r="J5348" s="26"/>
      <c r="K5348" s="26"/>
      <c r="L5348" s="26"/>
      <c r="M5348" s="26"/>
      <c r="N5348" s="26"/>
      <c r="O5348" s="26"/>
      <c r="P5348" s="26"/>
      <c r="Q5348" s="26"/>
      <c r="R5348" s="26"/>
    </row>
    <row r="5349" spans="9:18" x14ac:dyDescent="0.25">
      <c r="I5349" s="46"/>
      <c r="J5349" s="26"/>
      <c r="K5349" s="26"/>
      <c r="L5349" s="26"/>
      <c r="M5349" s="26"/>
      <c r="N5349" s="26"/>
      <c r="O5349" s="26"/>
      <c r="P5349" s="26"/>
      <c r="Q5349" s="26"/>
      <c r="R5349" s="26"/>
    </row>
    <row r="5350" spans="9:18" x14ac:dyDescent="0.25">
      <c r="I5350" s="46"/>
      <c r="J5350" s="26"/>
      <c r="K5350" s="26"/>
      <c r="L5350" s="26"/>
      <c r="M5350" s="26"/>
      <c r="N5350" s="26"/>
      <c r="O5350" s="26"/>
      <c r="P5350" s="26"/>
      <c r="Q5350" s="26"/>
      <c r="R5350" s="26"/>
    </row>
    <row r="5351" spans="9:18" x14ac:dyDescent="0.25">
      <c r="I5351" s="46"/>
      <c r="J5351" s="26"/>
      <c r="K5351" s="26"/>
      <c r="L5351" s="26"/>
      <c r="M5351" s="26"/>
      <c r="N5351" s="26"/>
      <c r="O5351" s="26"/>
      <c r="P5351" s="26"/>
      <c r="Q5351" s="26"/>
      <c r="R5351" s="26"/>
    </row>
    <row r="5352" spans="9:18" x14ac:dyDescent="0.25">
      <c r="I5352" s="46"/>
      <c r="J5352" s="26"/>
      <c r="K5352" s="26"/>
      <c r="L5352" s="26"/>
      <c r="M5352" s="26"/>
      <c r="N5352" s="26"/>
      <c r="O5352" s="26"/>
      <c r="P5352" s="26"/>
      <c r="Q5352" s="26"/>
      <c r="R5352" s="26"/>
    </row>
    <row r="5353" spans="9:18" x14ac:dyDescent="0.25">
      <c r="I5353" s="46"/>
      <c r="J5353" s="26"/>
      <c r="K5353" s="26"/>
      <c r="L5353" s="26"/>
      <c r="M5353" s="26"/>
      <c r="N5353" s="26"/>
      <c r="O5353" s="26"/>
      <c r="P5353" s="26"/>
      <c r="Q5353" s="26"/>
      <c r="R5353" s="26"/>
    </row>
    <row r="5354" spans="9:18" x14ac:dyDescent="0.25">
      <c r="I5354" s="46"/>
      <c r="J5354" s="26"/>
      <c r="K5354" s="26"/>
      <c r="L5354" s="26"/>
      <c r="M5354" s="26"/>
      <c r="N5354" s="26"/>
      <c r="O5354" s="26"/>
      <c r="P5354" s="26"/>
      <c r="Q5354" s="26"/>
      <c r="R5354" s="26"/>
    </row>
    <row r="5355" spans="9:18" x14ac:dyDescent="0.25">
      <c r="I5355" s="46"/>
      <c r="J5355" s="26"/>
      <c r="K5355" s="26"/>
      <c r="L5355" s="26"/>
      <c r="M5355" s="26"/>
      <c r="N5355" s="26"/>
      <c r="O5355" s="26"/>
      <c r="P5355" s="26"/>
      <c r="Q5355" s="26"/>
      <c r="R5355" s="26"/>
    </row>
    <row r="5356" spans="9:18" x14ac:dyDescent="0.25">
      <c r="I5356" s="46"/>
      <c r="J5356" s="26"/>
      <c r="K5356" s="26"/>
      <c r="L5356" s="26"/>
      <c r="M5356" s="26"/>
      <c r="N5356" s="26"/>
      <c r="O5356" s="26"/>
      <c r="P5356" s="26"/>
      <c r="Q5356" s="26"/>
      <c r="R5356" s="26"/>
    </row>
    <row r="5357" spans="9:18" x14ac:dyDescent="0.25">
      <c r="I5357" s="46"/>
      <c r="J5357" s="26"/>
      <c r="K5357" s="26"/>
      <c r="L5357" s="26"/>
      <c r="M5357" s="26"/>
      <c r="N5357" s="26"/>
      <c r="O5357" s="26"/>
      <c r="P5357" s="26"/>
      <c r="Q5357" s="26"/>
      <c r="R5357" s="26"/>
    </row>
    <row r="5358" spans="9:18" x14ac:dyDescent="0.25">
      <c r="I5358" s="46"/>
      <c r="J5358" s="26"/>
      <c r="K5358" s="26"/>
      <c r="L5358" s="26"/>
      <c r="M5358" s="26"/>
      <c r="N5358" s="26"/>
      <c r="O5358" s="26"/>
      <c r="P5358" s="26"/>
      <c r="Q5358" s="26"/>
      <c r="R5358" s="26"/>
    </row>
    <row r="5359" spans="9:18" x14ac:dyDescent="0.25">
      <c r="I5359" s="46"/>
      <c r="J5359" s="26"/>
      <c r="K5359" s="26"/>
      <c r="L5359" s="26"/>
      <c r="M5359" s="26"/>
      <c r="N5359" s="26"/>
      <c r="O5359" s="26"/>
      <c r="P5359" s="26"/>
      <c r="Q5359" s="26"/>
      <c r="R5359" s="26"/>
    </row>
    <row r="5360" spans="9:18" x14ac:dyDescent="0.25">
      <c r="I5360" s="46"/>
      <c r="J5360" s="26"/>
      <c r="K5360" s="26"/>
      <c r="L5360" s="26"/>
      <c r="M5360" s="26"/>
      <c r="N5360" s="26"/>
      <c r="O5360" s="26"/>
      <c r="P5360" s="26"/>
      <c r="Q5360" s="26"/>
      <c r="R5360" s="26"/>
    </row>
    <row r="5361" spans="9:18" x14ac:dyDescent="0.25">
      <c r="I5361" s="46"/>
      <c r="J5361" s="26"/>
      <c r="K5361" s="26"/>
      <c r="L5361" s="26"/>
      <c r="M5361" s="26"/>
      <c r="N5361" s="26"/>
      <c r="O5361" s="26"/>
      <c r="P5361" s="26"/>
      <c r="Q5361" s="26"/>
      <c r="R5361" s="26"/>
    </row>
    <row r="5362" spans="9:18" x14ac:dyDescent="0.25">
      <c r="I5362" s="46"/>
      <c r="J5362" s="26"/>
      <c r="K5362" s="26"/>
      <c r="L5362" s="26"/>
      <c r="M5362" s="26"/>
      <c r="N5362" s="26"/>
      <c r="O5362" s="26"/>
      <c r="P5362" s="26"/>
      <c r="Q5362" s="26"/>
      <c r="R5362" s="26"/>
    </row>
    <row r="5363" spans="9:18" x14ac:dyDescent="0.25">
      <c r="I5363" s="46"/>
      <c r="J5363" s="26"/>
      <c r="K5363" s="26"/>
      <c r="L5363" s="26"/>
      <c r="M5363" s="26"/>
      <c r="N5363" s="26"/>
      <c r="O5363" s="26"/>
      <c r="P5363" s="26"/>
      <c r="Q5363" s="26"/>
      <c r="R5363" s="26"/>
    </row>
    <row r="5364" spans="9:18" x14ac:dyDescent="0.25">
      <c r="I5364" s="46"/>
      <c r="J5364" s="26"/>
      <c r="K5364" s="26"/>
      <c r="L5364" s="26"/>
      <c r="M5364" s="26"/>
      <c r="N5364" s="26"/>
      <c r="O5364" s="26"/>
      <c r="P5364" s="26"/>
      <c r="Q5364" s="26"/>
      <c r="R5364" s="26"/>
    </row>
    <row r="5365" spans="9:18" x14ac:dyDescent="0.25">
      <c r="I5365" s="46"/>
      <c r="J5365" s="26"/>
      <c r="K5365" s="26"/>
      <c r="L5365" s="26"/>
      <c r="M5365" s="26"/>
      <c r="N5365" s="26"/>
      <c r="O5365" s="26"/>
      <c r="P5365" s="26"/>
      <c r="Q5365" s="26"/>
      <c r="R5365" s="26"/>
    </row>
    <row r="5366" spans="9:18" x14ac:dyDescent="0.25">
      <c r="I5366" s="46"/>
      <c r="J5366" s="26"/>
      <c r="K5366" s="26"/>
      <c r="L5366" s="26"/>
      <c r="M5366" s="26"/>
      <c r="N5366" s="26"/>
      <c r="O5366" s="26"/>
      <c r="P5366" s="26"/>
      <c r="Q5366" s="26"/>
      <c r="R5366" s="26"/>
    </row>
    <row r="5367" spans="9:18" x14ac:dyDescent="0.25">
      <c r="I5367" s="46"/>
      <c r="J5367" s="26"/>
      <c r="K5367" s="26"/>
      <c r="L5367" s="26"/>
      <c r="M5367" s="26"/>
      <c r="N5367" s="26"/>
      <c r="O5367" s="26"/>
      <c r="P5367" s="26"/>
      <c r="Q5367" s="26"/>
      <c r="R5367" s="26"/>
    </row>
    <row r="5368" spans="9:18" x14ac:dyDescent="0.25">
      <c r="I5368" s="46"/>
      <c r="J5368" s="26"/>
      <c r="K5368" s="26"/>
      <c r="L5368" s="26"/>
      <c r="M5368" s="26"/>
      <c r="N5368" s="26"/>
      <c r="O5368" s="26"/>
      <c r="P5368" s="26"/>
      <c r="Q5368" s="26"/>
      <c r="R5368" s="26"/>
    </row>
    <row r="5369" spans="9:18" x14ac:dyDescent="0.25">
      <c r="I5369" s="46"/>
      <c r="J5369" s="26"/>
      <c r="K5369" s="26"/>
      <c r="L5369" s="26"/>
      <c r="M5369" s="26"/>
      <c r="N5369" s="26"/>
      <c r="O5369" s="26"/>
      <c r="P5369" s="26"/>
      <c r="Q5369" s="26"/>
      <c r="R5369" s="26"/>
    </row>
    <row r="5370" spans="9:18" x14ac:dyDescent="0.25">
      <c r="I5370" s="46"/>
      <c r="J5370" s="26"/>
      <c r="K5370" s="26"/>
      <c r="L5370" s="26"/>
      <c r="M5370" s="26"/>
      <c r="N5370" s="26"/>
      <c r="O5370" s="26"/>
      <c r="P5370" s="26"/>
      <c r="Q5370" s="26"/>
      <c r="R5370" s="26"/>
    </row>
    <row r="5371" spans="9:18" x14ac:dyDescent="0.25">
      <c r="I5371" s="46"/>
      <c r="J5371" s="26"/>
      <c r="K5371" s="26"/>
      <c r="L5371" s="26"/>
      <c r="M5371" s="26"/>
      <c r="N5371" s="26"/>
      <c r="O5371" s="26"/>
      <c r="P5371" s="26"/>
      <c r="Q5371" s="26"/>
      <c r="R5371" s="26"/>
    </row>
    <row r="5372" spans="9:18" x14ac:dyDescent="0.25">
      <c r="I5372" s="46"/>
      <c r="J5372" s="26"/>
      <c r="K5372" s="26"/>
      <c r="L5372" s="26"/>
      <c r="M5372" s="26"/>
      <c r="N5372" s="26"/>
      <c r="O5372" s="26"/>
      <c r="P5372" s="26"/>
      <c r="Q5372" s="26"/>
      <c r="R5372" s="26"/>
    </row>
    <row r="5373" spans="9:18" x14ac:dyDescent="0.25">
      <c r="I5373" s="46"/>
      <c r="J5373" s="26"/>
      <c r="K5373" s="26"/>
      <c r="L5373" s="26"/>
      <c r="M5373" s="26"/>
      <c r="N5373" s="26"/>
      <c r="O5373" s="26"/>
      <c r="P5373" s="26"/>
      <c r="Q5373" s="26"/>
      <c r="R5373" s="26"/>
    </row>
    <row r="5374" spans="9:18" x14ac:dyDescent="0.25">
      <c r="I5374" s="46"/>
      <c r="J5374" s="26"/>
      <c r="K5374" s="26"/>
      <c r="L5374" s="26"/>
      <c r="M5374" s="26"/>
      <c r="N5374" s="26"/>
      <c r="O5374" s="26"/>
      <c r="P5374" s="26"/>
      <c r="Q5374" s="26"/>
      <c r="R5374" s="26"/>
    </row>
    <row r="5375" spans="9:18" x14ac:dyDescent="0.25">
      <c r="I5375" s="46"/>
      <c r="J5375" s="26"/>
      <c r="K5375" s="26"/>
      <c r="L5375" s="26"/>
      <c r="M5375" s="26"/>
      <c r="N5375" s="26"/>
      <c r="O5375" s="26"/>
      <c r="P5375" s="26"/>
      <c r="Q5375" s="26"/>
      <c r="R5375" s="26"/>
    </row>
    <row r="5376" spans="9:18" x14ac:dyDescent="0.25">
      <c r="I5376" s="46"/>
      <c r="J5376" s="26"/>
      <c r="K5376" s="26"/>
      <c r="L5376" s="26"/>
      <c r="M5376" s="26"/>
      <c r="N5376" s="26"/>
      <c r="O5376" s="26"/>
      <c r="P5376" s="26"/>
      <c r="Q5376" s="26"/>
      <c r="R5376" s="26"/>
    </row>
    <row r="5377" spans="9:18" x14ac:dyDescent="0.25">
      <c r="I5377" s="46"/>
      <c r="J5377" s="26"/>
      <c r="K5377" s="26"/>
      <c r="L5377" s="26"/>
      <c r="M5377" s="26"/>
      <c r="N5377" s="26"/>
      <c r="O5377" s="26"/>
      <c r="P5377" s="26"/>
      <c r="Q5377" s="26"/>
      <c r="R5377" s="26"/>
    </row>
    <row r="5378" spans="9:18" x14ac:dyDescent="0.25">
      <c r="I5378" s="46"/>
      <c r="J5378" s="26"/>
      <c r="K5378" s="26"/>
      <c r="L5378" s="26"/>
      <c r="M5378" s="26"/>
      <c r="N5378" s="26"/>
      <c r="O5378" s="26"/>
      <c r="P5378" s="26"/>
      <c r="Q5378" s="26"/>
      <c r="R5378" s="26"/>
    </row>
    <row r="5379" spans="9:18" x14ac:dyDescent="0.25">
      <c r="I5379" s="46"/>
      <c r="J5379" s="26"/>
      <c r="K5379" s="26"/>
      <c r="L5379" s="26"/>
      <c r="M5379" s="26"/>
      <c r="N5379" s="26"/>
      <c r="O5379" s="26"/>
      <c r="P5379" s="26"/>
      <c r="Q5379" s="26"/>
      <c r="R5379" s="26"/>
    </row>
    <row r="5380" spans="9:18" x14ac:dyDescent="0.25">
      <c r="I5380" s="46"/>
      <c r="J5380" s="26"/>
      <c r="K5380" s="26"/>
      <c r="L5380" s="26"/>
      <c r="M5380" s="26"/>
      <c r="N5380" s="26"/>
      <c r="O5380" s="26"/>
      <c r="P5380" s="26"/>
      <c r="Q5380" s="26"/>
      <c r="R5380" s="26"/>
    </row>
    <row r="5381" spans="9:18" x14ac:dyDescent="0.25">
      <c r="I5381" s="46"/>
      <c r="J5381" s="26"/>
      <c r="K5381" s="26"/>
      <c r="L5381" s="26"/>
      <c r="M5381" s="26"/>
      <c r="N5381" s="26"/>
      <c r="O5381" s="26"/>
      <c r="P5381" s="26"/>
      <c r="Q5381" s="26"/>
      <c r="R5381" s="26"/>
    </row>
    <row r="5382" spans="9:18" x14ac:dyDescent="0.25">
      <c r="I5382" s="46"/>
      <c r="J5382" s="26"/>
      <c r="K5382" s="26"/>
      <c r="L5382" s="26"/>
      <c r="M5382" s="26"/>
      <c r="N5382" s="26"/>
      <c r="O5382" s="26"/>
      <c r="P5382" s="26"/>
      <c r="Q5382" s="26"/>
      <c r="R5382" s="26"/>
    </row>
    <row r="5383" spans="9:18" x14ac:dyDescent="0.25">
      <c r="I5383" s="46"/>
      <c r="J5383" s="26"/>
      <c r="K5383" s="26"/>
      <c r="L5383" s="26"/>
      <c r="M5383" s="26"/>
      <c r="N5383" s="26"/>
      <c r="O5383" s="26"/>
      <c r="P5383" s="26"/>
      <c r="Q5383" s="26"/>
      <c r="R5383" s="26"/>
    </row>
    <row r="5384" spans="9:18" x14ac:dyDescent="0.25">
      <c r="I5384" s="46"/>
      <c r="J5384" s="26"/>
      <c r="K5384" s="26"/>
      <c r="L5384" s="26"/>
      <c r="M5384" s="26"/>
      <c r="N5384" s="26"/>
      <c r="O5384" s="26"/>
      <c r="P5384" s="26"/>
      <c r="Q5384" s="26"/>
      <c r="R5384" s="26"/>
    </row>
    <row r="5385" spans="9:18" x14ac:dyDescent="0.25">
      <c r="I5385" s="46"/>
      <c r="J5385" s="26"/>
      <c r="K5385" s="26"/>
      <c r="L5385" s="26"/>
      <c r="M5385" s="26"/>
      <c r="N5385" s="26"/>
      <c r="O5385" s="26"/>
      <c r="P5385" s="26"/>
      <c r="Q5385" s="26"/>
      <c r="R5385" s="26"/>
    </row>
    <row r="5386" spans="9:18" x14ac:dyDescent="0.25">
      <c r="I5386" s="46"/>
      <c r="J5386" s="26"/>
      <c r="K5386" s="26"/>
      <c r="L5386" s="26"/>
      <c r="M5386" s="26"/>
      <c r="N5386" s="26"/>
      <c r="O5386" s="26"/>
      <c r="P5386" s="26"/>
      <c r="Q5386" s="26"/>
      <c r="R5386" s="26"/>
    </row>
    <row r="5387" spans="9:18" x14ac:dyDescent="0.25">
      <c r="I5387" s="46"/>
      <c r="J5387" s="26"/>
      <c r="K5387" s="26"/>
      <c r="L5387" s="26"/>
      <c r="M5387" s="26"/>
      <c r="N5387" s="26"/>
      <c r="O5387" s="26"/>
      <c r="P5387" s="26"/>
      <c r="Q5387" s="26"/>
      <c r="R5387" s="26"/>
    </row>
    <row r="5388" spans="9:18" x14ac:dyDescent="0.25">
      <c r="I5388" s="46"/>
      <c r="J5388" s="26"/>
      <c r="K5388" s="26"/>
      <c r="L5388" s="26"/>
      <c r="M5388" s="26"/>
      <c r="N5388" s="26"/>
      <c r="O5388" s="26"/>
      <c r="P5388" s="26"/>
      <c r="Q5388" s="26"/>
      <c r="R5388" s="26"/>
    </row>
    <row r="5389" spans="9:18" x14ac:dyDescent="0.25">
      <c r="I5389" s="46"/>
      <c r="J5389" s="26"/>
      <c r="K5389" s="26"/>
      <c r="L5389" s="26"/>
      <c r="M5389" s="26"/>
      <c r="N5389" s="26"/>
      <c r="O5389" s="26"/>
      <c r="P5389" s="26"/>
      <c r="Q5389" s="26"/>
      <c r="R5389" s="26"/>
    </row>
    <row r="5390" spans="9:18" x14ac:dyDescent="0.25">
      <c r="I5390" s="46"/>
      <c r="J5390" s="26"/>
      <c r="K5390" s="26"/>
      <c r="L5390" s="26"/>
      <c r="M5390" s="26"/>
      <c r="N5390" s="26"/>
      <c r="O5390" s="26"/>
      <c r="P5390" s="26"/>
      <c r="Q5390" s="26"/>
      <c r="R5390" s="26"/>
    </row>
    <row r="5391" spans="9:18" x14ac:dyDescent="0.25">
      <c r="I5391" s="46"/>
      <c r="J5391" s="26"/>
      <c r="K5391" s="26"/>
      <c r="L5391" s="26"/>
      <c r="M5391" s="26"/>
      <c r="N5391" s="26"/>
      <c r="O5391" s="26"/>
      <c r="P5391" s="26"/>
      <c r="Q5391" s="26"/>
      <c r="R5391" s="26"/>
    </row>
    <row r="5392" spans="9:18" x14ac:dyDescent="0.25">
      <c r="I5392" s="46"/>
      <c r="J5392" s="26"/>
      <c r="K5392" s="26"/>
      <c r="L5392" s="26"/>
      <c r="M5392" s="26"/>
      <c r="N5392" s="26"/>
      <c r="O5392" s="26"/>
      <c r="P5392" s="26"/>
      <c r="Q5392" s="26"/>
      <c r="R5392" s="26"/>
    </row>
    <row r="5393" spans="9:18" x14ac:dyDescent="0.25">
      <c r="I5393" s="46"/>
      <c r="J5393" s="26"/>
      <c r="K5393" s="26"/>
      <c r="L5393" s="26"/>
      <c r="M5393" s="26"/>
      <c r="N5393" s="26"/>
      <c r="O5393" s="26"/>
      <c r="P5393" s="26"/>
      <c r="Q5393" s="26"/>
      <c r="R5393" s="26"/>
    </row>
    <row r="5394" spans="9:18" x14ac:dyDescent="0.25">
      <c r="I5394" s="46"/>
      <c r="J5394" s="26"/>
      <c r="K5394" s="26"/>
      <c r="L5394" s="26"/>
      <c r="M5394" s="26"/>
      <c r="N5394" s="26"/>
      <c r="O5394" s="26"/>
      <c r="P5394" s="26"/>
      <c r="Q5394" s="26"/>
      <c r="R5394" s="26"/>
    </row>
    <row r="5395" spans="9:18" x14ac:dyDescent="0.25">
      <c r="I5395" s="46"/>
      <c r="J5395" s="26"/>
      <c r="K5395" s="26"/>
      <c r="L5395" s="26"/>
      <c r="M5395" s="26"/>
      <c r="N5395" s="26"/>
      <c r="O5395" s="26"/>
      <c r="P5395" s="26"/>
      <c r="Q5395" s="26"/>
      <c r="R5395" s="26"/>
    </row>
    <row r="5396" spans="9:18" x14ac:dyDescent="0.25">
      <c r="I5396" s="46"/>
      <c r="J5396" s="26"/>
      <c r="K5396" s="26"/>
      <c r="L5396" s="26"/>
      <c r="M5396" s="26"/>
      <c r="N5396" s="26"/>
      <c r="O5396" s="26"/>
      <c r="P5396" s="26"/>
      <c r="Q5396" s="26"/>
      <c r="R5396" s="26"/>
    </row>
    <row r="5397" spans="9:18" x14ac:dyDescent="0.25">
      <c r="I5397" s="46"/>
      <c r="J5397" s="26"/>
      <c r="K5397" s="26"/>
      <c r="L5397" s="26"/>
      <c r="M5397" s="26"/>
      <c r="N5397" s="26"/>
      <c r="O5397" s="26"/>
      <c r="P5397" s="26"/>
      <c r="Q5397" s="26"/>
      <c r="R5397" s="26"/>
    </row>
    <row r="5398" spans="9:18" x14ac:dyDescent="0.25">
      <c r="I5398" s="46"/>
      <c r="J5398" s="26"/>
      <c r="K5398" s="26"/>
      <c r="L5398" s="26"/>
      <c r="M5398" s="26"/>
      <c r="N5398" s="26"/>
      <c r="O5398" s="26"/>
      <c r="P5398" s="26"/>
      <c r="Q5398" s="26"/>
      <c r="R5398" s="26"/>
    </row>
    <row r="5399" spans="9:18" x14ac:dyDescent="0.25">
      <c r="I5399" s="46"/>
      <c r="J5399" s="26"/>
      <c r="K5399" s="26"/>
      <c r="L5399" s="26"/>
      <c r="M5399" s="26"/>
      <c r="N5399" s="26"/>
      <c r="O5399" s="26"/>
      <c r="P5399" s="26"/>
      <c r="Q5399" s="26"/>
      <c r="R5399" s="26"/>
    </row>
    <row r="5400" spans="9:18" x14ac:dyDescent="0.25">
      <c r="I5400" s="46"/>
      <c r="J5400" s="26"/>
      <c r="K5400" s="26"/>
      <c r="L5400" s="26"/>
      <c r="M5400" s="26"/>
      <c r="N5400" s="26"/>
      <c r="O5400" s="26"/>
      <c r="P5400" s="26"/>
      <c r="Q5400" s="26"/>
      <c r="R5400" s="26"/>
    </row>
    <row r="5401" spans="9:18" x14ac:dyDescent="0.25">
      <c r="I5401" s="46"/>
      <c r="J5401" s="26"/>
      <c r="K5401" s="26"/>
      <c r="L5401" s="26"/>
      <c r="M5401" s="26"/>
      <c r="N5401" s="26"/>
      <c r="O5401" s="26"/>
      <c r="P5401" s="26"/>
      <c r="Q5401" s="26"/>
      <c r="R5401" s="26"/>
    </row>
    <row r="5402" spans="9:18" x14ac:dyDescent="0.25">
      <c r="I5402" s="46"/>
      <c r="J5402" s="26"/>
      <c r="K5402" s="26"/>
      <c r="L5402" s="26"/>
      <c r="M5402" s="26"/>
      <c r="N5402" s="26"/>
      <c r="O5402" s="26"/>
      <c r="P5402" s="26"/>
      <c r="Q5402" s="26"/>
      <c r="R5402" s="26"/>
    </row>
    <row r="5403" spans="9:18" x14ac:dyDescent="0.25">
      <c r="I5403" s="46"/>
      <c r="J5403" s="26"/>
      <c r="K5403" s="26"/>
      <c r="L5403" s="26"/>
      <c r="M5403" s="26"/>
      <c r="N5403" s="26"/>
      <c r="O5403" s="26"/>
      <c r="P5403" s="26"/>
      <c r="Q5403" s="26"/>
      <c r="R5403" s="26"/>
    </row>
    <row r="5404" spans="9:18" x14ac:dyDescent="0.25">
      <c r="I5404" s="46"/>
      <c r="J5404" s="26"/>
      <c r="K5404" s="26"/>
      <c r="L5404" s="26"/>
      <c r="M5404" s="26"/>
      <c r="N5404" s="26"/>
      <c r="O5404" s="26"/>
      <c r="P5404" s="26"/>
      <c r="Q5404" s="26"/>
      <c r="R5404" s="26"/>
    </row>
    <row r="5405" spans="9:18" x14ac:dyDescent="0.25">
      <c r="I5405" s="46"/>
      <c r="J5405" s="26"/>
      <c r="K5405" s="26"/>
      <c r="L5405" s="26"/>
      <c r="M5405" s="26"/>
      <c r="N5405" s="26"/>
      <c r="O5405" s="26"/>
      <c r="P5405" s="26"/>
      <c r="Q5405" s="26"/>
      <c r="R5405" s="26"/>
    </row>
    <row r="5406" spans="9:18" x14ac:dyDescent="0.25">
      <c r="I5406" s="46"/>
      <c r="J5406" s="26"/>
      <c r="K5406" s="26"/>
      <c r="L5406" s="26"/>
      <c r="M5406" s="26"/>
      <c r="N5406" s="26"/>
      <c r="O5406" s="26"/>
      <c r="P5406" s="26"/>
      <c r="Q5406" s="26"/>
      <c r="R5406" s="26"/>
    </row>
    <row r="5407" spans="9:18" x14ac:dyDescent="0.25">
      <c r="I5407" s="46"/>
      <c r="J5407" s="26"/>
      <c r="K5407" s="26"/>
      <c r="L5407" s="26"/>
      <c r="M5407" s="26"/>
      <c r="N5407" s="26"/>
      <c r="O5407" s="26"/>
      <c r="P5407" s="26"/>
      <c r="Q5407" s="26"/>
      <c r="R5407" s="26"/>
    </row>
    <row r="5408" spans="9:18" x14ac:dyDescent="0.25">
      <c r="I5408" s="46"/>
      <c r="J5408" s="26"/>
      <c r="K5408" s="26"/>
      <c r="L5408" s="26"/>
      <c r="M5408" s="26"/>
      <c r="N5408" s="26"/>
      <c r="O5408" s="26"/>
      <c r="P5408" s="26"/>
      <c r="Q5408" s="26"/>
      <c r="R5408" s="26"/>
    </row>
    <row r="5409" spans="9:18" x14ac:dyDescent="0.25">
      <c r="I5409" s="46"/>
      <c r="J5409" s="26"/>
      <c r="K5409" s="26"/>
      <c r="L5409" s="26"/>
      <c r="M5409" s="26"/>
      <c r="N5409" s="26"/>
      <c r="O5409" s="26"/>
      <c r="P5409" s="26"/>
      <c r="Q5409" s="26"/>
      <c r="R5409" s="26"/>
    </row>
    <row r="5410" spans="9:18" x14ac:dyDescent="0.25">
      <c r="I5410" s="46"/>
      <c r="J5410" s="26"/>
      <c r="K5410" s="26"/>
      <c r="L5410" s="26"/>
      <c r="M5410" s="26"/>
      <c r="N5410" s="26"/>
      <c r="O5410" s="26"/>
      <c r="P5410" s="26"/>
      <c r="Q5410" s="26"/>
      <c r="R5410" s="26"/>
    </row>
    <row r="5411" spans="9:18" x14ac:dyDescent="0.25">
      <c r="I5411" s="46"/>
      <c r="J5411" s="26"/>
      <c r="K5411" s="26"/>
      <c r="L5411" s="26"/>
      <c r="M5411" s="26"/>
      <c r="N5411" s="26"/>
      <c r="O5411" s="26"/>
      <c r="P5411" s="26"/>
      <c r="Q5411" s="26"/>
      <c r="R5411" s="26"/>
    </row>
    <row r="5412" spans="9:18" x14ac:dyDescent="0.25">
      <c r="I5412" s="46"/>
      <c r="J5412" s="26"/>
      <c r="K5412" s="26"/>
      <c r="L5412" s="26"/>
      <c r="M5412" s="26"/>
      <c r="N5412" s="26"/>
      <c r="O5412" s="26"/>
      <c r="P5412" s="26"/>
      <c r="Q5412" s="26"/>
      <c r="R5412" s="26"/>
    </row>
    <row r="5413" spans="9:18" x14ac:dyDescent="0.25">
      <c r="I5413" s="46"/>
      <c r="J5413" s="26"/>
      <c r="K5413" s="26"/>
      <c r="L5413" s="26"/>
      <c r="M5413" s="26"/>
      <c r="N5413" s="26"/>
      <c r="O5413" s="26"/>
      <c r="P5413" s="26"/>
      <c r="Q5413" s="26"/>
      <c r="R5413" s="26"/>
    </row>
    <row r="5414" spans="9:18" x14ac:dyDescent="0.25">
      <c r="I5414" s="46"/>
      <c r="J5414" s="26"/>
      <c r="K5414" s="26"/>
      <c r="L5414" s="26"/>
      <c r="M5414" s="26"/>
      <c r="N5414" s="26"/>
      <c r="O5414" s="26"/>
      <c r="P5414" s="26"/>
      <c r="Q5414" s="26"/>
      <c r="R5414" s="26"/>
    </row>
    <row r="5415" spans="9:18" x14ac:dyDescent="0.25">
      <c r="I5415" s="46"/>
      <c r="J5415" s="26"/>
      <c r="K5415" s="26"/>
      <c r="L5415" s="26"/>
      <c r="M5415" s="26"/>
      <c r="N5415" s="26"/>
      <c r="O5415" s="26"/>
      <c r="P5415" s="26"/>
      <c r="Q5415" s="26"/>
      <c r="R5415" s="26"/>
    </row>
    <row r="5416" spans="9:18" x14ac:dyDescent="0.25">
      <c r="I5416" s="46"/>
      <c r="J5416" s="26"/>
      <c r="K5416" s="26"/>
      <c r="L5416" s="26"/>
      <c r="M5416" s="26"/>
      <c r="N5416" s="26"/>
      <c r="O5416" s="26"/>
      <c r="P5416" s="26"/>
      <c r="Q5416" s="26"/>
      <c r="R5416" s="26"/>
    </row>
    <row r="5417" spans="9:18" x14ac:dyDescent="0.25">
      <c r="I5417" s="46"/>
      <c r="J5417" s="26"/>
      <c r="K5417" s="26"/>
      <c r="L5417" s="26"/>
      <c r="M5417" s="26"/>
      <c r="N5417" s="26"/>
      <c r="O5417" s="26"/>
      <c r="P5417" s="26"/>
      <c r="Q5417" s="26"/>
      <c r="R5417" s="26"/>
    </row>
    <row r="5418" spans="9:18" x14ac:dyDescent="0.25">
      <c r="I5418" s="46"/>
      <c r="J5418" s="26"/>
      <c r="K5418" s="26"/>
      <c r="L5418" s="26"/>
      <c r="M5418" s="26"/>
      <c r="N5418" s="26"/>
      <c r="O5418" s="26"/>
      <c r="P5418" s="26"/>
      <c r="Q5418" s="26"/>
      <c r="R5418" s="26"/>
    </row>
    <row r="5419" spans="9:18" x14ac:dyDescent="0.25">
      <c r="I5419" s="46"/>
      <c r="J5419" s="26"/>
      <c r="K5419" s="26"/>
      <c r="L5419" s="26"/>
      <c r="M5419" s="26"/>
      <c r="N5419" s="26"/>
      <c r="O5419" s="26"/>
      <c r="P5419" s="26"/>
      <c r="Q5419" s="26"/>
      <c r="R5419" s="26"/>
    </row>
    <row r="5420" spans="9:18" x14ac:dyDescent="0.25">
      <c r="I5420" s="46"/>
      <c r="J5420" s="26"/>
      <c r="K5420" s="26"/>
      <c r="L5420" s="26"/>
      <c r="M5420" s="26"/>
      <c r="N5420" s="26"/>
      <c r="O5420" s="26"/>
      <c r="P5420" s="26"/>
      <c r="Q5420" s="26"/>
      <c r="R5420" s="26"/>
    </row>
    <row r="5421" spans="9:18" x14ac:dyDescent="0.25">
      <c r="I5421" s="46"/>
      <c r="J5421" s="26"/>
      <c r="K5421" s="26"/>
      <c r="L5421" s="26"/>
      <c r="M5421" s="26"/>
      <c r="N5421" s="26"/>
      <c r="O5421" s="26"/>
      <c r="P5421" s="26"/>
      <c r="Q5421" s="26"/>
      <c r="R5421" s="26"/>
    </row>
    <row r="5422" spans="9:18" x14ac:dyDescent="0.25">
      <c r="I5422" s="46"/>
      <c r="J5422" s="26"/>
      <c r="K5422" s="26"/>
      <c r="L5422" s="26"/>
      <c r="M5422" s="26"/>
      <c r="N5422" s="26"/>
      <c r="O5422" s="26"/>
      <c r="P5422" s="26"/>
      <c r="Q5422" s="26"/>
      <c r="R5422" s="26"/>
    </row>
    <row r="5423" spans="9:18" x14ac:dyDescent="0.25">
      <c r="I5423" s="46"/>
      <c r="J5423" s="26"/>
      <c r="K5423" s="26"/>
      <c r="L5423" s="26"/>
      <c r="M5423" s="26"/>
      <c r="N5423" s="26"/>
      <c r="O5423" s="26"/>
      <c r="P5423" s="26"/>
      <c r="Q5423" s="26"/>
      <c r="R5423" s="26"/>
    </row>
    <row r="5424" spans="9:18" x14ac:dyDescent="0.25">
      <c r="I5424" s="46"/>
      <c r="J5424" s="26"/>
      <c r="K5424" s="26"/>
      <c r="L5424" s="26"/>
      <c r="M5424" s="26"/>
      <c r="N5424" s="26"/>
      <c r="O5424" s="26"/>
      <c r="P5424" s="26"/>
      <c r="Q5424" s="26"/>
      <c r="R5424" s="26"/>
    </row>
    <row r="5425" spans="9:18" x14ac:dyDescent="0.25">
      <c r="I5425" s="46"/>
      <c r="J5425" s="26"/>
      <c r="K5425" s="26"/>
      <c r="L5425" s="26"/>
      <c r="M5425" s="26"/>
      <c r="N5425" s="26"/>
      <c r="O5425" s="26"/>
      <c r="P5425" s="26"/>
      <c r="Q5425" s="26"/>
      <c r="R5425" s="26"/>
    </row>
    <row r="5426" spans="9:18" x14ac:dyDescent="0.25">
      <c r="I5426" s="46"/>
      <c r="J5426" s="26"/>
      <c r="K5426" s="26"/>
      <c r="L5426" s="26"/>
      <c r="M5426" s="26"/>
      <c r="N5426" s="26"/>
      <c r="O5426" s="26"/>
      <c r="P5426" s="26"/>
      <c r="Q5426" s="26"/>
      <c r="R5426" s="26"/>
    </row>
    <row r="5427" spans="9:18" x14ac:dyDescent="0.25">
      <c r="I5427" s="46"/>
      <c r="J5427" s="26"/>
      <c r="K5427" s="26"/>
      <c r="L5427" s="26"/>
      <c r="M5427" s="26"/>
      <c r="N5427" s="26"/>
      <c r="O5427" s="26"/>
      <c r="P5427" s="26"/>
      <c r="Q5427" s="26"/>
      <c r="R5427" s="26"/>
    </row>
    <row r="5428" spans="9:18" x14ac:dyDescent="0.25">
      <c r="I5428" s="46"/>
      <c r="J5428" s="26"/>
      <c r="K5428" s="26"/>
      <c r="L5428" s="26"/>
      <c r="M5428" s="26"/>
      <c r="N5428" s="26"/>
      <c r="O5428" s="26"/>
      <c r="P5428" s="26"/>
      <c r="Q5428" s="26"/>
      <c r="R5428" s="26"/>
    </row>
    <row r="5429" spans="9:18" x14ac:dyDescent="0.25">
      <c r="I5429" s="46"/>
      <c r="J5429" s="26"/>
      <c r="K5429" s="26"/>
      <c r="L5429" s="26"/>
      <c r="M5429" s="26"/>
      <c r="N5429" s="26"/>
      <c r="O5429" s="26"/>
      <c r="P5429" s="26"/>
      <c r="Q5429" s="26"/>
      <c r="R5429" s="26"/>
    </row>
    <row r="5430" spans="9:18" x14ac:dyDescent="0.25">
      <c r="I5430" s="46"/>
      <c r="J5430" s="26"/>
      <c r="K5430" s="26"/>
      <c r="L5430" s="26"/>
      <c r="M5430" s="26"/>
      <c r="N5430" s="26"/>
      <c r="O5430" s="26"/>
      <c r="P5430" s="26"/>
      <c r="Q5430" s="26"/>
      <c r="R5430" s="26"/>
    </row>
    <row r="5431" spans="9:18" x14ac:dyDescent="0.25">
      <c r="I5431" s="46"/>
      <c r="J5431" s="26"/>
      <c r="K5431" s="26"/>
      <c r="L5431" s="26"/>
      <c r="M5431" s="26"/>
      <c r="N5431" s="26"/>
      <c r="O5431" s="26"/>
      <c r="P5431" s="26"/>
      <c r="Q5431" s="26"/>
      <c r="R5431" s="26"/>
    </row>
    <row r="5432" spans="9:18" x14ac:dyDescent="0.25">
      <c r="I5432" s="46"/>
      <c r="J5432" s="26"/>
      <c r="K5432" s="26"/>
      <c r="L5432" s="26"/>
      <c r="M5432" s="26"/>
      <c r="N5432" s="26"/>
      <c r="O5432" s="26"/>
      <c r="P5432" s="26"/>
      <c r="Q5432" s="26"/>
      <c r="R5432" s="26"/>
    </row>
    <row r="5433" spans="9:18" x14ac:dyDescent="0.25">
      <c r="I5433" s="46"/>
      <c r="J5433" s="26"/>
      <c r="K5433" s="26"/>
      <c r="L5433" s="26"/>
      <c r="M5433" s="26"/>
      <c r="N5433" s="26"/>
      <c r="O5433" s="26"/>
      <c r="P5433" s="26"/>
      <c r="Q5433" s="26"/>
      <c r="R5433" s="26"/>
    </row>
    <row r="5434" spans="9:18" x14ac:dyDescent="0.25">
      <c r="I5434" s="46"/>
      <c r="J5434" s="26"/>
      <c r="K5434" s="26"/>
      <c r="L5434" s="26"/>
      <c r="M5434" s="26"/>
      <c r="N5434" s="26"/>
      <c r="O5434" s="26"/>
      <c r="P5434" s="26"/>
      <c r="Q5434" s="26"/>
      <c r="R5434" s="26"/>
    </row>
    <row r="5435" spans="9:18" x14ac:dyDescent="0.25">
      <c r="I5435" s="46"/>
      <c r="J5435" s="26"/>
      <c r="K5435" s="26"/>
      <c r="L5435" s="26"/>
      <c r="M5435" s="26"/>
      <c r="N5435" s="26"/>
      <c r="O5435" s="26"/>
      <c r="P5435" s="26"/>
      <c r="Q5435" s="26"/>
      <c r="R5435" s="26"/>
    </row>
    <row r="5436" spans="9:18" x14ac:dyDescent="0.25">
      <c r="I5436" s="46"/>
      <c r="J5436" s="26"/>
      <c r="K5436" s="26"/>
      <c r="L5436" s="26"/>
      <c r="M5436" s="26"/>
      <c r="N5436" s="26"/>
      <c r="O5436" s="26"/>
      <c r="P5436" s="26"/>
      <c r="Q5436" s="26"/>
      <c r="R5436" s="26"/>
    </row>
    <row r="5437" spans="9:18" x14ac:dyDescent="0.25">
      <c r="I5437" s="46"/>
      <c r="J5437" s="26"/>
      <c r="K5437" s="26"/>
      <c r="L5437" s="26"/>
      <c r="M5437" s="26"/>
      <c r="N5437" s="26"/>
      <c r="O5437" s="26"/>
      <c r="P5437" s="26"/>
      <c r="Q5437" s="26"/>
      <c r="R5437" s="26"/>
    </row>
    <row r="5438" spans="9:18" x14ac:dyDescent="0.25">
      <c r="I5438" s="46"/>
      <c r="J5438" s="26"/>
      <c r="K5438" s="26"/>
      <c r="L5438" s="26"/>
      <c r="M5438" s="26"/>
      <c r="N5438" s="26"/>
      <c r="O5438" s="26"/>
      <c r="P5438" s="26"/>
      <c r="Q5438" s="26"/>
      <c r="R5438" s="26"/>
    </row>
    <row r="5439" spans="9:18" x14ac:dyDescent="0.25">
      <c r="I5439" s="46"/>
      <c r="J5439" s="26"/>
      <c r="K5439" s="26"/>
      <c r="L5439" s="26"/>
      <c r="M5439" s="26"/>
      <c r="N5439" s="26"/>
      <c r="O5439" s="26"/>
      <c r="P5439" s="26"/>
      <c r="Q5439" s="26"/>
      <c r="R5439" s="26"/>
    </row>
    <row r="5440" spans="9:18" x14ac:dyDescent="0.25">
      <c r="I5440" s="46"/>
      <c r="J5440" s="26"/>
      <c r="K5440" s="26"/>
      <c r="L5440" s="26"/>
      <c r="M5440" s="26"/>
      <c r="N5440" s="26"/>
      <c r="O5440" s="26"/>
      <c r="P5440" s="26"/>
      <c r="Q5440" s="26"/>
      <c r="R5440" s="26"/>
    </row>
    <row r="5441" spans="9:18" x14ac:dyDescent="0.25">
      <c r="I5441" s="46"/>
      <c r="J5441" s="26"/>
      <c r="K5441" s="26"/>
      <c r="L5441" s="26"/>
      <c r="M5441" s="26"/>
      <c r="N5441" s="26"/>
      <c r="O5441" s="26"/>
      <c r="P5441" s="26"/>
      <c r="Q5441" s="26"/>
      <c r="R5441" s="26"/>
    </row>
    <row r="5442" spans="9:18" x14ac:dyDescent="0.25">
      <c r="I5442" s="46"/>
      <c r="J5442" s="26"/>
      <c r="K5442" s="26"/>
      <c r="L5442" s="26"/>
      <c r="M5442" s="26"/>
      <c r="N5442" s="26"/>
      <c r="O5442" s="26"/>
      <c r="P5442" s="26"/>
      <c r="Q5442" s="26"/>
      <c r="R5442" s="26"/>
    </row>
    <row r="5443" spans="9:18" x14ac:dyDescent="0.25">
      <c r="I5443" s="46"/>
      <c r="J5443" s="26"/>
      <c r="K5443" s="26"/>
      <c r="L5443" s="26"/>
      <c r="M5443" s="26"/>
      <c r="N5443" s="26"/>
      <c r="O5443" s="26"/>
      <c r="P5443" s="26"/>
      <c r="Q5443" s="26"/>
      <c r="R5443" s="26"/>
    </row>
    <row r="5444" spans="9:18" x14ac:dyDescent="0.25">
      <c r="I5444" s="46"/>
      <c r="J5444" s="26"/>
      <c r="K5444" s="26"/>
      <c r="L5444" s="26"/>
      <c r="M5444" s="26"/>
      <c r="N5444" s="26"/>
      <c r="O5444" s="26"/>
      <c r="P5444" s="26"/>
      <c r="Q5444" s="26"/>
      <c r="R5444" s="26"/>
    </row>
    <row r="5445" spans="9:18" x14ac:dyDescent="0.25">
      <c r="I5445" s="46"/>
      <c r="J5445" s="26"/>
      <c r="K5445" s="26"/>
      <c r="L5445" s="26"/>
      <c r="M5445" s="26"/>
      <c r="N5445" s="26"/>
      <c r="O5445" s="26"/>
      <c r="P5445" s="26"/>
      <c r="Q5445" s="26"/>
      <c r="R5445" s="26"/>
    </row>
    <row r="5446" spans="9:18" x14ac:dyDescent="0.25">
      <c r="I5446" s="46"/>
      <c r="J5446" s="26"/>
      <c r="K5446" s="26"/>
      <c r="L5446" s="26"/>
      <c r="M5446" s="26"/>
      <c r="N5446" s="26"/>
      <c r="O5446" s="26"/>
      <c r="P5446" s="26"/>
      <c r="Q5446" s="26"/>
      <c r="R5446" s="26"/>
    </row>
    <row r="5447" spans="9:18" x14ac:dyDescent="0.25">
      <c r="I5447" s="46"/>
      <c r="J5447" s="26"/>
      <c r="K5447" s="26"/>
      <c r="L5447" s="26"/>
      <c r="M5447" s="26"/>
      <c r="N5447" s="26"/>
      <c r="O5447" s="26"/>
      <c r="P5447" s="26"/>
      <c r="Q5447" s="26"/>
      <c r="R5447" s="26"/>
    </row>
    <row r="5448" spans="9:18" x14ac:dyDescent="0.25">
      <c r="I5448" s="46"/>
      <c r="J5448" s="26"/>
      <c r="K5448" s="26"/>
      <c r="L5448" s="26"/>
      <c r="M5448" s="26"/>
      <c r="N5448" s="26"/>
      <c r="O5448" s="26"/>
      <c r="P5448" s="26"/>
      <c r="Q5448" s="26"/>
      <c r="R5448" s="26"/>
    </row>
    <row r="5449" spans="9:18" x14ac:dyDescent="0.25">
      <c r="I5449" s="46"/>
      <c r="J5449" s="26"/>
      <c r="K5449" s="26"/>
      <c r="L5449" s="26"/>
      <c r="M5449" s="26"/>
      <c r="N5449" s="26"/>
      <c r="O5449" s="26"/>
      <c r="P5449" s="26"/>
      <c r="Q5449" s="26"/>
      <c r="R5449" s="26"/>
    </row>
    <row r="5450" spans="9:18" x14ac:dyDescent="0.25">
      <c r="I5450" s="46"/>
      <c r="J5450" s="26"/>
      <c r="K5450" s="26"/>
      <c r="L5450" s="26"/>
      <c r="M5450" s="26"/>
      <c r="N5450" s="26"/>
      <c r="O5450" s="26"/>
      <c r="P5450" s="26"/>
      <c r="Q5450" s="26"/>
      <c r="R5450" s="26"/>
    </row>
    <row r="5451" spans="9:18" x14ac:dyDescent="0.25">
      <c r="I5451" s="46"/>
      <c r="J5451" s="26"/>
      <c r="K5451" s="26"/>
      <c r="L5451" s="26"/>
      <c r="M5451" s="26"/>
      <c r="N5451" s="26"/>
      <c r="O5451" s="26"/>
      <c r="P5451" s="26"/>
      <c r="Q5451" s="26"/>
      <c r="R5451" s="26"/>
    </row>
    <row r="5452" spans="9:18" x14ac:dyDescent="0.25">
      <c r="I5452" s="46"/>
      <c r="J5452" s="26"/>
      <c r="K5452" s="26"/>
      <c r="L5452" s="26"/>
      <c r="M5452" s="26"/>
      <c r="N5452" s="26"/>
      <c r="O5452" s="26"/>
      <c r="P5452" s="26"/>
      <c r="Q5452" s="26"/>
      <c r="R5452" s="26"/>
    </row>
    <row r="5453" spans="9:18" x14ac:dyDescent="0.25">
      <c r="I5453" s="46"/>
      <c r="J5453" s="26"/>
      <c r="K5453" s="26"/>
      <c r="L5453" s="26"/>
      <c r="M5453" s="26"/>
      <c r="N5453" s="26"/>
      <c r="O5453" s="26"/>
      <c r="P5453" s="26"/>
      <c r="Q5453" s="26"/>
      <c r="R5453" s="26"/>
    </row>
    <row r="5454" spans="9:18" x14ac:dyDescent="0.25">
      <c r="I5454" s="46"/>
      <c r="J5454" s="26"/>
      <c r="K5454" s="26"/>
      <c r="L5454" s="26"/>
      <c r="M5454" s="26"/>
      <c r="N5454" s="26"/>
      <c r="O5454" s="26"/>
      <c r="P5454" s="26"/>
      <c r="Q5454" s="26"/>
      <c r="R5454" s="26"/>
    </row>
    <row r="5455" spans="9:18" x14ac:dyDescent="0.25">
      <c r="I5455" s="46"/>
      <c r="J5455" s="26"/>
      <c r="K5455" s="26"/>
      <c r="L5455" s="26"/>
      <c r="M5455" s="26"/>
      <c r="N5455" s="26"/>
      <c r="O5455" s="26"/>
      <c r="P5455" s="26"/>
      <c r="Q5455" s="26"/>
      <c r="R5455" s="26"/>
    </row>
    <row r="5456" spans="9:18" x14ac:dyDescent="0.25">
      <c r="I5456" s="46"/>
      <c r="J5456" s="26"/>
      <c r="K5456" s="26"/>
      <c r="L5456" s="26"/>
      <c r="M5456" s="26"/>
      <c r="N5456" s="26"/>
      <c r="O5456" s="26"/>
      <c r="P5456" s="26"/>
      <c r="Q5456" s="26"/>
      <c r="R5456" s="26"/>
    </row>
    <row r="5457" spans="9:18" x14ac:dyDescent="0.25">
      <c r="I5457" s="46"/>
      <c r="J5457" s="26"/>
      <c r="K5457" s="26"/>
      <c r="L5457" s="26"/>
      <c r="M5457" s="26"/>
      <c r="N5457" s="26"/>
      <c r="O5457" s="26"/>
      <c r="P5457" s="26"/>
      <c r="Q5457" s="26"/>
      <c r="R5457" s="26"/>
    </row>
    <row r="5458" spans="9:18" x14ac:dyDescent="0.25">
      <c r="I5458" s="46"/>
      <c r="J5458" s="26"/>
      <c r="K5458" s="26"/>
      <c r="L5458" s="26"/>
      <c r="M5458" s="26"/>
      <c r="N5458" s="26"/>
      <c r="O5458" s="26"/>
      <c r="P5458" s="26"/>
      <c r="Q5458" s="26"/>
      <c r="R5458" s="26"/>
    </row>
    <row r="5459" spans="9:18" x14ac:dyDescent="0.25">
      <c r="I5459" s="46"/>
      <c r="J5459" s="26"/>
      <c r="K5459" s="26"/>
      <c r="L5459" s="26"/>
      <c r="M5459" s="26"/>
      <c r="N5459" s="26"/>
      <c r="O5459" s="26"/>
      <c r="P5459" s="26"/>
      <c r="Q5459" s="26"/>
      <c r="R5459" s="26"/>
    </row>
    <row r="5460" spans="9:18" x14ac:dyDescent="0.25">
      <c r="I5460" s="46"/>
      <c r="J5460" s="26"/>
      <c r="K5460" s="26"/>
      <c r="L5460" s="26"/>
      <c r="M5460" s="26"/>
      <c r="N5460" s="26"/>
      <c r="O5460" s="26"/>
      <c r="P5460" s="26"/>
      <c r="Q5460" s="26"/>
      <c r="R5460" s="26"/>
    </row>
    <row r="5461" spans="9:18" x14ac:dyDescent="0.25">
      <c r="I5461" s="46"/>
      <c r="J5461" s="26"/>
      <c r="K5461" s="26"/>
      <c r="L5461" s="26"/>
      <c r="M5461" s="26"/>
      <c r="N5461" s="26"/>
      <c r="O5461" s="26"/>
      <c r="P5461" s="26"/>
      <c r="Q5461" s="26"/>
      <c r="R5461" s="26"/>
    </row>
    <row r="5462" spans="9:18" x14ac:dyDescent="0.25">
      <c r="I5462" s="46"/>
      <c r="J5462" s="26"/>
      <c r="K5462" s="26"/>
      <c r="L5462" s="26"/>
      <c r="M5462" s="26"/>
      <c r="N5462" s="26"/>
      <c r="O5462" s="26"/>
      <c r="P5462" s="26"/>
      <c r="Q5462" s="26"/>
      <c r="R5462" s="26"/>
    </row>
    <row r="5463" spans="9:18" x14ac:dyDescent="0.25">
      <c r="I5463" s="46"/>
      <c r="J5463" s="26"/>
      <c r="K5463" s="26"/>
      <c r="L5463" s="26"/>
      <c r="M5463" s="26"/>
      <c r="N5463" s="26"/>
      <c r="O5463" s="26"/>
      <c r="P5463" s="26"/>
      <c r="Q5463" s="26"/>
      <c r="R5463" s="26"/>
    </row>
    <row r="5464" spans="9:18" x14ac:dyDescent="0.25">
      <c r="I5464" s="46"/>
      <c r="J5464" s="26"/>
      <c r="K5464" s="26"/>
      <c r="L5464" s="26"/>
      <c r="M5464" s="26"/>
      <c r="N5464" s="26"/>
      <c r="O5464" s="26"/>
      <c r="P5464" s="26"/>
      <c r="Q5464" s="26"/>
      <c r="R5464" s="26"/>
    </row>
    <row r="5465" spans="9:18" x14ac:dyDescent="0.25">
      <c r="I5465" s="46"/>
      <c r="J5465" s="26"/>
      <c r="K5465" s="26"/>
      <c r="L5465" s="26"/>
      <c r="M5465" s="26"/>
      <c r="N5465" s="26"/>
      <c r="O5465" s="26"/>
      <c r="P5465" s="26"/>
      <c r="Q5465" s="26"/>
      <c r="R5465" s="26"/>
    </row>
    <row r="5466" spans="9:18" x14ac:dyDescent="0.25">
      <c r="I5466" s="46"/>
      <c r="J5466" s="26"/>
      <c r="K5466" s="26"/>
      <c r="L5466" s="26"/>
      <c r="M5466" s="26"/>
      <c r="N5466" s="26"/>
      <c r="O5466" s="26"/>
      <c r="P5466" s="26"/>
      <c r="Q5466" s="26"/>
      <c r="R5466" s="26"/>
    </row>
    <row r="5467" spans="9:18" x14ac:dyDescent="0.25">
      <c r="I5467" s="46"/>
      <c r="J5467" s="26"/>
      <c r="K5467" s="26"/>
      <c r="L5467" s="26"/>
      <c r="M5467" s="26"/>
      <c r="N5467" s="26"/>
      <c r="O5467" s="26"/>
      <c r="P5467" s="26"/>
      <c r="Q5467" s="26"/>
      <c r="R5467" s="26"/>
    </row>
    <row r="5468" spans="9:18" x14ac:dyDescent="0.25">
      <c r="I5468" s="46"/>
      <c r="J5468" s="26"/>
      <c r="K5468" s="26"/>
      <c r="L5468" s="26"/>
      <c r="M5468" s="26"/>
      <c r="N5468" s="26"/>
      <c r="O5468" s="26"/>
      <c r="P5468" s="26"/>
      <c r="Q5468" s="26"/>
      <c r="R5468" s="26"/>
    </row>
    <row r="5469" spans="9:18" x14ac:dyDescent="0.25">
      <c r="I5469" s="46"/>
      <c r="J5469" s="26"/>
      <c r="K5469" s="26"/>
      <c r="L5469" s="26"/>
      <c r="M5469" s="26"/>
      <c r="N5469" s="26"/>
      <c r="O5469" s="26"/>
      <c r="P5469" s="26"/>
      <c r="Q5469" s="26"/>
      <c r="R5469" s="26"/>
    </row>
    <row r="5470" spans="9:18" x14ac:dyDescent="0.25">
      <c r="I5470" s="46"/>
      <c r="J5470" s="26"/>
      <c r="K5470" s="26"/>
      <c r="L5470" s="26"/>
      <c r="M5470" s="26"/>
      <c r="N5470" s="26"/>
      <c r="O5470" s="26"/>
      <c r="P5470" s="26"/>
      <c r="Q5470" s="26"/>
      <c r="R5470" s="26"/>
    </row>
    <row r="5471" spans="9:18" x14ac:dyDescent="0.25">
      <c r="I5471" s="46"/>
      <c r="J5471" s="26"/>
      <c r="K5471" s="26"/>
      <c r="L5471" s="26"/>
      <c r="M5471" s="26"/>
      <c r="N5471" s="26"/>
      <c r="O5471" s="26"/>
      <c r="P5471" s="26"/>
      <c r="Q5471" s="26"/>
      <c r="R5471" s="26"/>
    </row>
    <row r="5472" spans="9:18" x14ac:dyDescent="0.25">
      <c r="I5472" s="46"/>
      <c r="J5472" s="26"/>
      <c r="K5472" s="26"/>
      <c r="L5472" s="26"/>
      <c r="M5472" s="26"/>
      <c r="N5472" s="26"/>
      <c r="O5472" s="26"/>
      <c r="P5472" s="26"/>
      <c r="Q5472" s="26"/>
      <c r="R5472" s="26"/>
    </row>
    <row r="5473" spans="9:18" x14ac:dyDescent="0.25">
      <c r="I5473" s="46"/>
      <c r="J5473" s="26"/>
      <c r="K5473" s="26"/>
      <c r="L5473" s="26"/>
      <c r="M5473" s="26"/>
      <c r="N5473" s="26"/>
      <c r="O5473" s="26"/>
      <c r="P5473" s="26"/>
      <c r="Q5473" s="26"/>
      <c r="R5473" s="26"/>
    </row>
    <row r="5474" spans="9:18" x14ac:dyDescent="0.25">
      <c r="I5474" s="46"/>
      <c r="J5474" s="26"/>
      <c r="K5474" s="26"/>
      <c r="L5474" s="26"/>
      <c r="M5474" s="26"/>
      <c r="N5474" s="26"/>
      <c r="O5474" s="26"/>
      <c r="P5474" s="26"/>
      <c r="Q5474" s="26"/>
      <c r="R5474" s="26"/>
    </row>
    <row r="5475" spans="9:18" x14ac:dyDescent="0.25">
      <c r="I5475" s="46"/>
      <c r="J5475" s="26"/>
      <c r="K5475" s="26"/>
      <c r="L5475" s="26"/>
      <c r="M5475" s="26"/>
      <c r="N5475" s="26"/>
      <c r="O5475" s="26"/>
      <c r="P5475" s="26"/>
      <c r="Q5475" s="26"/>
      <c r="R5475" s="26"/>
    </row>
    <row r="5476" spans="9:18" x14ac:dyDescent="0.25">
      <c r="I5476" s="46"/>
      <c r="J5476" s="26"/>
      <c r="K5476" s="26"/>
      <c r="L5476" s="26"/>
      <c r="M5476" s="26"/>
      <c r="N5476" s="26"/>
      <c r="O5476" s="26"/>
      <c r="P5476" s="26"/>
      <c r="Q5476" s="26"/>
      <c r="R5476" s="26"/>
    </row>
    <row r="5477" spans="9:18" x14ac:dyDescent="0.25">
      <c r="I5477" s="46"/>
      <c r="J5477" s="26"/>
      <c r="K5477" s="26"/>
      <c r="L5477" s="26"/>
      <c r="M5477" s="26"/>
      <c r="N5477" s="26"/>
      <c r="O5477" s="26"/>
      <c r="P5477" s="26"/>
      <c r="Q5477" s="26"/>
      <c r="R5477" s="26"/>
    </row>
    <row r="5478" spans="9:18" x14ac:dyDescent="0.25">
      <c r="I5478" s="46"/>
      <c r="J5478" s="26"/>
      <c r="K5478" s="26"/>
      <c r="L5478" s="26"/>
      <c r="M5478" s="26"/>
      <c r="N5478" s="26"/>
      <c r="O5478" s="26"/>
      <c r="P5478" s="26"/>
      <c r="Q5478" s="26"/>
      <c r="R5478" s="26"/>
    </row>
    <row r="5479" spans="9:18" x14ac:dyDescent="0.25">
      <c r="I5479" s="46"/>
      <c r="J5479" s="26"/>
      <c r="K5479" s="26"/>
      <c r="L5479" s="26"/>
      <c r="M5479" s="26"/>
      <c r="N5479" s="26"/>
      <c r="O5479" s="26"/>
      <c r="P5479" s="26"/>
      <c r="Q5479" s="26"/>
      <c r="R5479" s="26"/>
    </row>
    <row r="5480" spans="9:18" x14ac:dyDescent="0.25">
      <c r="I5480" s="46"/>
      <c r="J5480" s="26"/>
      <c r="K5480" s="26"/>
      <c r="L5480" s="26"/>
      <c r="M5480" s="26"/>
      <c r="N5480" s="26"/>
      <c r="O5480" s="26"/>
      <c r="P5480" s="26"/>
      <c r="Q5480" s="26"/>
      <c r="R5480" s="26"/>
    </row>
    <row r="5481" spans="9:18" x14ac:dyDescent="0.25">
      <c r="I5481" s="46"/>
      <c r="J5481" s="26"/>
      <c r="K5481" s="26"/>
      <c r="L5481" s="26"/>
      <c r="M5481" s="26"/>
      <c r="N5481" s="26"/>
      <c r="O5481" s="26"/>
      <c r="P5481" s="26"/>
      <c r="Q5481" s="26"/>
      <c r="R5481" s="26"/>
    </row>
    <row r="5482" spans="9:18" x14ac:dyDescent="0.25">
      <c r="I5482" s="46"/>
      <c r="J5482" s="26"/>
      <c r="K5482" s="26"/>
      <c r="L5482" s="26"/>
      <c r="M5482" s="26"/>
      <c r="N5482" s="26"/>
      <c r="O5482" s="26"/>
      <c r="P5482" s="26"/>
      <c r="Q5482" s="26"/>
      <c r="R5482" s="26"/>
    </row>
    <row r="5483" spans="9:18" x14ac:dyDescent="0.25">
      <c r="I5483" s="46"/>
      <c r="J5483" s="26"/>
      <c r="K5483" s="26"/>
      <c r="L5483" s="26"/>
      <c r="M5483" s="26"/>
      <c r="N5483" s="26"/>
      <c r="O5483" s="26"/>
      <c r="P5483" s="26"/>
      <c r="Q5483" s="26"/>
      <c r="R5483" s="26"/>
    </row>
    <row r="5484" spans="9:18" x14ac:dyDescent="0.25">
      <c r="I5484" s="46"/>
      <c r="J5484" s="26"/>
      <c r="K5484" s="26"/>
      <c r="L5484" s="26"/>
      <c r="M5484" s="26"/>
      <c r="N5484" s="26"/>
      <c r="O5484" s="26"/>
      <c r="P5484" s="26"/>
      <c r="Q5484" s="26"/>
      <c r="R5484" s="26"/>
    </row>
    <row r="5485" spans="9:18" x14ac:dyDescent="0.25">
      <c r="I5485" s="46"/>
      <c r="J5485" s="26"/>
      <c r="K5485" s="26"/>
      <c r="L5485" s="26"/>
      <c r="M5485" s="26"/>
      <c r="N5485" s="26"/>
      <c r="O5485" s="26"/>
      <c r="P5485" s="26"/>
      <c r="Q5485" s="26"/>
      <c r="R5485" s="26"/>
    </row>
    <row r="5486" spans="9:18" x14ac:dyDescent="0.25">
      <c r="I5486" s="46"/>
      <c r="J5486" s="26"/>
      <c r="K5486" s="26"/>
      <c r="L5486" s="26"/>
      <c r="M5486" s="26"/>
      <c r="N5486" s="26"/>
      <c r="O5486" s="26"/>
      <c r="P5486" s="26"/>
      <c r="Q5486" s="26"/>
      <c r="R5486" s="26"/>
    </row>
    <row r="5487" spans="9:18" x14ac:dyDescent="0.25">
      <c r="I5487" s="46"/>
      <c r="J5487" s="26"/>
      <c r="K5487" s="26"/>
      <c r="L5487" s="26"/>
      <c r="M5487" s="26"/>
      <c r="N5487" s="26"/>
      <c r="O5487" s="26"/>
      <c r="P5487" s="26"/>
      <c r="Q5487" s="26"/>
      <c r="R5487" s="26"/>
    </row>
    <row r="5488" spans="9:18" x14ac:dyDescent="0.25">
      <c r="I5488" s="46"/>
      <c r="J5488" s="26"/>
      <c r="K5488" s="26"/>
      <c r="L5488" s="26"/>
      <c r="M5488" s="26"/>
      <c r="N5488" s="26"/>
      <c r="O5488" s="26"/>
      <c r="P5488" s="26"/>
      <c r="Q5488" s="26"/>
      <c r="R5488" s="26"/>
    </row>
    <row r="5489" spans="9:18" x14ac:dyDescent="0.25">
      <c r="I5489" s="46"/>
      <c r="J5489" s="26"/>
      <c r="K5489" s="26"/>
      <c r="L5489" s="26"/>
      <c r="M5489" s="26"/>
      <c r="N5489" s="26"/>
      <c r="O5489" s="26"/>
      <c r="P5489" s="26"/>
      <c r="Q5489" s="26"/>
      <c r="R5489" s="26"/>
    </row>
    <row r="5490" spans="9:18" x14ac:dyDescent="0.25">
      <c r="I5490" s="46"/>
      <c r="J5490" s="26"/>
      <c r="K5490" s="26"/>
      <c r="L5490" s="26"/>
      <c r="M5490" s="26"/>
      <c r="N5490" s="26"/>
      <c r="O5490" s="26"/>
      <c r="P5490" s="26"/>
      <c r="Q5490" s="26"/>
      <c r="R5490" s="26"/>
    </row>
    <row r="5491" spans="9:18" x14ac:dyDescent="0.25">
      <c r="I5491" s="46"/>
      <c r="J5491" s="26"/>
      <c r="K5491" s="26"/>
      <c r="L5491" s="26"/>
      <c r="M5491" s="26"/>
      <c r="N5491" s="26"/>
      <c r="O5491" s="26"/>
      <c r="P5491" s="26"/>
      <c r="Q5491" s="26"/>
      <c r="R5491" s="26"/>
    </row>
    <row r="5492" spans="9:18" x14ac:dyDescent="0.25">
      <c r="I5492" s="46"/>
      <c r="J5492" s="26"/>
      <c r="K5492" s="26"/>
      <c r="L5492" s="26"/>
      <c r="M5492" s="26"/>
      <c r="N5492" s="26"/>
      <c r="O5492" s="26"/>
      <c r="P5492" s="26"/>
      <c r="Q5492" s="26"/>
      <c r="R5492" s="26"/>
    </row>
    <row r="5493" spans="9:18" x14ac:dyDescent="0.25">
      <c r="I5493" s="46"/>
      <c r="J5493" s="26"/>
      <c r="K5493" s="26"/>
      <c r="L5493" s="26"/>
      <c r="M5493" s="26"/>
      <c r="N5493" s="26"/>
      <c r="O5493" s="26"/>
      <c r="P5493" s="26"/>
      <c r="Q5493" s="26"/>
      <c r="R5493" s="26"/>
    </row>
    <row r="5494" spans="9:18" x14ac:dyDescent="0.25">
      <c r="I5494" s="46"/>
      <c r="J5494" s="26"/>
      <c r="K5494" s="26"/>
      <c r="L5494" s="26"/>
      <c r="M5494" s="26"/>
      <c r="N5494" s="26"/>
      <c r="O5494" s="26"/>
      <c r="P5494" s="26"/>
      <c r="Q5494" s="26"/>
      <c r="R5494" s="26"/>
    </row>
    <row r="5495" spans="9:18" x14ac:dyDescent="0.25">
      <c r="I5495" s="46"/>
      <c r="J5495" s="26"/>
      <c r="K5495" s="26"/>
      <c r="L5495" s="26"/>
      <c r="M5495" s="26"/>
      <c r="N5495" s="26"/>
      <c r="O5495" s="26"/>
      <c r="P5495" s="26"/>
      <c r="Q5495" s="26"/>
      <c r="R5495" s="26"/>
    </row>
    <row r="5496" spans="9:18" x14ac:dyDescent="0.25">
      <c r="I5496" s="46"/>
      <c r="J5496" s="26"/>
      <c r="K5496" s="26"/>
      <c r="L5496" s="26"/>
      <c r="M5496" s="26"/>
      <c r="N5496" s="26"/>
      <c r="O5496" s="26"/>
      <c r="P5496" s="26"/>
      <c r="Q5496" s="26"/>
      <c r="R5496" s="26"/>
    </row>
    <row r="5497" spans="9:18" x14ac:dyDescent="0.25">
      <c r="I5497" s="46"/>
      <c r="J5497" s="26"/>
      <c r="K5497" s="26"/>
      <c r="L5497" s="26"/>
      <c r="M5497" s="26"/>
      <c r="N5497" s="26"/>
      <c r="O5497" s="26"/>
      <c r="P5497" s="26"/>
      <c r="Q5497" s="26"/>
      <c r="R5497" s="26"/>
    </row>
  </sheetData>
  <mergeCells count="800">
    <mergeCell ref="G319:G322"/>
    <mergeCell ref="G315:G318"/>
    <mergeCell ref="G311:G314"/>
    <mergeCell ref="G307:G310"/>
    <mergeCell ref="G291:G294"/>
    <mergeCell ref="G299:G302"/>
    <mergeCell ref="G295:G298"/>
    <mergeCell ref="G199:G202"/>
    <mergeCell ref="G279:G282"/>
    <mergeCell ref="G275:G278"/>
    <mergeCell ref="G271:G274"/>
    <mergeCell ref="G267:G270"/>
    <mergeCell ref="G263:G266"/>
    <mergeCell ref="G211:G214"/>
    <mergeCell ref="G259:G262"/>
    <mergeCell ref="G207:G210"/>
    <mergeCell ref="G227:G230"/>
    <mergeCell ref="G287:G290"/>
    <mergeCell ref="G283:G286"/>
    <mergeCell ref="G223:G226"/>
    <mergeCell ref="G219:G222"/>
    <mergeCell ref="G215:G218"/>
    <mergeCell ref="G247:G250"/>
    <mergeCell ref="G243:G246"/>
    <mergeCell ref="G351:G354"/>
    <mergeCell ref="G347:G350"/>
    <mergeCell ref="G343:G346"/>
    <mergeCell ref="G339:G342"/>
    <mergeCell ref="G335:G338"/>
    <mergeCell ref="G331:G334"/>
    <mergeCell ref="G355:G358"/>
    <mergeCell ref="G327:G330"/>
    <mergeCell ref="G323:G326"/>
    <mergeCell ref="G391:G394"/>
    <mergeCell ref="G387:G390"/>
    <mergeCell ref="G383:G386"/>
    <mergeCell ref="G379:G382"/>
    <mergeCell ref="G375:G378"/>
    <mergeCell ref="G371:G374"/>
    <mergeCell ref="G367:G370"/>
    <mergeCell ref="G363:G366"/>
    <mergeCell ref="G359:G362"/>
    <mergeCell ref="G239:G242"/>
    <mergeCell ref="G235:G238"/>
    <mergeCell ref="G231:G234"/>
    <mergeCell ref="G167:G170"/>
    <mergeCell ref="G195:G198"/>
    <mergeCell ref="G191:G194"/>
    <mergeCell ref="G187:G190"/>
    <mergeCell ref="G183:G186"/>
    <mergeCell ref="G203:G206"/>
    <mergeCell ref="G179:G182"/>
    <mergeCell ref="G175:G178"/>
    <mergeCell ref="G171:G174"/>
    <mergeCell ref="G15:G18"/>
    <mergeCell ref="G75:G78"/>
    <mergeCell ref="G71:G74"/>
    <mergeCell ref="G67:G70"/>
    <mergeCell ref="G63:G66"/>
    <mergeCell ref="G59:G62"/>
    <mergeCell ref="G55:G58"/>
    <mergeCell ref="G51:G54"/>
    <mergeCell ref="G35:G38"/>
    <mergeCell ref="G31:G34"/>
    <mergeCell ref="G27:G30"/>
    <mergeCell ref="G23:G26"/>
    <mergeCell ref="G19:G22"/>
    <mergeCell ref="G47:G50"/>
    <mergeCell ref="G43:G46"/>
    <mergeCell ref="G39:G42"/>
    <mergeCell ref="F303:F306"/>
    <mergeCell ref="D303:D306"/>
    <mergeCell ref="C303:C306"/>
    <mergeCell ref="B303:B306"/>
    <mergeCell ref="A303:A306"/>
    <mergeCell ref="G255:G258"/>
    <mergeCell ref="G251:G254"/>
    <mergeCell ref="F299:F302"/>
    <mergeCell ref="F295:F298"/>
    <mergeCell ref="B283:B286"/>
    <mergeCell ref="A283:A286"/>
    <mergeCell ref="D291:D294"/>
    <mergeCell ref="C291:C294"/>
    <mergeCell ref="B291:B294"/>
    <mergeCell ref="A291:A294"/>
    <mergeCell ref="D283:D286"/>
    <mergeCell ref="C283:C286"/>
    <mergeCell ref="A287:A290"/>
    <mergeCell ref="B287:B290"/>
    <mergeCell ref="C287:C290"/>
    <mergeCell ref="D287:D290"/>
    <mergeCell ref="D275:D278"/>
    <mergeCell ref="G303:G306"/>
    <mergeCell ref="C279:C282"/>
    <mergeCell ref="G87:G90"/>
    <mergeCell ref="G83:G86"/>
    <mergeCell ref="G163:G166"/>
    <mergeCell ref="G159:G162"/>
    <mergeCell ref="G155:G158"/>
    <mergeCell ref="G115:G118"/>
    <mergeCell ref="G111:G114"/>
    <mergeCell ref="G107:G110"/>
    <mergeCell ref="G151:G154"/>
    <mergeCell ref="G147:G150"/>
    <mergeCell ref="G143:G146"/>
    <mergeCell ref="G139:G142"/>
    <mergeCell ref="G135:G138"/>
    <mergeCell ref="G131:G134"/>
    <mergeCell ref="G127:G130"/>
    <mergeCell ref="G123:G126"/>
    <mergeCell ref="G119:G122"/>
    <mergeCell ref="G103:G106"/>
    <mergeCell ref="G99:G102"/>
    <mergeCell ref="G79:G82"/>
    <mergeCell ref="F311:F314"/>
    <mergeCell ref="F307:F310"/>
    <mergeCell ref="F291:F294"/>
    <mergeCell ref="F287:F290"/>
    <mergeCell ref="F283:F286"/>
    <mergeCell ref="F279:F282"/>
    <mergeCell ref="F275:F278"/>
    <mergeCell ref="F271:F274"/>
    <mergeCell ref="F251:F254"/>
    <mergeCell ref="F247:F250"/>
    <mergeCell ref="F243:F246"/>
    <mergeCell ref="F231:F234"/>
    <mergeCell ref="F235:F238"/>
    <mergeCell ref="F239:F242"/>
    <mergeCell ref="F227:F230"/>
    <mergeCell ref="F207:F210"/>
    <mergeCell ref="F203:F206"/>
    <mergeCell ref="F195:F198"/>
    <mergeCell ref="F183:F186"/>
    <mergeCell ref="F155:F158"/>
    <mergeCell ref="F147:F150"/>
    <mergeCell ref="G95:G98"/>
    <mergeCell ref="G91:G94"/>
    <mergeCell ref="D307:D310"/>
    <mergeCell ref="C307:C310"/>
    <mergeCell ref="A311:A314"/>
    <mergeCell ref="B311:B314"/>
    <mergeCell ref="C311:C314"/>
    <mergeCell ref="D311:D314"/>
    <mergeCell ref="B307:B310"/>
    <mergeCell ref="A307:A310"/>
    <mergeCell ref="D295:D298"/>
    <mergeCell ref="C295:C298"/>
    <mergeCell ref="A299:A302"/>
    <mergeCell ref="B299:B302"/>
    <mergeCell ref="C299:C302"/>
    <mergeCell ref="D299:D302"/>
    <mergeCell ref="B295:B298"/>
    <mergeCell ref="A295:A298"/>
    <mergeCell ref="D279:D282"/>
    <mergeCell ref="C275:C278"/>
    <mergeCell ref="B279:B282"/>
    <mergeCell ref="B275:B278"/>
    <mergeCell ref="A279:A282"/>
    <mergeCell ref="A275:A278"/>
    <mergeCell ref="D263:D266"/>
    <mergeCell ref="A271:A274"/>
    <mergeCell ref="A267:A270"/>
    <mergeCell ref="B267:B270"/>
    <mergeCell ref="C267:C270"/>
    <mergeCell ref="D267:D270"/>
    <mergeCell ref="D271:D274"/>
    <mergeCell ref="C271:C274"/>
    <mergeCell ref="B271:B274"/>
    <mergeCell ref="C263:C266"/>
    <mergeCell ref="B263:B266"/>
    <mergeCell ref="F267:F270"/>
    <mergeCell ref="F263:F266"/>
    <mergeCell ref="B255:B258"/>
    <mergeCell ref="A255:A258"/>
    <mergeCell ref="F259:F262"/>
    <mergeCell ref="F255:F258"/>
    <mergeCell ref="D255:D258"/>
    <mergeCell ref="C255:C258"/>
    <mergeCell ref="A259:A262"/>
    <mergeCell ref="B259:B262"/>
    <mergeCell ref="C259:C262"/>
    <mergeCell ref="D259:D262"/>
    <mergeCell ref="A263:A266"/>
    <mergeCell ref="A251:A254"/>
    <mergeCell ref="A247:A250"/>
    <mergeCell ref="B247:B250"/>
    <mergeCell ref="B243:B246"/>
    <mergeCell ref="A243:A246"/>
    <mergeCell ref="C247:C250"/>
    <mergeCell ref="D247:D250"/>
    <mergeCell ref="D243:D246"/>
    <mergeCell ref="C243:C246"/>
    <mergeCell ref="D251:D254"/>
    <mergeCell ref="C251:C254"/>
    <mergeCell ref="B251:B254"/>
    <mergeCell ref="F223:F226"/>
    <mergeCell ref="F219:F222"/>
    <mergeCell ref="D219:D222"/>
    <mergeCell ref="C219:C222"/>
    <mergeCell ref="B219:B222"/>
    <mergeCell ref="A219:A222"/>
    <mergeCell ref="A223:A226"/>
    <mergeCell ref="B223:B226"/>
    <mergeCell ref="C223:C226"/>
    <mergeCell ref="D223:D226"/>
    <mergeCell ref="D235:D238"/>
    <mergeCell ref="D239:D242"/>
    <mergeCell ref="B227:B230"/>
    <mergeCell ref="A227:A230"/>
    <mergeCell ref="C227:C230"/>
    <mergeCell ref="B235:B238"/>
    <mergeCell ref="A235:A238"/>
    <mergeCell ref="A231:A234"/>
    <mergeCell ref="B231:B234"/>
    <mergeCell ref="A239:A242"/>
    <mergeCell ref="B239:B242"/>
    <mergeCell ref="D227:D230"/>
    <mergeCell ref="C231:C234"/>
    <mergeCell ref="D231:D234"/>
    <mergeCell ref="C239:C242"/>
    <mergeCell ref="C235:C238"/>
    <mergeCell ref="F191:F194"/>
    <mergeCell ref="F187:F190"/>
    <mergeCell ref="D187:D190"/>
    <mergeCell ref="C187:C190"/>
    <mergeCell ref="D203:D206"/>
    <mergeCell ref="C203:C206"/>
    <mergeCell ref="C215:C218"/>
    <mergeCell ref="D215:D218"/>
    <mergeCell ref="F215:F218"/>
    <mergeCell ref="F211:F214"/>
    <mergeCell ref="D211:D214"/>
    <mergeCell ref="C211:C214"/>
    <mergeCell ref="F199:F202"/>
    <mergeCell ref="D207:D210"/>
    <mergeCell ref="B187:B190"/>
    <mergeCell ref="A187:A190"/>
    <mergeCell ref="A183:A186"/>
    <mergeCell ref="B183:B186"/>
    <mergeCell ref="C183:C186"/>
    <mergeCell ref="D195:D198"/>
    <mergeCell ref="C195:C198"/>
    <mergeCell ref="B199:B202"/>
    <mergeCell ref="C199:C202"/>
    <mergeCell ref="D199:D202"/>
    <mergeCell ref="B195:B198"/>
    <mergeCell ref="D191:D194"/>
    <mergeCell ref="D183:D186"/>
    <mergeCell ref="A191:A194"/>
    <mergeCell ref="B191:B194"/>
    <mergeCell ref="C191:C194"/>
    <mergeCell ref="A195:A198"/>
    <mergeCell ref="A199:A202"/>
    <mergeCell ref="D175:D178"/>
    <mergeCell ref="F175:F178"/>
    <mergeCell ref="F171:F174"/>
    <mergeCell ref="D171:D174"/>
    <mergeCell ref="B179:B182"/>
    <mergeCell ref="A179:A182"/>
    <mergeCell ref="A175:A178"/>
    <mergeCell ref="B175:B178"/>
    <mergeCell ref="C175:C178"/>
    <mergeCell ref="F179:F182"/>
    <mergeCell ref="D179:D182"/>
    <mergeCell ref="C179:C182"/>
    <mergeCell ref="C171:C174"/>
    <mergeCell ref="B171:B174"/>
    <mergeCell ref="A171:A174"/>
    <mergeCell ref="F315:F318"/>
    <mergeCell ref="F319:F322"/>
    <mergeCell ref="D315:D318"/>
    <mergeCell ref="D319:D322"/>
    <mergeCell ref="C319:C322"/>
    <mergeCell ref="C315:C318"/>
    <mergeCell ref="B319:B322"/>
    <mergeCell ref="B315:B318"/>
    <mergeCell ref="A319:A322"/>
    <mergeCell ref="A315:A318"/>
    <mergeCell ref="A215:A218"/>
    <mergeCell ref="B215:B218"/>
    <mergeCell ref="B211:B214"/>
    <mergeCell ref="A211:A214"/>
    <mergeCell ref="A207:A210"/>
    <mergeCell ref="B207:B210"/>
    <mergeCell ref="B203:B206"/>
    <mergeCell ref="A203:A206"/>
    <mergeCell ref="C207:C210"/>
    <mergeCell ref="D331:D334"/>
    <mergeCell ref="F331:F334"/>
    <mergeCell ref="D343:D346"/>
    <mergeCell ref="F343:F346"/>
    <mergeCell ref="F335:F338"/>
    <mergeCell ref="F339:F342"/>
    <mergeCell ref="D339:D342"/>
    <mergeCell ref="C339:C342"/>
    <mergeCell ref="D335:D338"/>
    <mergeCell ref="A323:A326"/>
    <mergeCell ref="B323:B326"/>
    <mergeCell ref="C323:C326"/>
    <mergeCell ref="D323:D326"/>
    <mergeCell ref="F323:F326"/>
    <mergeCell ref="F327:F330"/>
    <mergeCell ref="D327:D330"/>
    <mergeCell ref="C327:C330"/>
    <mergeCell ref="B327:B330"/>
    <mergeCell ref="A327:A330"/>
    <mergeCell ref="A331:A334"/>
    <mergeCell ref="B339:B342"/>
    <mergeCell ref="A339:A342"/>
    <mergeCell ref="A343:A346"/>
    <mergeCell ref="B343:B346"/>
    <mergeCell ref="C343:C346"/>
    <mergeCell ref="A347:A350"/>
    <mergeCell ref="B347:B350"/>
    <mergeCell ref="C347:C350"/>
    <mergeCell ref="A335:A338"/>
    <mergeCell ref="B335:B338"/>
    <mergeCell ref="C335:C338"/>
    <mergeCell ref="B331:B334"/>
    <mergeCell ref="C331:C334"/>
    <mergeCell ref="D347:D350"/>
    <mergeCell ref="F347:F350"/>
    <mergeCell ref="F351:F354"/>
    <mergeCell ref="D351:D354"/>
    <mergeCell ref="C351:C354"/>
    <mergeCell ref="B351:B354"/>
    <mergeCell ref="A351:A354"/>
    <mergeCell ref="D375:D378"/>
    <mergeCell ref="D379:D382"/>
    <mergeCell ref="B379:B382"/>
    <mergeCell ref="F375:F378"/>
    <mergeCell ref="F379:F382"/>
    <mergeCell ref="A367:A370"/>
    <mergeCell ref="B367:B370"/>
    <mergeCell ref="C367:C370"/>
    <mergeCell ref="D367:D370"/>
    <mergeCell ref="A355:A358"/>
    <mergeCell ref="C359:C362"/>
    <mergeCell ref="B359:B362"/>
    <mergeCell ref="A359:A362"/>
    <mergeCell ref="A363:A366"/>
    <mergeCell ref="B363:B366"/>
    <mergeCell ref="C363:C366"/>
    <mergeCell ref="D383:D386"/>
    <mergeCell ref="B355:B358"/>
    <mergeCell ref="C355:C358"/>
    <mergeCell ref="D355:D358"/>
    <mergeCell ref="F355:F358"/>
    <mergeCell ref="D363:D366"/>
    <mergeCell ref="F363:F366"/>
    <mergeCell ref="A371:A374"/>
    <mergeCell ref="B371:B374"/>
    <mergeCell ref="C371:C374"/>
    <mergeCell ref="A379:A382"/>
    <mergeCell ref="A383:A386"/>
    <mergeCell ref="B383:B386"/>
    <mergeCell ref="C383:C386"/>
    <mergeCell ref="A375:A378"/>
    <mergeCell ref="B375:B378"/>
    <mergeCell ref="C375:C378"/>
    <mergeCell ref="F383:F386"/>
    <mergeCell ref="F367:F370"/>
    <mergeCell ref="F359:F362"/>
    <mergeCell ref="D359:D362"/>
    <mergeCell ref="F371:F374"/>
    <mergeCell ref="D371:D374"/>
    <mergeCell ref="C379:C382"/>
    <mergeCell ref="C395:C398"/>
    <mergeCell ref="B395:B398"/>
    <mergeCell ref="A395:A398"/>
    <mergeCell ref="F387:F390"/>
    <mergeCell ref="D387:D390"/>
    <mergeCell ref="C387:C390"/>
    <mergeCell ref="B387:B390"/>
    <mergeCell ref="A387:A390"/>
    <mergeCell ref="A391:A394"/>
    <mergeCell ref="B391:B394"/>
    <mergeCell ref="C391:C394"/>
    <mergeCell ref="D391:D394"/>
    <mergeCell ref="F391:F394"/>
    <mergeCell ref="F395:F398"/>
    <mergeCell ref="D395:D398"/>
    <mergeCell ref="A167:A170"/>
    <mergeCell ref="A163:A166"/>
    <mergeCell ref="B163:B166"/>
    <mergeCell ref="C163:C166"/>
    <mergeCell ref="D163:D166"/>
    <mergeCell ref="F167:F170"/>
    <mergeCell ref="D167:D170"/>
    <mergeCell ref="C167:C170"/>
    <mergeCell ref="B167:B170"/>
    <mergeCell ref="F163:F166"/>
    <mergeCell ref="A159:A162"/>
    <mergeCell ref="B159:B162"/>
    <mergeCell ref="C159:C162"/>
    <mergeCell ref="D159:D162"/>
    <mergeCell ref="F159:F162"/>
    <mergeCell ref="A155:A158"/>
    <mergeCell ref="B155:B158"/>
    <mergeCell ref="C155:C158"/>
    <mergeCell ref="D155:D158"/>
    <mergeCell ref="A151:A154"/>
    <mergeCell ref="B151:B154"/>
    <mergeCell ref="C151:C154"/>
    <mergeCell ref="D151:D154"/>
    <mergeCell ref="F151:F154"/>
    <mergeCell ref="A147:A150"/>
    <mergeCell ref="B147:B150"/>
    <mergeCell ref="C147:C150"/>
    <mergeCell ref="D147:D150"/>
    <mergeCell ref="F139:F142"/>
    <mergeCell ref="A143:A146"/>
    <mergeCell ref="B143:B146"/>
    <mergeCell ref="C143:C146"/>
    <mergeCell ref="D143:D146"/>
    <mergeCell ref="F143:F146"/>
    <mergeCell ref="A139:A142"/>
    <mergeCell ref="B139:B142"/>
    <mergeCell ref="C139:C142"/>
    <mergeCell ref="D139:D142"/>
    <mergeCell ref="C119:C122"/>
    <mergeCell ref="B119:B122"/>
    <mergeCell ref="A119:A122"/>
    <mergeCell ref="F135:F138"/>
    <mergeCell ref="D135:D138"/>
    <mergeCell ref="C135:C138"/>
    <mergeCell ref="B135:B138"/>
    <mergeCell ref="A135:A138"/>
    <mergeCell ref="A131:A134"/>
    <mergeCell ref="B131:B134"/>
    <mergeCell ref="C131:C134"/>
    <mergeCell ref="D131:D134"/>
    <mergeCell ref="F131:F134"/>
    <mergeCell ref="C127:C130"/>
    <mergeCell ref="B127:B130"/>
    <mergeCell ref="A127:A130"/>
    <mergeCell ref="A123:A126"/>
    <mergeCell ref="B123:B126"/>
    <mergeCell ref="C123:C126"/>
    <mergeCell ref="D107:D110"/>
    <mergeCell ref="F107:F110"/>
    <mergeCell ref="F127:F130"/>
    <mergeCell ref="D127:D130"/>
    <mergeCell ref="D123:D126"/>
    <mergeCell ref="F123:F126"/>
    <mergeCell ref="F119:F122"/>
    <mergeCell ref="D119:D122"/>
    <mergeCell ref="D115:D118"/>
    <mergeCell ref="F115:F118"/>
    <mergeCell ref="F111:F114"/>
    <mergeCell ref="D111:D114"/>
    <mergeCell ref="A115:A118"/>
    <mergeCell ref="B115:B118"/>
    <mergeCell ref="C115:C118"/>
    <mergeCell ref="C111:C114"/>
    <mergeCell ref="B111:B114"/>
    <mergeCell ref="A111:A114"/>
    <mergeCell ref="A107:A110"/>
    <mergeCell ref="B107:B110"/>
    <mergeCell ref="C107:C110"/>
    <mergeCell ref="F99:F102"/>
    <mergeCell ref="F95:F98"/>
    <mergeCell ref="D95:D98"/>
    <mergeCell ref="A103:A106"/>
    <mergeCell ref="A99:A102"/>
    <mergeCell ref="B99:B102"/>
    <mergeCell ref="C99:C102"/>
    <mergeCell ref="D99:D102"/>
    <mergeCell ref="F103:F106"/>
    <mergeCell ref="D103:D106"/>
    <mergeCell ref="C103:C106"/>
    <mergeCell ref="B103:B106"/>
    <mergeCell ref="C95:C98"/>
    <mergeCell ref="B95:B98"/>
    <mergeCell ref="A95:A98"/>
    <mergeCell ref="D87:D90"/>
    <mergeCell ref="C87:C90"/>
    <mergeCell ref="D83:D86"/>
    <mergeCell ref="F83:F86"/>
    <mergeCell ref="F91:F94"/>
    <mergeCell ref="F87:F90"/>
    <mergeCell ref="A91:A94"/>
    <mergeCell ref="B91:B94"/>
    <mergeCell ref="C91:C94"/>
    <mergeCell ref="D91:D94"/>
    <mergeCell ref="B87:B90"/>
    <mergeCell ref="A87:A90"/>
    <mergeCell ref="A83:A86"/>
    <mergeCell ref="B83:B86"/>
    <mergeCell ref="C83:C86"/>
    <mergeCell ref="A79:A82"/>
    <mergeCell ref="A75:A78"/>
    <mergeCell ref="B75:B78"/>
    <mergeCell ref="C75:C78"/>
    <mergeCell ref="D75:D78"/>
    <mergeCell ref="F79:F82"/>
    <mergeCell ref="D79:D82"/>
    <mergeCell ref="C79:C82"/>
    <mergeCell ref="B79:B82"/>
    <mergeCell ref="F75:F78"/>
    <mergeCell ref="A51:A54"/>
    <mergeCell ref="A47:A50"/>
    <mergeCell ref="A43:A46"/>
    <mergeCell ref="A39:A42"/>
    <mergeCell ref="F71:F74"/>
    <mergeCell ref="D71:D74"/>
    <mergeCell ref="C71:C74"/>
    <mergeCell ref="B71:B74"/>
    <mergeCell ref="A71:A74"/>
    <mergeCell ref="A67:A70"/>
    <mergeCell ref="B67:B70"/>
    <mergeCell ref="C67:C70"/>
    <mergeCell ref="D67:D70"/>
    <mergeCell ref="F67:F70"/>
    <mergeCell ref="B63:B66"/>
    <mergeCell ref="B59:B62"/>
    <mergeCell ref="A63:A66"/>
    <mergeCell ref="A59:A62"/>
    <mergeCell ref="A55:A58"/>
    <mergeCell ref="F63:F66"/>
    <mergeCell ref="D59:D62"/>
    <mergeCell ref="D63:D66"/>
    <mergeCell ref="C63:C66"/>
    <mergeCell ref="C59:C62"/>
    <mergeCell ref="C55:C58"/>
    <mergeCell ref="D55:D58"/>
    <mergeCell ref="D51:D54"/>
    <mergeCell ref="C51:C54"/>
    <mergeCell ref="C47:C50"/>
    <mergeCell ref="D47:D50"/>
    <mergeCell ref="D43:D46"/>
    <mergeCell ref="C43:C46"/>
    <mergeCell ref="C39:C42"/>
    <mergeCell ref="D39:D42"/>
    <mergeCell ref="F51:F54"/>
    <mergeCell ref="F47:F50"/>
    <mergeCell ref="F43:F46"/>
    <mergeCell ref="F39:F42"/>
    <mergeCell ref="D15:D18"/>
    <mergeCell ref="C15:C18"/>
    <mergeCell ref="B15:B18"/>
    <mergeCell ref="B19:B22"/>
    <mergeCell ref="C19:C22"/>
    <mergeCell ref="D19:D22"/>
    <mergeCell ref="B27:B30"/>
    <mergeCell ref="B47:B50"/>
    <mergeCell ref="B43:B46"/>
    <mergeCell ref="B39:B42"/>
    <mergeCell ref="B31:B34"/>
    <mergeCell ref="D31:D34"/>
    <mergeCell ref="C31:C34"/>
    <mergeCell ref="C27:C30"/>
    <mergeCell ref="D27:D30"/>
    <mergeCell ref="A11:A14"/>
    <mergeCell ref="B11:B14"/>
    <mergeCell ref="C11:C14"/>
    <mergeCell ref="D11:D14"/>
    <mergeCell ref="B35:B38"/>
    <mergeCell ref="A35:A38"/>
    <mergeCell ref="D35:D38"/>
    <mergeCell ref="C35:C38"/>
    <mergeCell ref="D23:D26"/>
    <mergeCell ref="C23:C26"/>
    <mergeCell ref="B23:B26"/>
    <mergeCell ref="A15:A18"/>
    <mergeCell ref="A19:A22"/>
    <mergeCell ref="A23:A26"/>
    <mergeCell ref="A27:A30"/>
    <mergeCell ref="A31:A34"/>
    <mergeCell ref="A7:A10"/>
    <mergeCell ref="C7:C10"/>
    <mergeCell ref="D7:D10"/>
    <mergeCell ref="F7:F10"/>
    <mergeCell ref="B7:B10"/>
    <mergeCell ref="A4:C4"/>
    <mergeCell ref="I4:O4"/>
    <mergeCell ref="I6:L6"/>
    <mergeCell ref="M6:Q6"/>
    <mergeCell ref="G7:G10"/>
    <mergeCell ref="J2:K2"/>
    <mergeCell ref="J3:K3"/>
    <mergeCell ref="L2:M3"/>
    <mergeCell ref="Q2:R2"/>
    <mergeCell ref="Q3:R3"/>
    <mergeCell ref="O2:P3"/>
    <mergeCell ref="P4:AH4"/>
    <mergeCell ref="R6:T6"/>
    <mergeCell ref="U6:Y6"/>
    <mergeCell ref="Z6:AC6"/>
    <mergeCell ref="B399:B402"/>
    <mergeCell ref="C399:C402"/>
    <mergeCell ref="F399:F402"/>
    <mergeCell ref="D399:D402"/>
    <mergeCell ref="G399:G402"/>
    <mergeCell ref="AI4:BA4"/>
    <mergeCell ref="AD6:AH6"/>
    <mergeCell ref="AI6:AL6"/>
    <mergeCell ref="AM6:AQ6"/>
    <mergeCell ref="AR6:AU6"/>
    <mergeCell ref="AV6:AZ6"/>
    <mergeCell ref="F11:F14"/>
    <mergeCell ref="G11:G14"/>
    <mergeCell ref="G395:G398"/>
    <mergeCell ref="F59:F62"/>
    <mergeCell ref="B55:B58"/>
    <mergeCell ref="B51:B54"/>
    <mergeCell ref="F15:F18"/>
    <mergeCell ref="F35:F38"/>
    <mergeCell ref="F31:F34"/>
    <mergeCell ref="F27:F30"/>
    <mergeCell ref="F23:F26"/>
    <mergeCell ref="F19:F22"/>
    <mergeCell ref="F55:F58"/>
    <mergeCell ref="A399:A402"/>
    <mergeCell ref="B411:B414"/>
    <mergeCell ref="C411:C414"/>
    <mergeCell ref="D411:D414"/>
    <mergeCell ref="F411:F414"/>
    <mergeCell ref="G411:G414"/>
    <mergeCell ref="A415:A418"/>
    <mergeCell ref="B415:B418"/>
    <mergeCell ref="C415:C418"/>
    <mergeCell ref="D415:D418"/>
    <mergeCell ref="F415:F418"/>
    <mergeCell ref="G415:G418"/>
    <mergeCell ref="A403:A406"/>
    <mergeCell ref="B403:B406"/>
    <mergeCell ref="C403:C406"/>
    <mergeCell ref="D403:D406"/>
    <mergeCell ref="F403:F406"/>
    <mergeCell ref="G403:G406"/>
    <mergeCell ref="A407:A410"/>
    <mergeCell ref="B407:B410"/>
    <mergeCell ref="C407:C410"/>
    <mergeCell ref="D407:D410"/>
    <mergeCell ref="F407:F410"/>
    <mergeCell ref="G407:G410"/>
    <mergeCell ref="A419:A422"/>
    <mergeCell ref="B419:B422"/>
    <mergeCell ref="C419:C422"/>
    <mergeCell ref="D419:D422"/>
    <mergeCell ref="F419:F422"/>
    <mergeCell ref="G419:G422"/>
    <mergeCell ref="A423:A426"/>
    <mergeCell ref="B423:B426"/>
    <mergeCell ref="C423:C426"/>
    <mergeCell ref="D423:D426"/>
    <mergeCell ref="F423:F426"/>
    <mergeCell ref="G423:G426"/>
    <mergeCell ref="A427:A430"/>
    <mergeCell ref="B427:B430"/>
    <mergeCell ref="C427:C430"/>
    <mergeCell ref="D427:D430"/>
    <mergeCell ref="F427:F430"/>
    <mergeCell ref="G427:G430"/>
    <mergeCell ref="A431:A434"/>
    <mergeCell ref="B431:B434"/>
    <mergeCell ref="C431:C434"/>
    <mergeCell ref="D431:D434"/>
    <mergeCell ref="F431:F434"/>
    <mergeCell ref="G431:G434"/>
    <mergeCell ref="A435:A438"/>
    <mergeCell ref="B435:B438"/>
    <mergeCell ref="C435:C438"/>
    <mergeCell ref="D435:D438"/>
    <mergeCell ref="F435:F438"/>
    <mergeCell ref="G435:G438"/>
    <mergeCell ref="A439:A442"/>
    <mergeCell ref="B439:B442"/>
    <mergeCell ref="C439:C442"/>
    <mergeCell ref="D439:D442"/>
    <mergeCell ref="F439:F442"/>
    <mergeCell ref="G439:G442"/>
    <mergeCell ref="A443:A446"/>
    <mergeCell ref="B443:B446"/>
    <mergeCell ref="C443:C446"/>
    <mergeCell ref="D443:D446"/>
    <mergeCell ref="F443:F446"/>
    <mergeCell ref="G443:G446"/>
    <mergeCell ref="A447:A450"/>
    <mergeCell ref="B447:B450"/>
    <mergeCell ref="C447:C450"/>
    <mergeCell ref="D447:D450"/>
    <mergeCell ref="F447:F450"/>
    <mergeCell ref="G447:G450"/>
    <mergeCell ref="A451:A454"/>
    <mergeCell ref="B451:B454"/>
    <mergeCell ref="C451:C454"/>
    <mergeCell ref="D451:D454"/>
    <mergeCell ref="F451:F454"/>
    <mergeCell ref="G451:G454"/>
    <mergeCell ref="A455:A458"/>
    <mergeCell ref="B455:B458"/>
    <mergeCell ref="C455:C458"/>
    <mergeCell ref="D455:D458"/>
    <mergeCell ref="F455:F458"/>
    <mergeCell ref="G455:G458"/>
    <mergeCell ref="A459:A462"/>
    <mergeCell ref="B459:B462"/>
    <mergeCell ref="C459:C462"/>
    <mergeCell ref="D459:D462"/>
    <mergeCell ref="F459:F462"/>
    <mergeCell ref="G459:G462"/>
    <mergeCell ref="A463:A466"/>
    <mergeCell ref="B463:B466"/>
    <mergeCell ref="C463:C466"/>
    <mergeCell ref="D463:D466"/>
    <mergeCell ref="F463:F466"/>
    <mergeCell ref="G463:G466"/>
    <mergeCell ref="A467:A470"/>
    <mergeCell ref="B467:B470"/>
    <mergeCell ref="C467:C470"/>
    <mergeCell ref="D467:D470"/>
    <mergeCell ref="F467:F470"/>
    <mergeCell ref="G467:G470"/>
    <mergeCell ref="A471:A474"/>
    <mergeCell ref="B471:B474"/>
    <mergeCell ref="C471:C474"/>
    <mergeCell ref="D471:D474"/>
    <mergeCell ref="F471:F474"/>
    <mergeCell ref="G471:G474"/>
    <mergeCell ref="A475:A478"/>
    <mergeCell ref="B475:B478"/>
    <mergeCell ref="C475:C478"/>
    <mergeCell ref="D475:D478"/>
    <mergeCell ref="F475:F478"/>
    <mergeCell ref="G475:G478"/>
    <mergeCell ref="A479:A482"/>
    <mergeCell ref="B479:B482"/>
    <mergeCell ref="C479:C482"/>
    <mergeCell ref="D479:D482"/>
    <mergeCell ref="F479:F482"/>
    <mergeCell ref="G479:G482"/>
    <mergeCell ref="A483:A486"/>
    <mergeCell ref="B483:B486"/>
    <mergeCell ref="C483:C486"/>
    <mergeCell ref="D483:D486"/>
    <mergeCell ref="F483:F486"/>
    <mergeCell ref="G483:G486"/>
    <mergeCell ref="A487:A490"/>
    <mergeCell ref="B487:B490"/>
    <mergeCell ref="C487:C490"/>
    <mergeCell ref="D487:D490"/>
    <mergeCell ref="F487:F490"/>
    <mergeCell ref="G487:G490"/>
    <mergeCell ref="A491:A494"/>
    <mergeCell ref="B491:B494"/>
    <mergeCell ref="C491:C494"/>
    <mergeCell ref="D491:D494"/>
    <mergeCell ref="F491:F494"/>
    <mergeCell ref="G491:G494"/>
    <mergeCell ref="A495:A498"/>
    <mergeCell ref="B495:B498"/>
    <mergeCell ref="C495:C498"/>
    <mergeCell ref="D495:D498"/>
    <mergeCell ref="F495:F498"/>
    <mergeCell ref="G495:G498"/>
    <mergeCell ref="G507:G510"/>
    <mergeCell ref="A511:A514"/>
    <mergeCell ref="B511:B514"/>
    <mergeCell ref="C511:C514"/>
    <mergeCell ref="D511:D514"/>
    <mergeCell ref="F511:F514"/>
    <mergeCell ref="G511:G514"/>
    <mergeCell ref="A499:A502"/>
    <mergeCell ref="B499:B502"/>
    <mergeCell ref="C499:C502"/>
    <mergeCell ref="D499:D502"/>
    <mergeCell ref="F499:F502"/>
    <mergeCell ref="G499:G502"/>
    <mergeCell ref="A503:A506"/>
    <mergeCell ref="B503:B506"/>
    <mergeCell ref="C503:C506"/>
    <mergeCell ref="D503:D506"/>
    <mergeCell ref="F503:F506"/>
    <mergeCell ref="G503:G506"/>
    <mergeCell ref="A523:A526"/>
    <mergeCell ref="B523:B526"/>
    <mergeCell ref="C523:C526"/>
    <mergeCell ref="D523:D526"/>
    <mergeCell ref="F523:F526"/>
    <mergeCell ref="G523:G526"/>
    <mergeCell ref="A411:A414"/>
    <mergeCell ref="A515:A518"/>
    <mergeCell ref="B515:B518"/>
    <mergeCell ref="C515:C518"/>
    <mergeCell ref="D515:D518"/>
    <mergeCell ref="F515:F518"/>
    <mergeCell ref="G515:G518"/>
    <mergeCell ref="A519:A522"/>
    <mergeCell ref="B519:B522"/>
    <mergeCell ref="C519:C522"/>
    <mergeCell ref="D519:D522"/>
    <mergeCell ref="F519:F522"/>
    <mergeCell ref="G519:G522"/>
    <mergeCell ref="A507:A510"/>
    <mergeCell ref="B507:B510"/>
    <mergeCell ref="C507:C510"/>
    <mergeCell ref="D507:D510"/>
    <mergeCell ref="F507:F510"/>
  </mergeCells>
  <pageMargins left="0.25" right="0.25" top="0.25" bottom="0.25" header="0" footer="0"/>
  <pageSetup paperSize="119" scale="5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Date_Range">
          <controlPr defaultSize="0" autoLine="0" r:id="rId5">
            <anchor moveWithCells="1">
              <from>
                <xdr:col>5</xdr:col>
                <xdr:colOff>723900</xdr:colOff>
                <xdr:row>3</xdr:row>
                <xdr:rowOff>76200</xdr:rowOff>
              </from>
              <to>
                <xdr:col>7</xdr:col>
                <xdr:colOff>361950</xdr:colOff>
                <xdr:row>4</xdr:row>
                <xdr:rowOff>323850</xdr:rowOff>
              </to>
            </anchor>
          </controlPr>
        </control>
      </mc:Choice>
      <mc:Fallback>
        <control shapeId="1031" r:id="rId4" name="Date_Range"/>
      </mc:Fallback>
    </mc:AlternateContent>
    <mc:AlternateContent xmlns:mc="http://schemas.openxmlformats.org/markup-compatibility/2006">
      <mc:Choice Requires="x14">
        <control shapeId="1035" r:id="rId6" name="Populate_Field">
          <controlPr defaultSize="0" autoLine="0" r:id="rId7">
            <anchor moveWithCells="1">
              <from>
                <xdr:col>5</xdr:col>
                <xdr:colOff>714375</xdr:colOff>
                <xdr:row>4</xdr:row>
                <xdr:rowOff>333375</xdr:rowOff>
              </from>
              <to>
                <xdr:col>7</xdr:col>
                <xdr:colOff>361950</xdr:colOff>
                <xdr:row>4</xdr:row>
                <xdr:rowOff>790575</xdr:rowOff>
              </to>
            </anchor>
          </controlPr>
        </control>
      </mc:Choice>
      <mc:Fallback>
        <control shapeId="1035" r:id="rId6" name="Populate_Field"/>
      </mc:Fallback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SS_Calculation">
            <anchor moveWithCells="1" sizeWithCells="1">
              <from>
                <xdr:col>4</xdr:col>
                <xdr:colOff>257175</xdr:colOff>
                <xdr:row>1</xdr:row>
                <xdr:rowOff>47625</xdr:rowOff>
              </from>
              <to>
                <xdr:col>5</xdr:col>
                <xdr:colOff>676275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" name="Button 12">
          <controlPr defaultSize="0" print="0" autoFill="0" autoPict="0" macro="[0]!Optimize_SS">
            <anchor moveWithCells="1" sizeWithCells="1">
              <from>
                <xdr:col>4</xdr:col>
                <xdr:colOff>247650</xdr:colOff>
                <xdr:row>3</xdr:row>
                <xdr:rowOff>114300</xdr:rowOff>
              </from>
              <to>
                <xdr:col>5</xdr:col>
                <xdr:colOff>666750</xdr:colOff>
                <xdr:row>4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0" name="Button 13">
          <controlPr defaultSize="0" print="0" autoFill="0" autoPict="0" macro="[0]!SS_Calculation2">
            <anchor moveWithCells="1" sizeWithCells="1">
              <from>
                <xdr:col>4</xdr:col>
                <xdr:colOff>238125</xdr:colOff>
                <xdr:row>4</xdr:row>
                <xdr:rowOff>381000</xdr:rowOff>
              </from>
              <to>
                <xdr:col>5</xdr:col>
                <xdr:colOff>676275</xdr:colOff>
                <xdr:row>4</xdr:row>
                <xdr:rowOff>771525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3" tint="0.39997558519241921"/>
  </sheetPr>
  <dimension ref="A1:J1217"/>
  <sheetViews>
    <sheetView workbookViewId="0">
      <selection activeCell="J10" sqref="J10"/>
    </sheetView>
  </sheetViews>
  <sheetFormatPr defaultRowHeight="15" x14ac:dyDescent="0.25"/>
  <cols>
    <col min="1" max="1" width="15.42578125" style="9" bestFit="1" customWidth="1"/>
    <col min="2" max="2" width="20" customWidth="1"/>
    <col min="3" max="4" width="5.42578125" customWidth="1"/>
    <col min="5" max="5" width="22.85546875" customWidth="1"/>
    <col min="6" max="6" width="13.5703125" style="9" bestFit="1" customWidth="1"/>
    <col min="7" max="7" width="20" style="8" bestFit="1" customWidth="1"/>
    <col min="8" max="8" width="12.42578125" style="1" bestFit="1" customWidth="1"/>
    <col min="10" max="10" width="10.7109375" bestFit="1" customWidth="1"/>
  </cols>
  <sheetData>
    <row r="1" spans="1:10" x14ac:dyDescent="0.25">
      <c r="A1" s="44" t="s">
        <v>152</v>
      </c>
      <c r="B1" t="s">
        <v>507</v>
      </c>
      <c r="F1" s="14"/>
    </row>
    <row r="2" spans="1:10" x14ac:dyDescent="0.25">
      <c r="A2" s="8"/>
    </row>
    <row r="3" spans="1:10" x14ac:dyDescent="0.25">
      <c r="A3" s="11" t="s">
        <v>429</v>
      </c>
      <c r="B3" s="9"/>
    </row>
    <row r="4" spans="1:10" ht="15.75" thickBot="1" x14ac:dyDescent="0.3">
      <c r="A4" s="11" t="s">
        <v>430</v>
      </c>
      <c r="B4" s="7" t="s">
        <v>145</v>
      </c>
      <c r="C4" t="s">
        <v>114</v>
      </c>
      <c r="F4" s="12" t="s">
        <v>521</v>
      </c>
      <c r="G4" s="13" t="s">
        <v>115</v>
      </c>
      <c r="H4" s="13" t="s">
        <v>431</v>
      </c>
    </row>
    <row r="5" spans="1:10" x14ac:dyDescent="0.25">
      <c r="A5" s="9" t="s">
        <v>472</v>
      </c>
      <c r="B5" t="s">
        <v>471</v>
      </c>
      <c r="C5" s="5"/>
      <c r="F5" s="9" t="str">
        <f t="shared" ref="F5:F69" si="0">IF(B5="","",IF(A5="",F4,A5))</f>
        <v>Cur date</v>
      </c>
      <c r="G5" s="8" t="str">
        <f>IF(B5="","",B5)</f>
        <v>(blank)</v>
      </c>
      <c r="H5" s="1" t="str">
        <f>IF(C5="","",C5)</f>
        <v/>
      </c>
      <c r="J5" s="2"/>
    </row>
    <row r="6" spans="1:10" x14ac:dyDescent="0.25">
      <c r="A6" s="9">
        <v>42163</v>
      </c>
      <c r="B6" t="s">
        <v>74</v>
      </c>
      <c r="C6" s="5">
        <v>1</v>
      </c>
      <c r="F6" s="9">
        <f t="shared" si="0"/>
        <v>42163</v>
      </c>
      <c r="G6" s="8" t="str">
        <f t="shared" ref="G6:G69" si="1">IF(B6="","",B6)</f>
        <v>0856LU6-AI</v>
      </c>
      <c r="H6" s="1">
        <f t="shared" ref="H6:H69" si="2">IF(C6="","",C6)</f>
        <v>1</v>
      </c>
      <c r="J6" s="2"/>
    </row>
    <row r="7" spans="1:10" x14ac:dyDescent="0.25">
      <c r="A7" s="9">
        <v>42185</v>
      </c>
      <c r="B7" t="s">
        <v>287</v>
      </c>
      <c r="C7" s="5">
        <v>1</v>
      </c>
      <c r="F7" s="9">
        <f t="shared" si="0"/>
        <v>42185</v>
      </c>
      <c r="G7" s="8" t="str">
        <f t="shared" si="1"/>
        <v>*PH502</v>
      </c>
      <c r="H7" s="1">
        <f t="shared" si="2"/>
        <v>1</v>
      </c>
      <c r="J7" s="2"/>
    </row>
    <row r="8" spans="1:10" x14ac:dyDescent="0.25">
      <c r="A8" s="9">
        <v>42271</v>
      </c>
      <c r="B8" t="s">
        <v>287</v>
      </c>
      <c r="C8" s="5">
        <v>1</v>
      </c>
      <c r="F8" s="9">
        <f t="shared" si="0"/>
        <v>42271</v>
      </c>
      <c r="G8" s="8" t="str">
        <f t="shared" si="1"/>
        <v>*PH502</v>
      </c>
      <c r="H8" s="1">
        <f t="shared" si="2"/>
        <v>1</v>
      </c>
      <c r="J8" s="2"/>
    </row>
    <row r="9" spans="1:10" x14ac:dyDescent="0.25">
      <c r="A9" s="9">
        <v>42310</v>
      </c>
      <c r="B9" t="s">
        <v>290</v>
      </c>
      <c r="C9" s="5">
        <v>2</v>
      </c>
      <c r="F9" s="9">
        <f t="shared" si="0"/>
        <v>42310</v>
      </c>
      <c r="G9" s="8" t="str">
        <f t="shared" si="1"/>
        <v>*PH500</v>
      </c>
      <c r="H9" s="1">
        <f t="shared" si="2"/>
        <v>2</v>
      </c>
      <c r="J9" s="2"/>
    </row>
    <row r="10" spans="1:10" x14ac:dyDescent="0.25">
      <c r="A10" s="9">
        <v>42332</v>
      </c>
      <c r="B10" t="s">
        <v>288</v>
      </c>
      <c r="C10" s="5">
        <v>1</v>
      </c>
      <c r="F10" s="9">
        <f t="shared" si="0"/>
        <v>42332</v>
      </c>
      <c r="G10" s="8" t="str">
        <f t="shared" si="1"/>
        <v>*0851FJ-1-AI</v>
      </c>
      <c r="H10" s="1">
        <f t="shared" si="2"/>
        <v>1</v>
      </c>
      <c r="J10" s="2"/>
    </row>
    <row r="11" spans="1:10" x14ac:dyDescent="0.25">
      <c r="A11" s="9">
        <v>42333</v>
      </c>
      <c r="B11" t="s">
        <v>289</v>
      </c>
      <c r="C11" s="5">
        <v>1</v>
      </c>
      <c r="F11" s="9">
        <f t="shared" si="0"/>
        <v>42333</v>
      </c>
      <c r="G11" s="8" t="str">
        <f t="shared" si="1"/>
        <v>*0856LU6-AI</v>
      </c>
      <c r="H11" s="1">
        <f t="shared" si="2"/>
        <v>1</v>
      </c>
    </row>
    <row r="12" spans="1:10" x14ac:dyDescent="0.25">
      <c r="A12" s="9">
        <v>42548</v>
      </c>
      <c r="B12" t="s">
        <v>55</v>
      </c>
      <c r="C12" s="5">
        <v>3</v>
      </c>
      <c r="F12" s="9">
        <f t="shared" si="0"/>
        <v>42548</v>
      </c>
      <c r="G12" s="8" t="str">
        <f t="shared" si="1"/>
        <v>H-SL0856LU6</v>
      </c>
      <c r="H12" s="1">
        <f t="shared" si="2"/>
        <v>3</v>
      </c>
    </row>
    <row r="13" spans="1:10" x14ac:dyDescent="0.25">
      <c r="A13" s="9">
        <v>42551</v>
      </c>
      <c r="B13" t="s">
        <v>65</v>
      </c>
      <c r="C13" s="5">
        <v>10</v>
      </c>
      <c r="F13" s="9">
        <f t="shared" si="0"/>
        <v>42551</v>
      </c>
      <c r="G13" s="8" t="str">
        <f t="shared" si="1"/>
        <v>H-SL856AE</v>
      </c>
      <c r="H13" s="1">
        <f t="shared" si="2"/>
        <v>10</v>
      </c>
    </row>
    <row r="14" spans="1:10" x14ac:dyDescent="0.25">
      <c r="A14" s="63"/>
      <c r="B14" t="s">
        <v>108</v>
      </c>
      <c r="C14" s="5">
        <v>25</v>
      </c>
      <c r="F14" s="9">
        <f t="shared" si="0"/>
        <v>42551</v>
      </c>
      <c r="G14" s="8" t="str">
        <f t="shared" si="1"/>
        <v>JFA/M</v>
      </c>
      <c r="H14" s="1">
        <f t="shared" si="2"/>
        <v>25</v>
      </c>
    </row>
    <row r="15" spans="1:10" x14ac:dyDescent="0.25">
      <c r="A15" s="63"/>
      <c r="B15" t="s">
        <v>110</v>
      </c>
      <c r="C15" s="5">
        <v>250</v>
      </c>
      <c r="F15" s="9">
        <f t="shared" si="0"/>
        <v>42551</v>
      </c>
      <c r="G15" s="8" t="str">
        <f t="shared" si="1"/>
        <v>WA001873</v>
      </c>
      <c r="H15" s="1">
        <f t="shared" si="2"/>
        <v>250</v>
      </c>
    </row>
    <row r="16" spans="1:10" x14ac:dyDescent="0.25">
      <c r="A16" s="9">
        <v>42559</v>
      </c>
      <c r="B16" t="s">
        <v>54</v>
      </c>
      <c r="C16" s="5">
        <v>4</v>
      </c>
      <c r="F16" s="9">
        <f t="shared" si="0"/>
        <v>42559</v>
      </c>
      <c r="G16" s="8" t="str">
        <f t="shared" si="1"/>
        <v>H-SL0856LU5</v>
      </c>
      <c r="H16" s="1">
        <f t="shared" si="2"/>
        <v>4</v>
      </c>
    </row>
    <row r="17" spans="1:8" x14ac:dyDescent="0.25">
      <c r="A17" s="63"/>
      <c r="B17" t="s">
        <v>94</v>
      </c>
      <c r="C17" s="5">
        <v>10</v>
      </c>
      <c r="F17" s="9">
        <f t="shared" si="0"/>
        <v>42559</v>
      </c>
      <c r="G17" s="8" t="str">
        <f t="shared" si="1"/>
        <v>SM4161</v>
      </c>
      <c r="H17" s="1">
        <f t="shared" si="2"/>
        <v>10</v>
      </c>
    </row>
    <row r="18" spans="1:8" x14ac:dyDescent="0.25">
      <c r="A18" s="9">
        <v>42562</v>
      </c>
      <c r="B18" t="s">
        <v>68</v>
      </c>
      <c r="C18" s="5">
        <v>7</v>
      </c>
      <c r="F18" s="9">
        <f t="shared" si="0"/>
        <v>42562</v>
      </c>
      <c r="G18" s="8" t="str">
        <f t="shared" si="1"/>
        <v>PK0856AE19-AI-LR</v>
      </c>
      <c r="H18" s="1">
        <f t="shared" si="2"/>
        <v>7</v>
      </c>
    </row>
    <row r="19" spans="1:8" x14ac:dyDescent="0.25">
      <c r="A19" s="9">
        <v>42565</v>
      </c>
      <c r="B19" t="s">
        <v>59</v>
      </c>
      <c r="C19" s="5">
        <v>1</v>
      </c>
      <c r="F19" s="9">
        <f t="shared" si="0"/>
        <v>42565</v>
      </c>
      <c r="G19" s="8" t="str">
        <f t="shared" si="1"/>
        <v>0856AE19-AI-LR</v>
      </c>
      <c r="H19" s="1">
        <f t="shared" si="2"/>
        <v>1</v>
      </c>
    </row>
    <row r="20" spans="1:8" x14ac:dyDescent="0.25">
      <c r="A20" s="63"/>
      <c r="B20" t="s">
        <v>106</v>
      </c>
      <c r="C20" s="5">
        <v>25</v>
      </c>
      <c r="F20" s="9">
        <f t="shared" si="0"/>
        <v>42565</v>
      </c>
      <c r="G20" s="8" t="str">
        <f t="shared" si="1"/>
        <v>HA520</v>
      </c>
      <c r="H20" s="1">
        <f t="shared" si="2"/>
        <v>25</v>
      </c>
    </row>
    <row r="21" spans="1:8" x14ac:dyDescent="0.25">
      <c r="A21" s="63"/>
      <c r="B21" t="s">
        <v>77</v>
      </c>
      <c r="C21" s="5">
        <v>1</v>
      </c>
      <c r="F21" s="9">
        <f t="shared" si="0"/>
        <v>42565</v>
      </c>
      <c r="G21" s="8" t="str">
        <f t="shared" si="1"/>
        <v>PST300-2SW-C</v>
      </c>
      <c r="H21" s="1">
        <f t="shared" si="2"/>
        <v>1</v>
      </c>
    </row>
    <row r="22" spans="1:8" x14ac:dyDescent="0.25">
      <c r="A22" s="9">
        <v>42569</v>
      </c>
      <c r="B22" t="s">
        <v>9</v>
      </c>
      <c r="C22" s="5">
        <v>6</v>
      </c>
      <c r="F22" s="9">
        <f t="shared" si="0"/>
        <v>42569</v>
      </c>
      <c r="G22" s="8" t="str">
        <f t="shared" si="1"/>
        <v>0851HT-1-AI</v>
      </c>
      <c r="H22" s="1">
        <f t="shared" si="2"/>
        <v>6</v>
      </c>
    </row>
    <row r="23" spans="1:8" x14ac:dyDescent="0.25">
      <c r="A23" s="63"/>
      <c r="B23" t="s">
        <v>0</v>
      </c>
      <c r="C23" s="5">
        <v>9</v>
      </c>
      <c r="F23" s="9">
        <f t="shared" si="0"/>
        <v>42569</v>
      </c>
      <c r="G23" s="8" t="str">
        <f t="shared" si="1"/>
        <v>PST305</v>
      </c>
      <c r="H23" s="1">
        <f t="shared" si="2"/>
        <v>9</v>
      </c>
    </row>
    <row r="24" spans="1:8" x14ac:dyDescent="0.25">
      <c r="A24" s="63"/>
      <c r="B24" t="s">
        <v>1</v>
      </c>
      <c r="C24" s="5">
        <v>25</v>
      </c>
      <c r="F24" s="9">
        <f t="shared" si="0"/>
        <v>42569</v>
      </c>
      <c r="G24" s="8" t="str">
        <f t="shared" si="1"/>
        <v>PST305-L</v>
      </c>
      <c r="H24" s="1">
        <f t="shared" si="2"/>
        <v>25</v>
      </c>
    </row>
    <row r="25" spans="1:8" x14ac:dyDescent="0.25">
      <c r="A25" s="9">
        <v>42572</v>
      </c>
      <c r="B25" t="s">
        <v>9</v>
      </c>
      <c r="C25" s="5">
        <v>25</v>
      </c>
      <c r="F25" s="9">
        <f t="shared" si="0"/>
        <v>42572</v>
      </c>
      <c r="G25" s="8" t="str">
        <f t="shared" si="1"/>
        <v>0851HT-1-AI</v>
      </c>
      <c r="H25" s="1">
        <f t="shared" si="2"/>
        <v>25</v>
      </c>
    </row>
    <row r="26" spans="1:8" x14ac:dyDescent="0.25">
      <c r="A26" s="9">
        <v>42573</v>
      </c>
      <c r="B26" t="s">
        <v>75</v>
      </c>
      <c r="C26" s="5">
        <v>4</v>
      </c>
      <c r="F26" s="9">
        <f t="shared" si="0"/>
        <v>42573</v>
      </c>
      <c r="G26" s="8" t="str">
        <f t="shared" si="1"/>
        <v>0856LU5-AI</v>
      </c>
      <c r="H26" s="1">
        <f t="shared" si="2"/>
        <v>4</v>
      </c>
    </row>
    <row r="27" spans="1:8" x14ac:dyDescent="0.25">
      <c r="A27" s="63"/>
      <c r="B27" t="s">
        <v>99</v>
      </c>
      <c r="C27" s="5">
        <v>25</v>
      </c>
      <c r="F27" s="9">
        <f t="shared" si="0"/>
        <v>42573</v>
      </c>
      <c r="G27" s="8" t="str">
        <f t="shared" si="1"/>
        <v>HA1100</v>
      </c>
      <c r="H27" s="1">
        <f t="shared" si="2"/>
        <v>25</v>
      </c>
    </row>
    <row r="28" spans="1:8" x14ac:dyDescent="0.25">
      <c r="A28" s="63"/>
      <c r="B28" t="s">
        <v>54</v>
      </c>
      <c r="C28" s="5">
        <v>15</v>
      </c>
      <c r="F28" s="9">
        <f t="shared" si="0"/>
        <v>42573</v>
      </c>
      <c r="G28" s="8" t="str">
        <f t="shared" si="1"/>
        <v>H-SL0856LU5</v>
      </c>
      <c r="H28" s="1">
        <f t="shared" si="2"/>
        <v>15</v>
      </c>
    </row>
    <row r="29" spans="1:8" x14ac:dyDescent="0.25">
      <c r="A29" s="63"/>
      <c r="B29" t="s">
        <v>55</v>
      </c>
      <c r="C29" s="5">
        <v>15</v>
      </c>
      <c r="F29" s="9">
        <f t="shared" si="0"/>
        <v>42573</v>
      </c>
      <c r="G29" s="8" t="str">
        <f t="shared" si="1"/>
        <v>H-SL0856LU6</v>
      </c>
      <c r="H29" s="1">
        <f t="shared" si="2"/>
        <v>15</v>
      </c>
    </row>
    <row r="30" spans="1:8" x14ac:dyDescent="0.25">
      <c r="A30" s="63"/>
      <c r="B30" t="s">
        <v>67</v>
      </c>
      <c r="C30" s="5">
        <v>25</v>
      </c>
      <c r="F30" s="9">
        <f t="shared" si="0"/>
        <v>42573</v>
      </c>
      <c r="G30" s="8" t="str">
        <f t="shared" si="1"/>
        <v>MC816</v>
      </c>
      <c r="H30" s="1">
        <f t="shared" si="2"/>
        <v>25</v>
      </c>
    </row>
    <row r="31" spans="1:8" x14ac:dyDescent="0.25">
      <c r="A31" s="63"/>
      <c r="B31" t="s">
        <v>86</v>
      </c>
      <c r="C31" s="5">
        <v>150</v>
      </c>
      <c r="F31" s="9">
        <f t="shared" si="0"/>
        <v>42573</v>
      </c>
      <c r="G31" s="8" t="str">
        <f t="shared" si="1"/>
        <v>SM220</v>
      </c>
      <c r="H31" s="1">
        <f t="shared" si="2"/>
        <v>150</v>
      </c>
    </row>
    <row r="32" spans="1:8" x14ac:dyDescent="0.25">
      <c r="A32" s="63"/>
      <c r="B32" t="s">
        <v>448</v>
      </c>
      <c r="C32" s="5">
        <v>5</v>
      </c>
      <c r="F32" s="9">
        <f t="shared" si="0"/>
        <v>42573</v>
      </c>
      <c r="G32" s="8" t="str">
        <f t="shared" si="1"/>
        <v>ST28-NRA</v>
      </c>
      <c r="H32" s="1">
        <f t="shared" si="2"/>
        <v>5</v>
      </c>
    </row>
    <row r="33" spans="1:8" x14ac:dyDescent="0.25">
      <c r="A33" s="63"/>
      <c r="B33" t="s">
        <v>449</v>
      </c>
      <c r="C33" s="5">
        <v>4</v>
      </c>
      <c r="F33" s="9">
        <f t="shared" si="0"/>
        <v>42573</v>
      </c>
      <c r="G33" s="8" t="str">
        <f t="shared" si="1"/>
        <v>ST520-2DH</v>
      </c>
      <c r="H33" s="1">
        <f t="shared" si="2"/>
        <v>4</v>
      </c>
    </row>
    <row r="34" spans="1:8" x14ac:dyDescent="0.25">
      <c r="A34" s="9">
        <v>42576</v>
      </c>
      <c r="B34" t="s">
        <v>0</v>
      </c>
      <c r="C34" s="5">
        <v>25</v>
      </c>
      <c r="F34" s="9">
        <f t="shared" si="0"/>
        <v>42576</v>
      </c>
      <c r="G34" s="8" t="str">
        <f t="shared" si="1"/>
        <v>PST305</v>
      </c>
      <c r="H34" s="1">
        <f t="shared" si="2"/>
        <v>25</v>
      </c>
    </row>
    <row r="35" spans="1:8" x14ac:dyDescent="0.25">
      <c r="A35" s="63"/>
      <c r="B35" t="s">
        <v>92</v>
      </c>
      <c r="C35" s="5">
        <v>75</v>
      </c>
      <c r="F35" s="9">
        <f t="shared" si="0"/>
        <v>42576</v>
      </c>
      <c r="G35" s="8" t="str">
        <f t="shared" si="1"/>
        <v>SM300</v>
      </c>
      <c r="H35" s="1">
        <f t="shared" si="2"/>
        <v>75</v>
      </c>
    </row>
    <row r="36" spans="1:8" x14ac:dyDescent="0.25">
      <c r="A36" s="63"/>
      <c r="B36" t="s">
        <v>44</v>
      </c>
      <c r="C36" s="5">
        <v>12</v>
      </c>
      <c r="F36" s="9">
        <f t="shared" si="0"/>
        <v>42576</v>
      </c>
      <c r="G36" s="8" t="str">
        <f t="shared" si="1"/>
        <v>ST300-2PT</v>
      </c>
      <c r="H36" s="1">
        <f t="shared" si="2"/>
        <v>12</v>
      </c>
    </row>
    <row r="37" spans="1:8" x14ac:dyDescent="0.25">
      <c r="A37" s="63"/>
      <c r="B37" t="s">
        <v>111</v>
      </c>
      <c r="C37" s="5">
        <v>38</v>
      </c>
      <c r="F37" s="9">
        <f t="shared" si="0"/>
        <v>42576</v>
      </c>
      <c r="G37" s="8" t="str">
        <f t="shared" si="1"/>
        <v>WA160-40</v>
      </c>
      <c r="H37" s="1">
        <f t="shared" si="2"/>
        <v>38</v>
      </c>
    </row>
    <row r="38" spans="1:8" x14ac:dyDescent="0.25">
      <c r="A38" s="9">
        <v>42577</v>
      </c>
      <c r="B38" t="s">
        <v>0</v>
      </c>
      <c r="C38" s="5">
        <v>25</v>
      </c>
      <c r="F38" s="9">
        <f t="shared" si="0"/>
        <v>42577</v>
      </c>
      <c r="G38" s="8" t="str">
        <f t="shared" si="1"/>
        <v>PST305</v>
      </c>
      <c r="H38" s="1">
        <f t="shared" si="2"/>
        <v>25</v>
      </c>
    </row>
    <row r="39" spans="1:8" x14ac:dyDescent="0.25">
      <c r="A39" s="9">
        <v>42578</v>
      </c>
      <c r="B39" t="s">
        <v>105</v>
      </c>
      <c r="C39" s="5">
        <v>10</v>
      </c>
      <c r="F39" s="9">
        <f t="shared" si="0"/>
        <v>42578</v>
      </c>
      <c r="G39" s="8" t="str">
        <f t="shared" si="1"/>
        <v>HA506</v>
      </c>
      <c r="H39" s="1">
        <f t="shared" si="2"/>
        <v>10</v>
      </c>
    </row>
    <row r="40" spans="1:8" x14ac:dyDescent="0.25">
      <c r="A40" s="9">
        <v>42579</v>
      </c>
      <c r="B40" t="s">
        <v>56</v>
      </c>
      <c r="C40" s="5">
        <v>4</v>
      </c>
      <c r="F40" s="9">
        <f t="shared" si="0"/>
        <v>42579</v>
      </c>
      <c r="G40" s="8" t="str">
        <f t="shared" si="1"/>
        <v>0851-AI-M</v>
      </c>
      <c r="H40" s="1">
        <f t="shared" si="2"/>
        <v>4</v>
      </c>
    </row>
    <row r="41" spans="1:8" x14ac:dyDescent="0.25">
      <c r="A41" s="63"/>
      <c r="B41" t="s">
        <v>9</v>
      </c>
      <c r="C41" s="5">
        <v>5</v>
      </c>
      <c r="F41" s="9">
        <f t="shared" si="0"/>
        <v>42579</v>
      </c>
      <c r="G41" s="8" t="str">
        <f t="shared" si="1"/>
        <v>0851HT-1-AI</v>
      </c>
      <c r="H41" s="1">
        <f t="shared" si="2"/>
        <v>5</v>
      </c>
    </row>
    <row r="42" spans="1:8" x14ac:dyDescent="0.25">
      <c r="A42" s="63"/>
      <c r="B42" t="s">
        <v>74</v>
      </c>
      <c r="C42" s="5">
        <v>8</v>
      </c>
      <c r="F42" s="9">
        <f t="shared" si="0"/>
        <v>42579</v>
      </c>
      <c r="G42" s="8" t="str">
        <f t="shared" si="1"/>
        <v>0856LU6-AI</v>
      </c>
      <c r="H42" s="1">
        <f t="shared" si="2"/>
        <v>8</v>
      </c>
    </row>
    <row r="43" spans="1:8" x14ac:dyDescent="0.25">
      <c r="A43" s="63"/>
      <c r="B43" t="s">
        <v>82</v>
      </c>
      <c r="C43" s="5">
        <v>50</v>
      </c>
      <c r="F43" s="9">
        <f t="shared" si="0"/>
        <v>42579</v>
      </c>
      <c r="G43" s="8" t="str">
        <f t="shared" si="1"/>
        <v>HA300-2SW</v>
      </c>
      <c r="H43" s="1">
        <f t="shared" si="2"/>
        <v>50</v>
      </c>
    </row>
    <row r="44" spans="1:8" x14ac:dyDescent="0.25">
      <c r="A44" s="63"/>
      <c r="B44" t="s">
        <v>101</v>
      </c>
      <c r="C44" s="5">
        <v>6</v>
      </c>
      <c r="F44" s="9">
        <f t="shared" si="0"/>
        <v>42579</v>
      </c>
      <c r="G44" s="8" t="str">
        <f t="shared" si="1"/>
        <v>HA305</v>
      </c>
      <c r="H44" s="1">
        <f t="shared" si="2"/>
        <v>6</v>
      </c>
    </row>
    <row r="45" spans="1:8" x14ac:dyDescent="0.25">
      <c r="A45" s="63"/>
      <c r="B45" t="s">
        <v>102</v>
      </c>
      <c r="C45" s="5">
        <v>200</v>
      </c>
      <c r="F45" s="9">
        <f t="shared" si="0"/>
        <v>42579</v>
      </c>
      <c r="G45" s="8" t="str">
        <f t="shared" si="1"/>
        <v>HA500</v>
      </c>
      <c r="H45" s="1">
        <f t="shared" si="2"/>
        <v>200</v>
      </c>
    </row>
    <row r="46" spans="1:8" x14ac:dyDescent="0.25">
      <c r="A46" s="63"/>
      <c r="B46" t="s">
        <v>106</v>
      </c>
      <c r="C46" s="5">
        <v>50</v>
      </c>
      <c r="F46" s="9">
        <f t="shared" si="0"/>
        <v>42579</v>
      </c>
      <c r="G46" s="8" t="str">
        <f t="shared" si="1"/>
        <v>HA520</v>
      </c>
      <c r="H46" s="1">
        <f t="shared" si="2"/>
        <v>50</v>
      </c>
    </row>
    <row r="47" spans="1:8" x14ac:dyDescent="0.25">
      <c r="A47" s="63"/>
      <c r="B47" t="s">
        <v>23</v>
      </c>
      <c r="C47" s="5">
        <v>5</v>
      </c>
      <c r="F47" s="9">
        <f t="shared" si="0"/>
        <v>42579</v>
      </c>
      <c r="G47" s="8" t="str">
        <f t="shared" si="1"/>
        <v>PH1100-RW-RIGHT-W</v>
      </c>
      <c r="H47" s="1">
        <f t="shared" si="2"/>
        <v>5</v>
      </c>
    </row>
    <row r="48" spans="1:8" x14ac:dyDescent="0.25">
      <c r="A48" s="63"/>
      <c r="B48" t="s">
        <v>32</v>
      </c>
      <c r="C48" s="5">
        <v>5</v>
      </c>
      <c r="F48" s="9">
        <f t="shared" si="0"/>
        <v>42579</v>
      </c>
      <c r="G48" s="8" t="str">
        <f t="shared" si="1"/>
        <v>PH502-BKM</v>
      </c>
      <c r="H48" s="1">
        <f t="shared" si="2"/>
        <v>5</v>
      </c>
    </row>
    <row r="49" spans="1:8" x14ac:dyDescent="0.25">
      <c r="A49" s="63"/>
      <c r="B49" t="s">
        <v>42</v>
      </c>
      <c r="C49" s="5">
        <v>25</v>
      </c>
      <c r="F49" s="9">
        <f t="shared" si="0"/>
        <v>42579</v>
      </c>
      <c r="G49" s="8" t="str">
        <f t="shared" si="1"/>
        <v>PH520</v>
      </c>
      <c r="H49" s="1">
        <f t="shared" si="2"/>
        <v>25</v>
      </c>
    </row>
    <row r="50" spans="1:8" x14ac:dyDescent="0.25">
      <c r="A50" s="63"/>
      <c r="B50" t="s">
        <v>76</v>
      </c>
      <c r="C50" s="5">
        <v>10</v>
      </c>
      <c r="F50" s="9">
        <f t="shared" si="0"/>
        <v>42579</v>
      </c>
      <c r="G50" s="8" t="str">
        <f t="shared" si="1"/>
        <v>PST300-2SW-2</v>
      </c>
      <c r="H50" s="1">
        <f t="shared" si="2"/>
        <v>10</v>
      </c>
    </row>
    <row r="51" spans="1:8" x14ac:dyDescent="0.25">
      <c r="A51" s="63"/>
      <c r="B51" t="s">
        <v>77</v>
      </c>
      <c r="C51" s="5">
        <v>25</v>
      </c>
      <c r="F51" s="9">
        <f t="shared" si="0"/>
        <v>42579</v>
      </c>
      <c r="G51" s="8" t="str">
        <f t="shared" si="1"/>
        <v>PST300-2SW-C</v>
      </c>
      <c r="H51" s="1">
        <f t="shared" si="2"/>
        <v>25</v>
      </c>
    </row>
    <row r="52" spans="1:8" x14ac:dyDescent="0.25">
      <c r="A52" s="63"/>
      <c r="B52" t="s">
        <v>2</v>
      </c>
      <c r="C52" s="5">
        <v>7</v>
      </c>
      <c r="F52" s="9">
        <f t="shared" si="0"/>
        <v>42579</v>
      </c>
      <c r="G52" s="8" t="str">
        <f t="shared" si="1"/>
        <v>PST305-R</v>
      </c>
      <c r="H52" s="1">
        <f t="shared" si="2"/>
        <v>7</v>
      </c>
    </row>
    <row r="53" spans="1:8" x14ac:dyDescent="0.25">
      <c r="A53" s="63"/>
      <c r="B53" t="s">
        <v>73</v>
      </c>
      <c r="C53" s="5">
        <v>3</v>
      </c>
      <c r="F53" s="9">
        <f t="shared" si="0"/>
        <v>42579</v>
      </c>
      <c r="G53" s="8" t="str">
        <f t="shared" si="1"/>
        <v>PST3200-C5</v>
      </c>
      <c r="H53" s="1">
        <f t="shared" si="2"/>
        <v>3</v>
      </c>
    </row>
    <row r="54" spans="1:8" x14ac:dyDescent="0.25">
      <c r="A54" s="63"/>
      <c r="B54" t="s">
        <v>85</v>
      </c>
      <c r="C54" s="5">
        <v>25</v>
      </c>
      <c r="F54" s="9">
        <f t="shared" si="0"/>
        <v>42579</v>
      </c>
      <c r="G54" s="8" t="str">
        <f t="shared" si="1"/>
        <v>SM210</v>
      </c>
      <c r="H54" s="1">
        <f t="shared" si="2"/>
        <v>25</v>
      </c>
    </row>
    <row r="55" spans="1:8" x14ac:dyDescent="0.25">
      <c r="A55" s="63"/>
      <c r="B55" t="s">
        <v>49</v>
      </c>
      <c r="C55" s="5">
        <v>41</v>
      </c>
      <c r="F55" s="9">
        <f t="shared" si="0"/>
        <v>42579</v>
      </c>
      <c r="G55" s="8" t="str">
        <f t="shared" si="1"/>
        <v>ST300-3HR</v>
      </c>
      <c r="H55" s="1">
        <f t="shared" si="2"/>
        <v>41</v>
      </c>
    </row>
    <row r="56" spans="1:8" x14ac:dyDescent="0.25">
      <c r="A56" s="63"/>
      <c r="B56" t="s">
        <v>8</v>
      </c>
      <c r="C56" s="5">
        <v>26</v>
      </c>
      <c r="F56" s="9">
        <f t="shared" si="0"/>
        <v>42579</v>
      </c>
      <c r="G56" s="8" t="str">
        <f t="shared" si="1"/>
        <v>ST550-2NAX</v>
      </c>
      <c r="H56" s="1">
        <f t="shared" si="2"/>
        <v>26</v>
      </c>
    </row>
    <row r="57" spans="1:8" x14ac:dyDescent="0.25">
      <c r="A57" s="9">
        <v>42583</v>
      </c>
      <c r="B57" t="s">
        <v>101</v>
      </c>
      <c r="C57" s="5">
        <v>75</v>
      </c>
      <c r="F57" s="9">
        <f t="shared" si="0"/>
        <v>42583</v>
      </c>
      <c r="G57" s="8" t="str">
        <f t="shared" si="1"/>
        <v>HA305</v>
      </c>
      <c r="H57" s="1">
        <f t="shared" si="2"/>
        <v>75</v>
      </c>
    </row>
    <row r="58" spans="1:8" x14ac:dyDescent="0.25">
      <c r="A58" s="63"/>
      <c r="B58" t="s">
        <v>103</v>
      </c>
      <c r="C58" s="5">
        <v>70</v>
      </c>
      <c r="F58" s="9">
        <f t="shared" si="0"/>
        <v>42583</v>
      </c>
      <c r="G58" s="8" t="str">
        <f t="shared" si="1"/>
        <v>HA500-EC</v>
      </c>
      <c r="H58" s="1">
        <f t="shared" si="2"/>
        <v>70</v>
      </c>
    </row>
    <row r="59" spans="1:8" x14ac:dyDescent="0.25">
      <c r="A59" s="63"/>
      <c r="B59" t="s">
        <v>104</v>
      </c>
      <c r="C59" s="5">
        <v>148</v>
      </c>
      <c r="F59" s="9">
        <f t="shared" si="0"/>
        <v>42583</v>
      </c>
      <c r="G59" s="8" t="str">
        <f t="shared" si="1"/>
        <v>HA502</v>
      </c>
      <c r="H59" s="1">
        <f t="shared" si="2"/>
        <v>148</v>
      </c>
    </row>
    <row r="60" spans="1:8" x14ac:dyDescent="0.25">
      <c r="A60" s="63"/>
      <c r="B60" t="s">
        <v>14</v>
      </c>
      <c r="C60" s="5">
        <v>10</v>
      </c>
      <c r="F60" s="9">
        <f t="shared" si="0"/>
        <v>42583</v>
      </c>
      <c r="G60" s="8" t="str">
        <f t="shared" si="1"/>
        <v>PH1100-1-RCDW</v>
      </c>
      <c r="H60" s="1">
        <f t="shared" si="2"/>
        <v>10</v>
      </c>
    </row>
    <row r="61" spans="1:8" x14ac:dyDescent="0.25">
      <c r="A61" s="63"/>
      <c r="B61" t="s">
        <v>39</v>
      </c>
      <c r="C61" s="5">
        <v>100</v>
      </c>
      <c r="F61" s="9">
        <f t="shared" si="0"/>
        <v>42583</v>
      </c>
      <c r="G61" s="8" t="str">
        <f t="shared" si="1"/>
        <v>PH500-2</v>
      </c>
      <c r="H61" s="1">
        <f t="shared" si="2"/>
        <v>100</v>
      </c>
    </row>
    <row r="62" spans="1:8" x14ac:dyDescent="0.25">
      <c r="A62" s="63"/>
      <c r="B62" t="s">
        <v>34</v>
      </c>
      <c r="C62" s="5">
        <v>1</v>
      </c>
      <c r="F62" s="9">
        <f t="shared" si="0"/>
        <v>42583</v>
      </c>
      <c r="G62" s="8" t="str">
        <f t="shared" si="1"/>
        <v>PH506DH-EN</v>
      </c>
      <c r="H62" s="1">
        <f t="shared" si="2"/>
        <v>1</v>
      </c>
    </row>
    <row r="63" spans="1:8" x14ac:dyDescent="0.25">
      <c r="A63" s="63"/>
      <c r="B63" t="s">
        <v>43</v>
      </c>
      <c r="C63" s="5">
        <v>28</v>
      </c>
      <c r="F63" s="9">
        <f t="shared" si="0"/>
        <v>42583</v>
      </c>
      <c r="G63" s="8" t="str">
        <f t="shared" si="1"/>
        <v>PH557</v>
      </c>
      <c r="H63" s="1">
        <f t="shared" si="2"/>
        <v>28</v>
      </c>
    </row>
    <row r="64" spans="1:8" x14ac:dyDescent="0.25">
      <c r="A64" s="63"/>
      <c r="B64" t="s">
        <v>95</v>
      </c>
      <c r="C64" s="5">
        <v>50</v>
      </c>
      <c r="F64" s="9">
        <f t="shared" si="0"/>
        <v>42583</v>
      </c>
      <c r="G64" s="8" t="str">
        <f t="shared" si="1"/>
        <v>SM500-EC</v>
      </c>
      <c r="H64" s="1">
        <f t="shared" si="2"/>
        <v>50</v>
      </c>
    </row>
    <row r="65" spans="1:8" x14ac:dyDescent="0.25">
      <c r="A65" s="63"/>
      <c r="B65" t="s">
        <v>50</v>
      </c>
      <c r="C65" s="5">
        <v>15</v>
      </c>
      <c r="F65" s="9">
        <f t="shared" si="0"/>
        <v>42583</v>
      </c>
      <c r="G65" s="8" t="str">
        <f t="shared" si="1"/>
        <v>ST314-2L</v>
      </c>
      <c r="H65" s="1">
        <f t="shared" si="2"/>
        <v>15</v>
      </c>
    </row>
    <row r="66" spans="1:8" x14ac:dyDescent="0.25">
      <c r="A66" s="63"/>
      <c r="B66" t="s">
        <v>111</v>
      </c>
      <c r="C66" s="5">
        <v>250</v>
      </c>
      <c r="F66" s="9">
        <f t="shared" si="0"/>
        <v>42583</v>
      </c>
      <c r="G66" s="8" t="str">
        <f t="shared" si="1"/>
        <v>WA160-40</v>
      </c>
      <c r="H66" s="1">
        <f t="shared" si="2"/>
        <v>250</v>
      </c>
    </row>
    <row r="67" spans="1:8" x14ac:dyDescent="0.25">
      <c r="A67" s="63"/>
      <c r="B67" t="s">
        <v>112</v>
      </c>
      <c r="C67" s="5">
        <v>150</v>
      </c>
      <c r="F67" s="9">
        <f t="shared" si="0"/>
        <v>42583</v>
      </c>
      <c r="G67" s="8" t="str">
        <f t="shared" si="1"/>
        <v>WA169-13</v>
      </c>
      <c r="H67" s="1">
        <f t="shared" si="2"/>
        <v>150</v>
      </c>
    </row>
    <row r="68" spans="1:8" x14ac:dyDescent="0.25">
      <c r="A68" s="63"/>
      <c r="B68" t="s">
        <v>113</v>
      </c>
      <c r="C68" s="5">
        <v>250</v>
      </c>
      <c r="F68" s="9">
        <f t="shared" si="0"/>
        <v>42583</v>
      </c>
      <c r="G68" s="8" t="str">
        <f t="shared" si="1"/>
        <v>WA1896-14</v>
      </c>
      <c r="H68" s="1">
        <f t="shared" si="2"/>
        <v>250</v>
      </c>
    </row>
    <row r="69" spans="1:8" x14ac:dyDescent="0.25">
      <c r="A69" s="63"/>
      <c r="B69" t="s">
        <v>27</v>
      </c>
      <c r="C69" s="5">
        <v>15</v>
      </c>
      <c r="F69" s="9">
        <f t="shared" si="0"/>
        <v>42583</v>
      </c>
      <c r="G69" s="8" t="str">
        <f t="shared" si="1"/>
        <v>PH502-12CR</v>
      </c>
      <c r="H69" s="1">
        <f t="shared" si="2"/>
        <v>15</v>
      </c>
    </row>
    <row r="70" spans="1:8" x14ac:dyDescent="0.25">
      <c r="A70" s="9">
        <v>42586</v>
      </c>
      <c r="B70" t="s">
        <v>74</v>
      </c>
      <c r="C70" s="5">
        <v>20</v>
      </c>
      <c r="F70" s="9">
        <f t="shared" ref="F70:F133" si="3">IF(B70="","",IF(A70="",F69,A70))</f>
        <v>42586</v>
      </c>
      <c r="G70" s="8" t="str">
        <f t="shared" ref="G70:G133" si="4">IF(B70="","",B70)</f>
        <v>0856LU6-AI</v>
      </c>
      <c r="H70" s="1">
        <f t="shared" ref="H70:H133" si="5">IF(C70="","",C70)</f>
        <v>20</v>
      </c>
    </row>
    <row r="71" spans="1:8" x14ac:dyDescent="0.25">
      <c r="A71" s="63"/>
      <c r="B71" t="s">
        <v>77</v>
      </c>
      <c r="C71" s="5">
        <v>5</v>
      </c>
      <c r="F71" s="9">
        <f t="shared" si="3"/>
        <v>42586</v>
      </c>
      <c r="G71" s="8" t="str">
        <f t="shared" si="4"/>
        <v>PST300-2SW-C</v>
      </c>
      <c r="H71" s="1">
        <f t="shared" si="5"/>
        <v>5</v>
      </c>
    </row>
    <row r="72" spans="1:8" x14ac:dyDescent="0.25">
      <c r="A72" s="9">
        <v>42587</v>
      </c>
      <c r="B72" t="s">
        <v>24</v>
      </c>
      <c r="C72" s="5">
        <v>40</v>
      </c>
      <c r="F72" s="9">
        <f t="shared" si="3"/>
        <v>42587</v>
      </c>
      <c r="G72" s="8" t="str">
        <f t="shared" si="4"/>
        <v>PH502</v>
      </c>
      <c r="H72" s="1">
        <f t="shared" si="5"/>
        <v>40</v>
      </c>
    </row>
    <row r="73" spans="1:8" x14ac:dyDescent="0.25">
      <c r="A73" s="63"/>
      <c r="B73" t="s">
        <v>86</v>
      </c>
      <c r="C73" s="5">
        <v>50</v>
      </c>
      <c r="F73" s="9">
        <f t="shared" si="3"/>
        <v>42587</v>
      </c>
      <c r="G73" s="8" t="str">
        <f t="shared" si="4"/>
        <v>SM220</v>
      </c>
      <c r="H73" s="1">
        <f t="shared" si="5"/>
        <v>50</v>
      </c>
    </row>
    <row r="74" spans="1:8" x14ac:dyDescent="0.25">
      <c r="A74" s="63"/>
      <c r="B74" t="s">
        <v>7</v>
      </c>
      <c r="C74" s="5">
        <v>10</v>
      </c>
      <c r="F74" s="9">
        <f t="shared" si="3"/>
        <v>42587</v>
      </c>
      <c r="G74" s="8" t="str">
        <f t="shared" si="4"/>
        <v>ST515-3CH</v>
      </c>
      <c r="H74" s="1">
        <f t="shared" si="5"/>
        <v>10</v>
      </c>
    </row>
    <row r="75" spans="1:8" x14ac:dyDescent="0.25">
      <c r="A75" s="9">
        <v>42590</v>
      </c>
      <c r="B75" t="s">
        <v>3</v>
      </c>
      <c r="C75" s="5">
        <v>17</v>
      </c>
      <c r="F75" s="9">
        <f t="shared" si="3"/>
        <v>42590</v>
      </c>
      <c r="G75" s="8" t="str">
        <f t="shared" si="4"/>
        <v>0856WB1-AI</v>
      </c>
      <c r="H75" s="1">
        <f t="shared" si="5"/>
        <v>17</v>
      </c>
    </row>
    <row r="76" spans="1:8" x14ac:dyDescent="0.25">
      <c r="A76" s="63"/>
      <c r="B76" t="s">
        <v>4</v>
      </c>
      <c r="C76" s="5">
        <v>16</v>
      </c>
      <c r="F76" s="9">
        <f t="shared" si="3"/>
        <v>42590</v>
      </c>
      <c r="G76" s="8" t="str">
        <f t="shared" si="4"/>
        <v>0856WB2-AI</v>
      </c>
      <c r="H76" s="1">
        <f t="shared" si="5"/>
        <v>16</v>
      </c>
    </row>
    <row r="77" spans="1:8" x14ac:dyDescent="0.25">
      <c r="A77" s="63"/>
      <c r="B77" t="s">
        <v>104</v>
      </c>
      <c r="C77" s="5">
        <v>50</v>
      </c>
      <c r="F77" s="9">
        <f t="shared" si="3"/>
        <v>42590</v>
      </c>
      <c r="G77" s="8" t="str">
        <f t="shared" si="4"/>
        <v>HA502</v>
      </c>
      <c r="H77" s="1">
        <f t="shared" si="5"/>
        <v>50</v>
      </c>
    </row>
    <row r="78" spans="1:8" x14ac:dyDescent="0.25">
      <c r="A78" s="63"/>
      <c r="B78" t="s">
        <v>76</v>
      </c>
      <c r="C78" s="5">
        <v>10</v>
      </c>
      <c r="F78" s="9">
        <f t="shared" si="3"/>
        <v>42590</v>
      </c>
      <c r="G78" s="8" t="str">
        <f t="shared" si="4"/>
        <v>PST300-2SW-2</v>
      </c>
      <c r="H78" s="1">
        <f t="shared" si="5"/>
        <v>10</v>
      </c>
    </row>
    <row r="79" spans="1:8" x14ac:dyDescent="0.25">
      <c r="A79" s="63"/>
      <c r="B79" t="s">
        <v>109</v>
      </c>
      <c r="C79" s="5">
        <v>50</v>
      </c>
      <c r="F79" s="9">
        <f t="shared" si="3"/>
        <v>42590</v>
      </c>
      <c r="G79" s="8" t="str">
        <f t="shared" si="4"/>
        <v>PX1525</v>
      </c>
      <c r="H79" s="1">
        <f t="shared" si="5"/>
        <v>50</v>
      </c>
    </row>
    <row r="80" spans="1:8" x14ac:dyDescent="0.25">
      <c r="A80" s="63"/>
      <c r="B80" t="s">
        <v>87</v>
      </c>
      <c r="C80" s="5">
        <v>50</v>
      </c>
      <c r="F80" s="9">
        <f t="shared" si="3"/>
        <v>42590</v>
      </c>
      <c r="G80" s="8" t="str">
        <f t="shared" si="4"/>
        <v>SM230</v>
      </c>
      <c r="H80" s="1">
        <f t="shared" si="5"/>
        <v>50</v>
      </c>
    </row>
    <row r="81" spans="1:8" x14ac:dyDescent="0.25">
      <c r="A81" s="63"/>
      <c r="B81" t="s">
        <v>91</v>
      </c>
      <c r="C81" s="5">
        <v>50</v>
      </c>
      <c r="F81" s="9">
        <f t="shared" si="3"/>
        <v>42590</v>
      </c>
      <c r="G81" s="8" t="str">
        <f t="shared" si="4"/>
        <v>SM2439</v>
      </c>
      <c r="H81" s="1">
        <f t="shared" si="5"/>
        <v>50</v>
      </c>
    </row>
    <row r="82" spans="1:8" x14ac:dyDescent="0.25">
      <c r="A82" s="9">
        <v>42592</v>
      </c>
      <c r="B82" t="s">
        <v>77</v>
      </c>
      <c r="C82" s="5">
        <v>3</v>
      </c>
      <c r="F82" s="9">
        <f t="shared" si="3"/>
        <v>42592</v>
      </c>
      <c r="G82" s="8" t="str">
        <f t="shared" si="4"/>
        <v>PST300-2SW-C</v>
      </c>
      <c r="H82" s="1">
        <f t="shared" si="5"/>
        <v>3</v>
      </c>
    </row>
    <row r="83" spans="1:8" x14ac:dyDescent="0.25">
      <c r="A83" s="9">
        <v>42593</v>
      </c>
      <c r="B83" t="s">
        <v>75</v>
      </c>
      <c r="C83" s="5">
        <v>10</v>
      </c>
      <c r="F83" s="9">
        <f t="shared" si="3"/>
        <v>42593</v>
      </c>
      <c r="G83" s="8" t="str">
        <f t="shared" si="4"/>
        <v>0856LU5-AI</v>
      </c>
      <c r="H83" s="1">
        <f t="shared" si="5"/>
        <v>10</v>
      </c>
    </row>
    <row r="84" spans="1:8" x14ac:dyDescent="0.25">
      <c r="A84" s="63"/>
      <c r="B84" t="s">
        <v>54</v>
      </c>
      <c r="C84" s="5">
        <v>4</v>
      </c>
      <c r="F84" s="9">
        <f t="shared" si="3"/>
        <v>42593</v>
      </c>
      <c r="G84" s="8" t="str">
        <f t="shared" si="4"/>
        <v>H-SL0856LU5</v>
      </c>
      <c r="H84" s="1">
        <f t="shared" si="5"/>
        <v>4</v>
      </c>
    </row>
    <row r="85" spans="1:8" x14ac:dyDescent="0.25">
      <c r="A85" s="63"/>
      <c r="B85" t="s">
        <v>55</v>
      </c>
      <c r="C85" s="5">
        <v>15</v>
      </c>
      <c r="F85" s="9">
        <f t="shared" si="3"/>
        <v>42593</v>
      </c>
      <c r="G85" s="8" t="str">
        <f t="shared" si="4"/>
        <v>H-SL0856LU6</v>
      </c>
      <c r="H85" s="1">
        <f t="shared" si="5"/>
        <v>15</v>
      </c>
    </row>
    <row r="86" spans="1:8" x14ac:dyDescent="0.25">
      <c r="A86" s="63"/>
      <c r="B86" t="s">
        <v>26</v>
      </c>
      <c r="C86" s="5">
        <v>10</v>
      </c>
      <c r="F86" s="9">
        <f t="shared" si="3"/>
        <v>42593</v>
      </c>
      <c r="G86" s="8" t="str">
        <f t="shared" si="4"/>
        <v>PH502-10</v>
      </c>
      <c r="H86" s="1">
        <f t="shared" si="5"/>
        <v>10</v>
      </c>
    </row>
    <row r="87" spans="1:8" x14ac:dyDescent="0.25">
      <c r="A87" s="63"/>
      <c r="B87" t="s">
        <v>62</v>
      </c>
      <c r="C87" s="5">
        <v>14</v>
      </c>
      <c r="F87" s="9">
        <f t="shared" si="3"/>
        <v>42593</v>
      </c>
      <c r="G87" s="8" t="str">
        <f t="shared" si="4"/>
        <v>ST320-3LA</v>
      </c>
      <c r="H87" s="1">
        <f t="shared" si="5"/>
        <v>14</v>
      </c>
    </row>
    <row r="88" spans="1:8" x14ac:dyDescent="0.25">
      <c r="A88" s="63"/>
      <c r="B88" t="s">
        <v>63</v>
      </c>
      <c r="C88" s="5">
        <v>7</v>
      </c>
      <c r="F88" s="9">
        <f t="shared" si="3"/>
        <v>42593</v>
      </c>
      <c r="G88" s="8" t="str">
        <f t="shared" si="4"/>
        <v>ST320-3RA</v>
      </c>
      <c r="H88" s="1">
        <f t="shared" si="5"/>
        <v>7</v>
      </c>
    </row>
    <row r="89" spans="1:8" x14ac:dyDescent="0.25">
      <c r="A89" s="9">
        <v>42597</v>
      </c>
      <c r="B89" t="s">
        <v>99</v>
      </c>
      <c r="C89" s="5">
        <v>25</v>
      </c>
      <c r="F89" s="9">
        <f t="shared" si="3"/>
        <v>42597</v>
      </c>
      <c r="G89" s="8" t="str">
        <f t="shared" si="4"/>
        <v>HA1100</v>
      </c>
      <c r="H89" s="1">
        <f t="shared" si="5"/>
        <v>25</v>
      </c>
    </row>
    <row r="90" spans="1:8" x14ac:dyDescent="0.25">
      <c r="A90" s="63"/>
      <c r="B90" t="s">
        <v>103</v>
      </c>
      <c r="C90" s="5">
        <v>39</v>
      </c>
      <c r="F90" s="9">
        <f t="shared" si="3"/>
        <v>42597</v>
      </c>
      <c r="G90" s="8" t="str">
        <f t="shared" si="4"/>
        <v>HA500-EC</v>
      </c>
      <c r="H90" s="1">
        <f t="shared" si="5"/>
        <v>39</v>
      </c>
    </row>
    <row r="91" spans="1:8" x14ac:dyDescent="0.25">
      <c r="A91" s="63"/>
      <c r="B91" t="s">
        <v>11</v>
      </c>
      <c r="C91" s="5">
        <v>10</v>
      </c>
      <c r="F91" s="9">
        <f t="shared" si="3"/>
        <v>42597</v>
      </c>
      <c r="G91" s="8" t="str">
        <f t="shared" si="4"/>
        <v>PH1100-1-INV</v>
      </c>
      <c r="H91" s="1">
        <f t="shared" si="5"/>
        <v>10</v>
      </c>
    </row>
    <row r="92" spans="1:8" x14ac:dyDescent="0.25">
      <c r="A92" s="63"/>
      <c r="B92" t="s">
        <v>13</v>
      </c>
      <c r="C92" s="5">
        <v>5</v>
      </c>
      <c r="F92" s="9">
        <f t="shared" si="3"/>
        <v>42597</v>
      </c>
      <c r="G92" s="8" t="str">
        <f t="shared" si="4"/>
        <v>PH1100-1-RCD</v>
      </c>
      <c r="H92" s="1">
        <f t="shared" si="5"/>
        <v>5</v>
      </c>
    </row>
    <row r="93" spans="1:8" x14ac:dyDescent="0.25">
      <c r="A93" s="63"/>
      <c r="B93" t="s">
        <v>18</v>
      </c>
      <c r="C93" s="5">
        <v>15</v>
      </c>
      <c r="F93" s="9">
        <f t="shared" si="3"/>
        <v>42597</v>
      </c>
      <c r="G93" s="8" t="str">
        <f t="shared" si="4"/>
        <v>PH1100-1-VCW</v>
      </c>
      <c r="H93" s="1">
        <f t="shared" si="5"/>
        <v>15</v>
      </c>
    </row>
    <row r="94" spans="1:8" x14ac:dyDescent="0.25">
      <c r="A94" s="63"/>
      <c r="B94" t="s">
        <v>85</v>
      </c>
      <c r="C94" s="5">
        <v>50</v>
      </c>
      <c r="F94" s="9">
        <f t="shared" si="3"/>
        <v>42597</v>
      </c>
      <c r="G94" s="8" t="str">
        <f t="shared" si="4"/>
        <v>SM210</v>
      </c>
      <c r="H94" s="1">
        <f t="shared" si="5"/>
        <v>50</v>
      </c>
    </row>
    <row r="95" spans="1:8" x14ac:dyDescent="0.25">
      <c r="A95" s="63"/>
      <c r="B95" t="s">
        <v>87</v>
      </c>
      <c r="C95" s="5">
        <v>50</v>
      </c>
      <c r="F95" s="9">
        <f t="shared" si="3"/>
        <v>42597</v>
      </c>
      <c r="G95" s="8" t="str">
        <f t="shared" si="4"/>
        <v>SM230</v>
      </c>
      <c r="H95" s="1">
        <f t="shared" si="5"/>
        <v>50</v>
      </c>
    </row>
    <row r="96" spans="1:8" x14ac:dyDescent="0.25">
      <c r="A96" s="63"/>
      <c r="B96" t="s">
        <v>93</v>
      </c>
      <c r="C96" s="5">
        <v>25</v>
      </c>
      <c r="F96" s="9">
        <f t="shared" si="3"/>
        <v>42597</v>
      </c>
      <c r="G96" s="8" t="str">
        <f t="shared" si="4"/>
        <v>SM4151</v>
      </c>
      <c r="H96" s="1">
        <f t="shared" si="5"/>
        <v>25</v>
      </c>
    </row>
    <row r="97" spans="1:8" x14ac:dyDescent="0.25">
      <c r="A97" s="63"/>
      <c r="B97" t="s">
        <v>95</v>
      </c>
      <c r="C97" s="5">
        <v>50</v>
      </c>
      <c r="F97" s="9">
        <f t="shared" si="3"/>
        <v>42597</v>
      </c>
      <c r="G97" s="8" t="str">
        <f t="shared" si="4"/>
        <v>SM500-EC</v>
      </c>
      <c r="H97" s="1">
        <f t="shared" si="5"/>
        <v>50</v>
      </c>
    </row>
    <row r="98" spans="1:8" x14ac:dyDescent="0.25">
      <c r="A98" s="63"/>
      <c r="B98" t="s">
        <v>66</v>
      </c>
      <c r="C98" s="5">
        <v>20</v>
      </c>
      <c r="F98" s="9">
        <f t="shared" si="3"/>
        <v>42597</v>
      </c>
      <c r="G98" s="8" t="str">
        <f t="shared" si="4"/>
        <v>ST333-1</v>
      </c>
      <c r="H98" s="1">
        <f t="shared" si="5"/>
        <v>20</v>
      </c>
    </row>
    <row r="99" spans="1:8" x14ac:dyDescent="0.25">
      <c r="A99" s="63"/>
      <c r="B99" t="s">
        <v>70</v>
      </c>
      <c r="C99" s="5">
        <v>100</v>
      </c>
      <c r="F99" s="9">
        <f t="shared" si="3"/>
        <v>42597</v>
      </c>
      <c r="G99" s="8" t="str">
        <f t="shared" si="4"/>
        <v>WA001600</v>
      </c>
      <c r="H99" s="1">
        <f t="shared" si="5"/>
        <v>100</v>
      </c>
    </row>
    <row r="100" spans="1:8" x14ac:dyDescent="0.25">
      <c r="A100" s="63"/>
      <c r="B100" t="s">
        <v>112</v>
      </c>
      <c r="C100" s="5">
        <v>250</v>
      </c>
      <c r="F100" s="9">
        <f t="shared" si="3"/>
        <v>42597</v>
      </c>
      <c r="G100" s="8" t="str">
        <f t="shared" si="4"/>
        <v>WA169-13</v>
      </c>
      <c r="H100" s="1">
        <f t="shared" si="5"/>
        <v>250</v>
      </c>
    </row>
    <row r="101" spans="1:8" x14ac:dyDescent="0.25">
      <c r="A101" s="9">
        <v>42599</v>
      </c>
      <c r="B101" t="s">
        <v>84</v>
      </c>
      <c r="C101" s="5">
        <v>25</v>
      </c>
      <c r="F101" s="9">
        <f t="shared" si="3"/>
        <v>42599</v>
      </c>
      <c r="G101" s="8" t="str">
        <f t="shared" si="4"/>
        <v>SM1110</v>
      </c>
      <c r="H101" s="1">
        <f t="shared" si="5"/>
        <v>25</v>
      </c>
    </row>
    <row r="102" spans="1:8" x14ac:dyDescent="0.25">
      <c r="A102" s="9">
        <v>42600</v>
      </c>
      <c r="B102" t="s">
        <v>82</v>
      </c>
      <c r="C102" s="5">
        <v>25</v>
      </c>
      <c r="F102" s="9">
        <f t="shared" si="3"/>
        <v>42600</v>
      </c>
      <c r="G102" s="8" t="str">
        <f t="shared" si="4"/>
        <v>HA300-2SW</v>
      </c>
      <c r="H102" s="1">
        <f t="shared" si="5"/>
        <v>25</v>
      </c>
    </row>
    <row r="103" spans="1:8" x14ac:dyDescent="0.25">
      <c r="A103" s="9">
        <v>42601</v>
      </c>
      <c r="B103" t="s">
        <v>38</v>
      </c>
      <c r="C103" s="5">
        <v>50</v>
      </c>
      <c r="F103" s="9">
        <f t="shared" si="3"/>
        <v>42601</v>
      </c>
      <c r="G103" s="8" t="str">
        <f t="shared" si="4"/>
        <v>PH500</v>
      </c>
      <c r="H103" s="1">
        <f t="shared" si="5"/>
        <v>50</v>
      </c>
    </row>
    <row r="104" spans="1:8" x14ac:dyDescent="0.25">
      <c r="A104" s="63"/>
      <c r="B104" t="s">
        <v>24</v>
      </c>
      <c r="C104" s="5">
        <v>25</v>
      </c>
      <c r="F104" s="9">
        <f t="shared" si="3"/>
        <v>42601</v>
      </c>
      <c r="G104" s="8" t="str">
        <f t="shared" si="4"/>
        <v>PH502</v>
      </c>
      <c r="H104" s="1">
        <f t="shared" si="5"/>
        <v>25</v>
      </c>
    </row>
    <row r="105" spans="1:8" x14ac:dyDescent="0.25">
      <c r="A105" s="9">
        <v>42604</v>
      </c>
      <c r="B105" t="s">
        <v>16</v>
      </c>
      <c r="C105" s="5">
        <v>6</v>
      </c>
      <c r="F105" s="9">
        <f t="shared" si="3"/>
        <v>42604</v>
      </c>
      <c r="G105" s="8" t="str">
        <f t="shared" si="4"/>
        <v>PH1100-1-VBW</v>
      </c>
      <c r="H105" s="1">
        <f t="shared" si="5"/>
        <v>6</v>
      </c>
    </row>
    <row r="106" spans="1:8" x14ac:dyDescent="0.25">
      <c r="A106" s="63"/>
      <c r="B106" t="s">
        <v>38</v>
      </c>
      <c r="C106" s="5">
        <v>50</v>
      </c>
      <c r="F106" s="9">
        <f t="shared" si="3"/>
        <v>42604</v>
      </c>
      <c r="G106" s="8" t="str">
        <f t="shared" si="4"/>
        <v>PH500</v>
      </c>
      <c r="H106" s="1">
        <f t="shared" si="5"/>
        <v>50</v>
      </c>
    </row>
    <row r="107" spans="1:8" x14ac:dyDescent="0.25">
      <c r="A107" s="63"/>
      <c r="B107" t="s">
        <v>25</v>
      </c>
      <c r="C107" s="5">
        <v>2</v>
      </c>
      <c r="F107" s="9">
        <f t="shared" si="3"/>
        <v>42604</v>
      </c>
      <c r="G107" s="8" t="str">
        <f t="shared" si="4"/>
        <v>PH502-1</v>
      </c>
      <c r="H107" s="1">
        <f t="shared" si="5"/>
        <v>2</v>
      </c>
    </row>
    <row r="108" spans="1:8" x14ac:dyDescent="0.25">
      <c r="A108" s="63"/>
      <c r="B108" t="s">
        <v>92</v>
      </c>
      <c r="C108" s="5">
        <v>25</v>
      </c>
      <c r="F108" s="9">
        <f t="shared" si="3"/>
        <v>42604</v>
      </c>
      <c r="G108" s="8" t="str">
        <f t="shared" si="4"/>
        <v>SM300</v>
      </c>
      <c r="H108" s="1">
        <f t="shared" si="5"/>
        <v>25</v>
      </c>
    </row>
    <row r="109" spans="1:8" x14ac:dyDescent="0.25">
      <c r="A109" s="63"/>
      <c r="B109" t="s">
        <v>46</v>
      </c>
      <c r="C109" s="5">
        <v>20</v>
      </c>
      <c r="F109" s="9">
        <f t="shared" si="3"/>
        <v>42604</v>
      </c>
      <c r="G109" s="8" t="str">
        <f t="shared" si="4"/>
        <v>ST300-2PTH</v>
      </c>
      <c r="H109" s="1">
        <f t="shared" si="5"/>
        <v>20</v>
      </c>
    </row>
    <row r="110" spans="1:8" x14ac:dyDescent="0.25">
      <c r="A110" s="63"/>
      <c r="B110" t="s">
        <v>47</v>
      </c>
      <c r="C110" s="5">
        <v>24</v>
      </c>
      <c r="F110" s="9">
        <f t="shared" si="3"/>
        <v>42604</v>
      </c>
      <c r="G110" s="8" t="str">
        <f t="shared" si="4"/>
        <v>ST300-2PTN</v>
      </c>
      <c r="H110" s="1">
        <f t="shared" si="5"/>
        <v>24</v>
      </c>
    </row>
    <row r="111" spans="1:8" x14ac:dyDescent="0.25">
      <c r="A111" s="63"/>
      <c r="B111" t="s">
        <v>63</v>
      </c>
      <c r="C111" s="5">
        <v>15</v>
      </c>
      <c r="F111" s="9">
        <f t="shared" si="3"/>
        <v>42604</v>
      </c>
      <c r="G111" s="8" t="str">
        <f t="shared" si="4"/>
        <v>ST320-3RA</v>
      </c>
      <c r="H111" s="1">
        <f t="shared" si="5"/>
        <v>15</v>
      </c>
    </row>
    <row r="112" spans="1:8" x14ac:dyDescent="0.25">
      <c r="A112" s="63"/>
      <c r="B112" t="s">
        <v>66</v>
      </c>
      <c r="C112" s="5">
        <v>10</v>
      </c>
      <c r="F112" s="9">
        <f t="shared" si="3"/>
        <v>42604</v>
      </c>
      <c r="G112" s="8" t="str">
        <f t="shared" si="4"/>
        <v>ST333-1</v>
      </c>
      <c r="H112" s="1">
        <f t="shared" si="5"/>
        <v>10</v>
      </c>
    </row>
    <row r="113" spans="1:8" x14ac:dyDescent="0.25">
      <c r="A113" s="63"/>
      <c r="B113" t="s">
        <v>110</v>
      </c>
      <c r="C113" s="5">
        <v>250</v>
      </c>
      <c r="F113" s="9">
        <f t="shared" si="3"/>
        <v>42604</v>
      </c>
      <c r="G113" s="8" t="str">
        <f t="shared" si="4"/>
        <v>WA001873</v>
      </c>
      <c r="H113" s="1">
        <f t="shared" si="5"/>
        <v>250</v>
      </c>
    </row>
    <row r="114" spans="1:8" x14ac:dyDescent="0.25">
      <c r="A114" s="9">
        <v>42606</v>
      </c>
      <c r="B114" t="s">
        <v>7</v>
      </c>
      <c r="C114" s="5">
        <v>20</v>
      </c>
      <c r="F114" s="9">
        <f t="shared" si="3"/>
        <v>42606</v>
      </c>
      <c r="G114" s="8" t="str">
        <f t="shared" si="4"/>
        <v>ST515-3CH</v>
      </c>
      <c r="H114" s="1">
        <f t="shared" si="5"/>
        <v>20</v>
      </c>
    </row>
    <row r="115" spans="1:8" x14ac:dyDescent="0.25">
      <c r="A115" s="9">
        <v>42607</v>
      </c>
      <c r="B115" t="s">
        <v>9</v>
      </c>
      <c r="C115" s="5">
        <v>35</v>
      </c>
      <c r="F115" s="9">
        <f t="shared" si="3"/>
        <v>42607</v>
      </c>
      <c r="G115" s="8" t="str">
        <f t="shared" si="4"/>
        <v>0851HT-1-AI</v>
      </c>
      <c r="H115" s="1">
        <f t="shared" si="5"/>
        <v>35</v>
      </c>
    </row>
    <row r="116" spans="1:8" x14ac:dyDescent="0.25">
      <c r="A116" s="63"/>
      <c r="B116" t="s">
        <v>45</v>
      </c>
      <c r="C116" s="5">
        <v>30</v>
      </c>
      <c r="F116" s="9">
        <f t="shared" si="3"/>
        <v>42607</v>
      </c>
      <c r="G116" s="8" t="str">
        <f t="shared" si="4"/>
        <v>ST300-2PT-1</v>
      </c>
      <c r="H116" s="1">
        <f t="shared" si="5"/>
        <v>30</v>
      </c>
    </row>
    <row r="117" spans="1:8" x14ac:dyDescent="0.25">
      <c r="A117" s="63"/>
      <c r="B117" t="s">
        <v>50</v>
      </c>
      <c r="C117" s="5">
        <v>14</v>
      </c>
      <c r="F117" s="9">
        <f t="shared" si="3"/>
        <v>42607</v>
      </c>
      <c r="G117" s="8" t="str">
        <f t="shared" si="4"/>
        <v>ST314-2L</v>
      </c>
      <c r="H117" s="1">
        <f t="shared" si="5"/>
        <v>14</v>
      </c>
    </row>
    <row r="118" spans="1:8" x14ac:dyDescent="0.25">
      <c r="A118" s="9">
        <v>42611</v>
      </c>
      <c r="B118" t="s">
        <v>100</v>
      </c>
      <c r="C118" s="5">
        <v>30</v>
      </c>
      <c r="F118" s="9">
        <f t="shared" si="3"/>
        <v>42611</v>
      </c>
      <c r="G118" s="8" t="str">
        <f t="shared" si="4"/>
        <v>HA1100-MU</v>
      </c>
      <c r="H118" s="1">
        <f t="shared" si="5"/>
        <v>30</v>
      </c>
    </row>
    <row r="119" spans="1:8" x14ac:dyDescent="0.25">
      <c r="A119" s="63"/>
      <c r="B119" t="s">
        <v>82</v>
      </c>
      <c r="C119" s="5">
        <v>8</v>
      </c>
      <c r="F119" s="9">
        <f t="shared" si="3"/>
        <v>42611</v>
      </c>
      <c r="G119" s="8" t="str">
        <f t="shared" si="4"/>
        <v>HA300-2SW</v>
      </c>
      <c r="H119" s="1">
        <f t="shared" si="5"/>
        <v>8</v>
      </c>
    </row>
    <row r="120" spans="1:8" x14ac:dyDescent="0.25">
      <c r="A120" s="63"/>
      <c r="B120" t="s">
        <v>103</v>
      </c>
      <c r="C120" s="5">
        <v>40</v>
      </c>
      <c r="F120" s="9">
        <f t="shared" si="3"/>
        <v>42611</v>
      </c>
      <c r="G120" s="8" t="str">
        <f t="shared" si="4"/>
        <v>HA500-EC</v>
      </c>
      <c r="H120" s="1">
        <f t="shared" si="5"/>
        <v>40</v>
      </c>
    </row>
    <row r="121" spans="1:8" x14ac:dyDescent="0.25">
      <c r="A121" s="63"/>
      <c r="B121" t="s">
        <v>104</v>
      </c>
      <c r="C121" s="5">
        <v>65</v>
      </c>
      <c r="F121" s="9">
        <f t="shared" si="3"/>
        <v>42611</v>
      </c>
      <c r="G121" s="8" t="str">
        <f t="shared" si="4"/>
        <v>HA502</v>
      </c>
      <c r="H121" s="1">
        <f t="shared" si="5"/>
        <v>65</v>
      </c>
    </row>
    <row r="122" spans="1:8" x14ac:dyDescent="0.25">
      <c r="A122" s="63"/>
      <c r="B122" t="s">
        <v>128</v>
      </c>
      <c r="C122" s="5">
        <v>6</v>
      </c>
      <c r="F122" s="9">
        <f t="shared" si="3"/>
        <v>42611</v>
      </c>
      <c r="G122" s="8" t="str">
        <f t="shared" si="4"/>
        <v>PH3400</v>
      </c>
      <c r="H122" s="1">
        <f t="shared" si="5"/>
        <v>6</v>
      </c>
    </row>
    <row r="123" spans="1:8" x14ac:dyDescent="0.25">
      <c r="A123" s="63"/>
      <c r="B123" t="s">
        <v>40</v>
      </c>
      <c r="C123" s="5">
        <v>5</v>
      </c>
      <c r="F123" s="9">
        <f t="shared" si="3"/>
        <v>42611</v>
      </c>
      <c r="G123" s="8" t="str">
        <f t="shared" si="4"/>
        <v>PH500-BKC</v>
      </c>
      <c r="H123" s="1">
        <f t="shared" si="5"/>
        <v>5</v>
      </c>
    </row>
    <row r="124" spans="1:8" x14ac:dyDescent="0.25">
      <c r="A124" s="63"/>
      <c r="B124" t="s">
        <v>83</v>
      </c>
      <c r="C124" s="5">
        <v>25</v>
      </c>
      <c r="F124" s="9">
        <f t="shared" si="3"/>
        <v>42611</v>
      </c>
      <c r="G124" s="8" t="str">
        <f t="shared" si="4"/>
        <v>SM1100</v>
      </c>
      <c r="H124" s="1">
        <f t="shared" si="5"/>
        <v>25</v>
      </c>
    </row>
    <row r="125" spans="1:8" x14ac:dyDescent="0.25">
      <c r="A125" s="63"/>
      <c r="B125" t="s">
        <v>87</v>
      </c>
      <c r="C125" s="5">
        <v>50</v>
      </c>
      <c r="F125" s="9">
        <f t="shared" si="3"/>
        <v>42611</v>
      </c>
      <c r="G125" s="8" t="str">
        <f t="shared" si="4"/>
        <v>SM230</v>
      </c>
      <c r="H125" s="1">
        <f t="shared" si="5"/>
        <v>50</v>
      </c>
    </row>
    <row r="126" spans="1:8" x14ac:dyDescent="0.25">
      <c r="A126" s="63"/>
      <c r="B126" t="s">
        <v>94</v>
      </c>
      <c r="C126" s="5">
        <v>45</v>
      </c>
      <c r="F126" s="9">
        <f t="shared" si="3"/>
        <v>42611</v>
      </c>
      <c r="G126" s="8" t="str">
        <f t="shared" si="4"/>
        <v>SM4161</v>
      </c>
      <c r="H126" s="1">
        <f t="shared" si="5"/>
        <v>45</v>
      </c>
    </row>
    <row r="127" spans="1:8" x14ac:dyDescent="0.25">
      <c r="A127" s="63"/>
      <c r="B127" t="s">
        <v>95</v>
      </c>
      <c r="C127" s="5">
        <v>50</v>
      </c>
      <c r="F127" s="9">
        <f t="shared" si="3"/>
        <v>42611</v>
      </c>
      <c r="G127" s="8" t="str">
        <f t="shared" si="4"/>
        <v>SM500-EC</v>
      </c>
      <c r="H127" s="1">
        <f t="shared" si="5"/>
        <v>50</v>
      </c>
    </row>
    <row r="128" spans="1:8" x14ac:dyDescent="0.25">
      <c r="A128" s="63"/>
      <c r="B128" t="s">
        <v>45</v>
      </c>
      <c r="C128" s="5">
        <v>35</v>
      </c>
      <c r="F128" s="9">
        <f t="shared" si="3"/>
        <v>42611</v>
      </c>
      <c r="G128" s="8" t="str">
        <f t="shared" si="4"/>
        <v>ST300-2PT-1</v>
      </c>
      <c r="H128" s="1">
        <f t="shared" si="5"/>
        <v>35</v>
      </c>
    </row>
    <row r="129" spans="1:8" x14ac:dyDescent="0.25">
      <c r="A129" s="63"/>
      <c r="B129" t="s">
        <v>66</v>
      </c>
      <c r="C129" s="5">
        <v>10</v>
      </c>
      <c r="F129" s="9">
        <f t="shared" si="3"/>
        <v>42611</v>
      </c>
      <c r="G129" s="8" t="str">
        <f t="shared" si="4"/>
        <v>ST333-1</v>
      </c>
      <c r="H129" s="1">
        <f t="shared" si="5"/>
        <v>10</v>
      </c>
    </row>
    <row r="130" spans="1:8" x14ac:dyDescent="0.25">
      <c r="A130" s="63"/>
      <c r="B130" t="s">
        <v>37</v>
      </c>
      <c r="C130" s="5">
        <v>50</v>
      </c>
      <c r="F130" s="9">
        <f t="shared" si="3"/>
        <v>42611</v>
      </c>
      <c r="G130" s="8" t="str">
        <f t="shared" si="4"/>
        <v>ST350-2</v>
      </c>
      <c r="H130" s="1">
        <f t="shared" si="5"/>
        <v>50</v>
      </c>
    </row>
    <row r="131" spans="1:8" x14ac:dyDescent="0.25">
      <c r="A131" s="63"/>
      <c r="B131" t="s">
        <v>70</v>
      </c>
      <c r="C131" s="5">
        <v>250</v>
      </c>
      <c r="F131" s="9">
        <f t="shared" si="3"/>
        <v>42611</v>
      </c>
      <c r="G131" s="8" t="str">
        <f t="shared" si="4"/>
        <v>WA001600</v>
      </c>
      <c r="H131" s="1">
        <f t="shared" si="5"/>
        <v>250</v>
      </c>
    </row>
    <row r="132" spans="1:8" x14ac:dyDescent="0.25">
      <c r="A132" s="9">
        <v>42613</v>
      </c>
      <c r="B132" t="s">
        <v>75</v>
      </c>
      <c r="C132" s="5">
        <v>15</v>
      </c>
      <c r="F132" s="9">
        <f t="shared" si="3"/>
        <v>42613</v>
      </c>
      <c r="G132" s="8" t="str">
        <f t="shared" si="4"/>
        <v>0856LU5-AI</v>
      </c>
      <c r="H132" s="1">
        <f t="shared" si="5"/>
        <v>15</v>
      </c>
    </row>
    <row r="133" spans="1:8" x14ac:dyDescent="0.25">
      <c r="A133" s="63"/>
      <c r="B133" t="s">
        <v>107</v>
      </c>
      <c r="C133" s="5">
        <v>12</v>
      </c>
      <c r="F133" s="9">
        <f t="shared" si="3"/>
        <v>42613</v>
      </c>
      <c r="G133" s="8" t="str">
        <f t="shared" si="4"/>
        <v>HA557</v>
      </c>
      <c r="H133" s="1">
        <f t="shared" si="5"/>
        <v>12</v>
      </c>
    </row>
    <row r="134" spans="1:8" x14ac:dyDescent="0.25">
      <c r="A134" s="63"/>
      <c r="B134" t="s">
        <v>0</v>
      </c>
      <c r="C134" s="5">
        <v>25</v>
      </c>
      <c r="F134" s="9">
        <f t="shared" ref="F134:F197" si="6">IF(B134="","",IF(A134="",F133,A134))</f>
        <v>42613</v>
      </c>
      <c r="G134" s="8" t="str">
        <f t="shared" ref="G134:G197" si="7">IF(B134="","",B134)</f>
        <v>PST305</v>
      </c>
      <c r="H134" s="1">
        <f t="shared" ref="H134:H197" si="8">IF(C134="","",C134)</f>
        <v>25</v>
      </c>
    </row>
    <row r="135" spans="1:8" x14ac:dyDescent="0.25">
      <c r="A135" s="63"/>
      <c r="B135" t="s">
        <v>71</v>
      </c>
      <c r="C135" s="5">
        <v>2</v>
      </c>
      <c r="F135" s="9">
        <f t="shared" si="6"/>
        <v>42613</v>
      </c>
      <c r="G135" s="8" t="str">
        <f t="shared" si="7"/>
        <v>PST3200-C3</v>
      </c>
      <c r="H135" s="1">
        <f t="shared" si="8"/>
        <v>2</v>
      </c>
    </row>
    <row r="136" spans="1:8" x14ac:dyDescent="0.25">
      <c r="A136" s="63"/>
      <c r="B136" t="s">
        <v>72</v>
      </c>
      <c r="C136" s="5">
        <v>3</v>
      </c>
      <c r="F136" s="9">
        <f t="shared" si="6"/>
        <v>42613</v>
      </c>
      <c r="G136" s="8" t="str">
        <f t="shared" si="7"/>
        <v>PST3200-C4</v>
      </c>
      <c r="H136" s="1">
        <f t="shared" si="8"/>
        <v>3</v>
      </c>
    </row>
    <row r="137" spans="1:8" x14ac:dyDescent="0.25">
      <c r="A137" s="63"/>
      <c r="B137" t="s">
        <v>44</v>
      </c>
      <c r="C137" s="5">
        <v>50</v>
      </c>
      <c r="F137" s="9">
        <f t="shared" si="6"/>
        <v>42613</v>
      </c>
      <c r="G137" s="8" t="str">
        <f t="shared" si="7"/>
        <v>ST300-2PT</v>
      </c>
      <c r="H137" s="1">
        <f t="shared" si="8"/>
        <v>50</v>
      </c>
    </row>
    <row r="138" spans="1:8" x14ac:dyDescent="0.25">
      <c r="A138" s="9">
        <v>42614</v>
      </c>
      <c r="B138" t="s">
        <v>58</v>
      </c>
      <c r="C138" s="5">
        <v>15</v>
      </c>
      <c r="F138" s="9">
        <f t="shared" si="6"/>
        <v>42614</v>
      </c>
      <c r="G138" s="8" t="str">
        <f t="shared" si="7"/>
        <v>0856AE19-AI</v>
      </c>
      <c r="H138" s="1">
        <f t="shared" si="8"/>
        <v>15</v>
      </c>
    </row>
    <row r="139" spans="1:8" x14ac:dyDescent="0.25">
      <c r="A139" s="63"/>
      <c r="B139" t="s">
        <v>82</v>
      </c>
      <c r="C139" s="5">
        <v>25</v>
      </c>
      <c r="F139" s="9">
        <f t="shared" si="6"/>
        <v>42614</v>
      </c>
      <c r="G139" s="8" t="str">
        <f t="shared" si="7"/>
        <v>HA300-2SW</v>
      </c>
      <c r="H139" s="1">
        <f t="shared" si="8"/>
        <v>25</v>
      </c>
    </row>
    <row r="140" spans="1:8" x14ac:dyDescent="0.25">
      <c r="A140" s="63"/>
      <c r="B140" t="s">
        <v>39</v>
      </c>
      <c r="C140" s="5">
        <v>75</v>
      </c>
      <c r="F140" s="9">
        <f t="shared" si="6"/>
        <v>42614</v>
      </c>
      <c r="G140" s="8" t="str">
        <f t="shared" si="7"/>
        <v>PH500-2</v>
      </c>
      <c r="H140" s="1">
        <f t="shared" si="8"/>
        <v>75</v>
      </c>
    </row>
    <row r="141" spans="1:8" x14ac:dyDescent="0.25">
      <c r="A141" s="9">
        <v>42615</v>
      </c>
      <c r="B141" t="s">
        <v>103</v>
      </c>
      <c r="C141" s="5">
        <v>25</v>
      </c>
      <c r="F141" s="9">
        <f t="shared" si="6"/>
        <v>42615</v>
      </c>
      <c r="G141" s="8" t="str">
        <f t="shared" si="7"/>
        <v>HA500-EC</v>
      </c>
      <c r="H141" s="1">
        <f t="shared" si="8"/>
        <v>25</v>
      </c>
    </row>
    <row r="142" spans="1:8" x14ac:dyDescent="0.25">
      <c r="A142" s="63"/>
      <c r="B142" t="s">
        <v>24</v>
      </c>
      <c r="C142" s="5">
        <v>35</v>
      </c>
      <c r="F142" s="9">
        <f t="shared" si="6"/>
        <v>42615</v>
      </c>
      <c r="G142" s="8" t="str">
        <f t="shared" si="7"/>
        <v>PH502</v>
      </c>
      <c r="H142" s="1">
        <f t="shared" si="8"/>
        <v>35</v>
      </c>
    </row>
    <row r="143" spans="1:8" x14ac:dyDescent="0.25">
      <c r="A143" s="63"/>
      <c r="B143" t="s">
        <v>25</v>
      </c>
      <c r="C143" s="5">
        <v>15</v>
      </c>
      <c r="F143" s="9">
        <f t="shared" si="6"/>
        <v>42615</v>
      </c>
      <c r="G143" s="8" t="str">
        <f t="shared" si="7"/>
        <v>PH502-1</v>
      </c>
      <c r="H143" s="1">
        <f t="shared" si="8"/>
        <v>15</v>
      </c>
    </row>
    <row r="144" spans="1:8" x14ac:dyDescent="0.25">
      <c r="A144" s="63"/>
      <c r="B144" t="s">
        <v>29</v>
      </c>
      <c r="C144" s="5">
        <v>40</v>
      </c>
      <c r="F144" s="9">
        <f t="shared" si="6"/>
        <v>42615</v>
      </c>
      <c r="G144" s="8" t="str">
        <f t="shared" si="7"/>
        <v>PH502-14</v>
      </c>
      <c r="H144" s="1">
        <f t="shared" si="8"/>
        <v>40</v>
      </c>
    </row>
    <row r="145" spans="1:10" x14ac:dyDescent="0.25">
      <c r="A145" s="63"/>
      <c r="B145" t="s">
        <v>30</v>
      </c>
      <c r="C145" s="5">
        <v>10</v>
      </c>
      <c r="F145" s="9">
        <f t="shared" si="6"/>
        <v>42615</v>
      </c>
      <c r="G145" s="8" t="str">
        <f t="shared" si="7"/>
        <v>PH502-3</v>
      </c>
      <c r="H145" s="1">
        <f t="shared" si="8"/>
        <v>10</v>
      </c>
    </row>
    <row r="146" spans="1:10" x14ac:dyDescent="0.25">
      <c r="A146" s="63"/>
      <c r="B146" t="s">
        <v>76</v>
      </c>
      <c r="C146" s="5">
        <v>6</v>
      </c>
      <c r="F146" s="9">
        <f t="shared" si="6"/>
        <v>42615</v>
      </c>
      <c r="G146" s="8" t="str">
        <f t="shared" si="7"/>
        <v>PST300-2SW-2</v>
      </c>
      <c r="H146" s="1">
        <f t="shared" si="8"/>
        <v>6</v>
      </c>
    </row>
    <row r="147" spans="1:10" x14ac:dyDescent="0.25">
      <c r="A147" s="63"/>
      <c r="B147" t="s">
        <v>50</v>
      </c>
      <c r="C147" s="5">
        <v>15</v>
      </c>
      <c r="F147" s="9">
        <f t="shared" si="6"/>
        <v>42615</v>
      </c>
      <c r="G147" s="8" t="str">
        <f t="shared" si="7"/>
        <v>ST314-2L</v>
      </c>
      <c r="H147" s="1">
        <f t="shared" si="8"/>
        <v>15</v>
      </c>
    </row>
    <row r="148" spans="1:10" x14ac:dyDescent="0.25">
      <c r="A148" s="9">
        <v>42619</v>
      </c>
      <c r="B148" t="s">
        <v>24</v>
      </c>
      <c r="C148" s="5">
        <v>25</v>
      </c>
      <c r="F148" s="9">
        <f t="shared" si="6"/>
        <v>42619</v>
      </c>
      <c r="G148" s="8" t="str">
        <f t="shared" si="7"/>
        <v>PH502</v>
      </c>
      <c r="H148" s="1">
        <f t="shared" si="8"/>
        <v>25</v>
      </c>
    </row>
    <row r="149" spans="1:10" x14ac:dyDescent="0.25">
      <c r="A149" s="9">
        <v>42621</v>
      </c>
      <c r="B149" t="s">
        <v>32</v>
      </c>
      <c r="C149" s="5">
        <v>1</v>
      </c>
      <c r="F149" s="9">
        <f t="shared" si="6"/>
        <v>42621</v>
      </c>
      <c r="G149" s="8" t="str">
        <f t="shared" si="7"/>
        <v>PH502-BKM</v>
      </c>
      <c r="H149" s="1">
        <f t="shared" si="8"/>
        <v>1</v>
      </c>
    </row>
    <row r="150" spans="1:10" x14ac:dyDescent="0.25">
      <c r="A150" s="9">
        <v>42625</v>
      </c>
      <c r="B150" t="s">
        <v>99</v>
      </c>
      <c r="C150" s="5">
        <v>25</v>
      </c>
      <c r="F150" s="9">
        <f t="shared" si="6"/>
        <v>42625</v>
      </c>
      <c r="G150" s="8" t="str">
        <f t="shared" si="7"/>
        <v>HA1100</v>
      </c>
      <c r="H150" s="1">
        <f t="shared" si="8"/>
        <v>25</v>
      </c>
    </row>
    <row r="151" spans="1:10" x14ac:dyDescent="0.25">
      <c r="A151" s="63"/>
      <c r="B151" t="s">
        <v>104</v>
      </c>
      <c r="C151" s="5">
        <v>25</v>
      </c>
      <c r="F151" s="9">
        <f t="shared" si="6"/>
        <v>42625</v>
      </c>
      <c r="G151" s="8" t="str">
        <f t="shared" si="7"/>
        <v>HA502</v>
      </c>
      <c r="H151" s="1">
        <f t="shared" si="8"/>
        <v>25</v>
      </c>
    </row>
    <row r="152" spans="1:10" x14ac:dyDescent="0.25">
      <c r="A152" s="63"/>
      <c r="B152" t="s">
        <v>12</v>
      </c>
      <c r="C152" s="5">
        <v>27</v>
      </c>
      <c r="F152" s="9">
        <f t="shared" si="6"/>
        <v>42625</v>
      </c>
      <c r="G152" s="8" t="str">
        <f t="shared" si="7"/>
        <v>PH1100-1-INVF</v>
      </c>
      <c r="H152" s="1">
        <f t="shared" si="8"/>
        <v>27</v>
      </c>
    </row>
    <row r="153" spans="1:10" x14ac:dyDescent="0.25">
      <c r="A153" s="63"/>
      <c r="B153" t="s">
        <v>22</v>
      </c>
      <c r="C153" s="5">
        <v>8</v>
      </c>
      <c r="F153" s="9">
        <f t="shared" si="6"/>
        <v>42625</v>
      </c>
      <c r="G153" s="8" t="str">
        <f t="shared" si="7"/>
        <v>PH1100-RW-LEFT-W</v>
      </c>
      <c r="H153" s="1">
        <f t="shared" si="8"/>
        <v>8</v>
      </c>
    </row>
    <row r="154" spans="1:10" x14ac:dyDescent="0.25">
      <c r="A154" s="63"/>
      <c r="B154" t="s">
        <v>76</v>
      </c>
      <c r="C154" s="5">
        <v>10</v>
      </c>
      <c r="F154" s="9">
        <f t="shared" si="6"/>
        <v>42625</v>
      </c>
      <c r="G154" s="8" t="str">
        <f t="shared" si="7"/>
        <v>PST300-2SW-2</v>
      </c>
      <c r="H154" s="1">
        <f t="shared" si="8"/>
        <v>10</v>
      </c>
    </row>
    <row r="155" spans="1:10" x14ac:dyDescent="0.25">
      <c r="A155" s="63"/>
      <c r="B155" t="s">
        <v>83</v>
      </c>
      <c r="C155" s="5">
        <v>25</v>
      </c>
      <c r="F155" s="9">
        <f t="shared" si="6"/>
        <v>42625</v>
      </c>
      <c r="G155" s="8" t="str">
        <f t="shared" si="7"/>
        <v>SM1100</v>
      </c>
      <c r="H155" s="1">
        <f t="shared" si="8"/>
        <v>25</v>
      </c>
    </row>
    <row r="156" spans="1:10" x14ac:dyDescent="0.25">
      <c r="A156" s="9">
        <v>42626</v>
      </c>
      <c r="B156" t="s">
        <v>39</v>
      </c>
      <c r="C156" s="5">
        <v>50</v>
      </c>
      <c r="F156" s="9">
        <f t="shared" si="6"/>
        <v>42626</v>
      </c>
      <c r="G156" s="8" t="str">
        <f t="shared" si="7"/>
        <v>PH500-2</v>
      </c>
      <c r="H156" s="1">
        <f t="shared" si="8"/>
        <v>50</v>
      </c>
    </row>
    <row r="157" spans="1:10" x14ac:dyDescent="0.25">
      <c r="A157" s="9">
        <v>42627</v>
      </c>
      <c r="B157" t="s">
        <v>53</v>
      </c>
      <c r="C157" s="5">
        <v>4</v>
      </c>
      <c r="F157" s="9">
        <f t="shared" si="6"/>
        <v>42627</v>
      </c>
      <c r="G157" s="8" t="str">
        <f t="shared" si="7"/>
        <v>ST320-COM</v>
      </c>
      <c r="H157" s="1">
        <f t="shared" si="8"/>
        <v>4</v>
      </c>
    </row>
    <row r="158" spans="1:10" x14ac:dyDescent="0.25">
      <c r="A158" s="9">
        <v>42628</v>
      </c>
      <c r="B158" t="s">
        <v>34</v>
      </c>
      <c r="C158" s="5">
        <v>20</v>
      </c>
      <c r="F158" s="9">
        <f t="shared" si="6"/>
        <v>42628</v>
      </c>
      <c r="G158" s="8" t="str">
        <f t="shared" si="7"/>
        <v>PH506DH-EN</v>
      </c>
      <c r="H158" s="1">
        <f t="shared" si="8"/>
        <v>20</v>
      </c>
    </row>
    <row r="159" spans="1:10" x14ac:dyDescent="0.25">
      <c r="A159" s="9">
        <v>42629</v>
      </c>
      <c r="B159" t="s">
        <v>77</v>
      </c>
      <c r="C159" s="5">
        <v>15</v>
      </c>
      <c r="F159" s="9">
        <f t="shared" si="6"/>
        <v>42629</v>
      </c>
      <c r="G159" s="8" t="str">
        <f t="shared" si="7"/>
        <v>PST300-2SW-C</v>
      </c>
      <c r="H159" s="1">
        <f t="shared" si="8"/>
        <v>15</v>
      </c>
    </row>
    <row r="160" spans="1:10" x14ac:dyDescent="0.25">
      <c r="A160" s="9">
        <v>42632</v>
      </c>
      <c r="B160" t="s">
        <v>82</v>
      </c>
      <c r="C160" s="5">
        <v>25</v>
      </c>
      <c r="F160" s="9">
        <f t="shared" si="6"/>
        <v>42632</v>
      </c>
      <c r="G160" s="8" t="str">
        <f t="shared" si="7"/>
        <v>HA300-2SW</v>
      </c>
      <c r="H160" s="1">
        <f t="shared" si="8"/>
        <v>25</v>
      </c>
      <c r="J160" s="2"/>
    </row>
    <row r="161" spans="1:10" x14ac:dyDescent="0.25">
      <c r="A161" s="63"/>
      <c r="B161" t="s">
        <v>104</v>
      </c>
      <c r="C161" s="5">
        <v>25</v>
      </c>
      <c r="F161" s="9">
        <f t="shared" si="6"/>
        <v>42632</v>
      </c>
      <c r="G161" s="8" t="str">
        <f t="shared" si="7"/>
        <v>HA502</v>
      </c>
      <c r="H161" s="1">
        <f t="shared" si="8"/>
        <v>25</v>
      </c>
      <c r="J161" s="2"/>
    </row>
    <row r="162" spans="1:10" x14ac:dyDescent="0.25">
      <c r="A162" s="63"/>
      <c r="B162" t="s">
        <v>23</v>
      </c>
      <c r="C162" s="5">
        <v>10</v>
      </c>
      <c r="F162" s="9">
        <f t="shared" si="6"/>
        <v>42632</v>
      </c>
      <c r="G162" s="8" t="str">
        <f t="shared" si="7"/>
        <v>PH1100-RW-RIGHT-W</v>
      </c>
      <c r="H162" s="1">
        <f t="shared" si="8"/>
        <v>10</v>
      </c>
      <c r="J162" s="2"/>
    </row>
    <row r="163" spans="1:10" x14ac:dyDescent="0.25">
      <c r="A163" s="63"/>
      <c r="B163" t="s">
        <v>38</v>
      </c>
      <c r="C163" s="5">
        <v>40</v>
      </c>
      <c r="F163" s="9">
        <f t="shared" si="6"/>
        <v>42632</v>
      </c>
      <c r="G163" s="8" t="str">
        <f t="shared" si="7"/>
        <v>PH500</v>
      </c>
      <c r="H163" s="1">
        <f t="shared" si="8"/>
        <v>40</v>
      </c>
      <c r="J163" s="2"/>
    </row>
    <row r="164" spans="1:10" x14ac:dyDescent="0.25">
      <c r="A164" s="63"/>
      <c r="B164" t="s">
        <v>39</v>
      </c>
      <c r="C164" s="5">
        <v>25</v>
      </c>
      <c r="F164" s="9">
        <f t="shared" si="6"/>
        <v>42632</v>
      </c>
      <c r="G164" s="8" t="str">
        <f t="shared" si="7"/>
        <v>PH500-2</v>
      </c>
      <c r="H164" s="1">
        <f t="shared" si="8"/>
        <v>25</v>
      </c>
      <c r="J164" s="2"/>
    </row>
    <row r="165" spans="1:10" x14ac:dyDescent="0.25">
      <c r="A165" s="63"/>
      <c r="B165" t="s">
        <v>24</v>
      </c>
      <c r="C165" s="5">
        <v>10</v>
      </c>
      <c r="F165" s="9">
        <f t="shared" si="6"/>
        <v>42632</v>
      </c>
      <c r="G165" s="8" t="str">
        <f t="shared" si="7"/>
        <v>PH502</v>
      </c>
      <c r="H165" s="1">
        <f t="shared" si="8"/>
        <v>10</v>
      </c>
      <c r="J165" s="2"/>
    </row>
    <row r="166" spans="1:10" x14ac:dyDescent="0.25">
      <c r="A166" s="63"/>
      <c r="B166" t="s">
        <v>26</v>
      </c>
      <c r="C166" s="5">
        <v>15</v>
      </c>
      <c r="F166" s="9">
        <f t="shared" si="6"/>
        <v>42632</v>
      </c>
      <c r="G166" s="8" t="str">
        <f t="shared" si="7"/>
        <v>PH502-10</v>
      </c>
      <c r="H166" s="1">
        <f t="shared" si="8"/>
        <v>15</v>
      </c>
      <c r="J166" s="2"/>
    </row>
    <row r="167" spans="1:10" x14ac:dyDescent="0.25">
      <c r="A167" s="63"/>
      <c r="B167" t="s">
        <v>62</v>
      </c>
      <c r="C167" s="5">
        <v>3</v>
      </c>
      <c r="F167" s="9">
        <f t="shared" si="6"/>
        <v>42632</v>
      </c>
      <c r="G167" s="8" t="str">
        <f t="shared" si="7"/>
        <v>ST320-3LA</v>
      </c>
      <c r="H167" s="1">
        <f t="shared" si="8"/>
        <v>3</v>
      </c>
      <c r="J167" s="2"/>
    </row>
    <row r="168" spans="1:10" x14ac:dyDescent="0.25">
      <c r="A168" s="63"/>
      <c r="B168" t="s">
        <v>63</v>
      </c>
      <c r="C168" s="5">
        <v>10</v>
      </c>
      <c r="F168" s="9">
        <f t="shared" si="6"/>
        <v>42632</v>
      </c>
      <c r="G168" s="8" t="str">
        <f t="shared" si="7"/>
        <v>ST320-3RA</v>
      </c>
      <c r="H168" s="1">
        <f t="shared" si="8"/>
        <v>10</v>
      </c>
      <c r="J168" s="2"/>
    </row>
    <row r="169" spans="1:10" x14ac:dyDescent="0.25">
      <c r="A169" s="63"/>
      <c r="B169" t="s">
        <v>8</v>
      </c>
      <c r="C169" s="5">
        <v>25</v>
      </c>
      <c r="F169" s="9">
        <f t="shared" si="6"/>
        <v>42632</v>
      </c>
      <c r="G169" s="8" t="str">
        <f t="shared" si="7"/>
        <v>ST550-2NAX</v>
      </c>
      <c r="H169" s="1">
        <f t="shared" si="8"/>
        <v>25</v>
      </c>
      <c r="J169" s="2"/>
    </row>
    <row r="170" spans="1:10" x14ac:dyDescent="0.25">
      <c r="A170" s="9">
        <v>42633</v>
      </c>
      <c r="B170" t="s">
        <v>66</v>
      </c>
      <c r="C170" s="5">
        <v>25</v>
      </c>
      <c r="F170" s="9">
        <f t="shared" si="6"/>
        <v>42633</v>
      </c>
      <c r="G170" s="8" t="str">
        <f t="shared" si="7"/>
        <v>ST333-1</v>
      </c>
      <c r="H170" s="1">
        <f t="shared" si="8"/>
        <v>25</v>
      </c>
      <c r="J170" s="2"/>
    </row>
    <row r="171" spans="1:10" x14ac:dyDescent="0.25">
      <c r="A171" s="9">
        <v>42635</v>
      </c>
      <c r="B171" t="s">
        <v>41</v>
      </c>
      <c r="C171" s="5">
        <v>50</v>
      </c>
      <c r="F171" s="9">
        <f t="shared" si="6"/>
        <v>42635</v>
      </c>
      <c r="G171" s="8" t="str">
        <f t="shared" si="7"/>
        <v>PH500-EC</v>
      </c>
      <c r="H171" s="1">
        <f t="shared" si="8"/>
        <v>50</v>
      </c>
      <c r="J171" s="2"/>
    </row>
    <row r="172" spans="1:10" x14ac:dyDescent="0.25">
      <c r="A172" s="63"/>
      <c r="B172" t="s">
        <v>30</v>
      </c>
      <c r="C172" s="5">
        <v>10</v>
      </c>
      <c r="F172" s="9">
        <f t="shared" si="6"/>
        <v>42635</v>
      </c>
      <c r="G172" s="8" t="str">
        <f t="shared" si="7"/>
        <v>PH502-3</v>
      </c>
      <c r="H172" s="1">
        <f t="shared" si="8"/>
        <v>10</v>
      </c>
      <c r="J172" s="2"/>
    </row>
    <row r="173" spans="1:10" x14ac:dyDescent="0.25">
      <c r="A173" s="63"/>
      <c r="B173" t="s">
        <v>44</v>
      </c>
      <c r="C173" s="5">
        <v>45</v>
      </c>
      <c r="F173" s="9">
        <f t="shared" si="6"/>
        <v>42635</v>
      </c>
      <c r="G173" s="8" t="str">
        <f t="shared" si="7"/>
        <v>ST300-2PT</v>
      </c>
      <c r="H173" s="1">
        <f t="shared" si="8"/>
        <v>45</v>
      </c>
      <c r="J173" s="2"/>
    </row>
    <row r="174" spans="1:10" x14ac:dyDescent="0.25">
      <c r="A174" s="63"/>
      <c r="B174" t="s">
        <v>45</v>
      </c>
      <c r="C174" s="5">
        <v>35</v>
      </c>
      <c r="F174" s="9">
        <f t="shared" si="6"/>
        <v>42635</v>
      </c>
      <c r="G174" s="8" t="str">
        <f t="shared" si="7"/>
        <v>ST300-2PT-1</v>
      </c>
      <c r="H174" s="1">
        <f t="shared" si="8"/>
        <v>35</v>
      </c>
      <c r="J174" s="2"/>
    </row>
    <row r="175" spans="1:10" x14ac:dyDescent="0.25">
      <c r="A175" s="63"/>
      <c r="B175" t="s">
        <v>47</v>
      </c>
      <c r="C175" s="5">
        <v>10</v>
      </c>
      <c r="F175" s="9">
        <f t="shared" si="6"/>
        <v>42635</v>
      </c>
      <c r="G175" s="8" t="str">
        <f t="shared" si="7"/>
        <v>ST300-2PTN</v>
      </c>
      <c r="H175" s="1">
        <f t="shared" si="8"/>
        <v>10</v>
      </c>
      <c r="J175" s="2"/>
    </row>
    <row r="176" spans="1:10" x14ac:dyDescent="0.25">
      <c r="A176" s="9">
        <v>42639</v>
      </c>
      <c r="B176" t="s">
        <v>5</v>
      </c>
      <c r="C176" s="5">
        <v>10</v>
      </c>
      <c r="F176" s="9">
        <f t="shared" si="6"/>
        <v>42639</v>
      </c>
      <c r="G176" s="8" t="str">
        <f t="shared" si="7"/>
        <v>0851FJ-1-AI</v>
      </c>
      <c r="H176" s="1">
        <f t="shared" si="8"/>
        <v>10</v>
      </c>
      <c r="J176" s="2"/>
    </row>
    <row r="177" spans="1:10" x14ac:dyDescent="0.25">
      <c r="A177" s="63"/>
      <c r="B177" t="s">
        <v>74</v>
      </c>
      <c r="C177" s="5">
        <v>10</v>
      </c>
      <c r="F177" s="9">
        <f t="shared" si="6"/>
        <v>42639</v>
      </c>
      <c r="G177" s="8" t="str">
        <f t="shared" si="7"/>
        <v>0856LU6-AI</v>
      </c>
      <c r="H177" s="1">
        <f t="shared" si="8"/>
        <v>10</v>
      </c>
      <c r="J177" s="2"/>
    </row>
    <row r="178" spans="1:10" x14ac:dyDescent="0.25">
      <c r="A178" s="63"/>
      <c r="B178" t="s">
        <v>104</v>
      </c>
      <c r="C178" s="5">
        <v>25</v>
      </c>
      <c r="F178" s="9">
        <f t="shared" si="6"/>
        <v>42639</v>
      </c>
      <c r="G178" s="8" t="str">
        <f t="shared" si="7"/>
        <v>HA502</v>
      </c>
      <c r="H178" s="1">
        <f t="shared" si="8"/>
        <v>25</v>
      </c>
      <c r="J178" s="2"/>
    </row>
    <row r="179" spans="1:10" x14ac:dyDescent="0.25">
      <c r="A179" s="63"/>
      <c r="B179" t="s">
        <v>16</v>
      </c>
      <c r="C179" s="5">
        <v>10</v>
      </c>
      <c r="F179" s="9">
        <f t="shared" si="6"/>
        <v>42639</v>
      </c>
      <c r="G179" s="8" t="str">
        <f t="shared" si="7"/>
        <v>PH1100-1-VBW</v>
      </c>
      <c r="H179" s="1">
        <f t="shared" si="8"/>
        <v>10</v>
      </c>
      <c r="J179" s="2"/>
    </row>
    <row r="180" spans="1:10" x14ac:dyDescent="0.25">
      <c r="A180" s="63"/>
      <c r="B180" t="s">
        <v>17</v>
      </c>
      <c r="C180" s="5">
        <v>15</v>
      </c>
      <c r="F180" s="9">
        <f t="shared" si="6"/>
        <v>42639</v>
      </c>
      <c r="G180" s="8" t="str">
        <f t="shared" si="7"/>
        <v>PH1100-1-VC</v>
      </c>
      <c r="H180" s="1">
        <f t="shared" si="8"/>
        <v>15</v>
      </c>
      <c r="J180" s="2"/>
    </row>
    <row r="181" spans="1:10" x14ac:dyDescent="0.25">
      <c r="A181" s="63"/>
      <c r="B181" t="s">
        <v>24</v>
      </c>
      <c r="C181" s="5">
        <v>19</v>
      </c>
      <c r="F181" s="9">
        <f t="shared" si="6"/>
        <v>42639</v>
      </c>
      <c r="G181" s="8" t="str">
        <f t="shared" si="7"/>
        <v>PH502</v>
      </c>
      <c r="H181" s="1">
        <f t="shared" si="8"/>
        <v>19</v>
      </c>
      <c r="J181" s="2"/>
    </row>
    <row r="182" spans="1:10" x14ac:dyDescent="0.25">
      <c r="A182" s="63"/>
      <c r="B182" t="s">
        <v>25</v>
      </c>
      <c r="C182" s="5">
        <v>15</v>
      </c>
      <c r="F182" s="9">
        <f t="shared" si="6"/>
        <v>42639</v>
      </c>
      <c r="G182" s="8" t="str">
        <f t="shared" si="7"/>
        <v>PH502-1</v>
      </c>
      <c r="H182" s="1">
        <f t="shared" si="8"/>
        <v>15</v>
      </c>
      <c r="J182" s="2"/>
    </row>
    <row r="183" spans="1:10" x14ac:dyDescent="0.25">
      <c r="A183" s="63"/>
      <c r="B183" t="s">
        <v>76</v>
      </c>
      <c r="C183" s="5">
        <v>30</v>
      </c>
      <c r="F183" s="9">
        <f t="shared" si="6"/>
        <v>42639</v>
      </c>
      <c r="G183" s="8" t="str">
        <f t="shared" si="7"/>
        <v>PST300-2SW-2</v>
      </c>
      <c r="H183" s="1">
        <f t="shared" si="8"/>
        <v>30</v>
      </c>
      <c r="J183" s="2"/>
    </row>
    <row r="184" spans="1:10" x14ac:dyDescent="0.25">
      <c r="A184" s="63"/>
      <c r="B184" t="s">
        <v>0</v>
      </c>
      <c r="C184" s="5">
        <v>80</v>
      </c>
      <c r="F184" s="9">
        <f t="shared" si="6"/>
        <v>42639</v>
      </c>
      <c r="G184" s="8" t="str">
        <f t="shared" si="7"/>
        <v>PST305</v>
      </c>
      <c r="H184" s="1">
        <f t="shared" si="8"/>
        <v>80</v>
      </c>
      <c r="J184" s="2"/>
    </row>
    <row r="185" spans="1:10" x14ac:dyDescent="0.25">
      <c r="A185" s="9">
        <v>42640</v>
      </c>
      <c r="B185" t="s">
        <v>38</v>
      </c>
      <c r="C185" s="5">
        <v>20</v>
      </c>
      <c r="F185" s="9">
        <f t="shared" si="6"/>
        <v>42640</v>
      </c>
      <c r="G185" s="8" t="str">
        <f t="shared" si="7"/>
        <v>PH500</v>
      </c>
      <c r="H185" s="1">
        <f t="shared" si="8"/>
        <v>20</v>
      </c>
      <c r="J185" s="2"/>
    </row>
    <row r="186" spans="1:10" x14ac:dyDescent="0.25">
      <c r="A186" s="9">
        <v>42642</v>
      </c>
      <c r="B186" t="s">
        <v>38</v>
      </c>
      <c r="C186" s="5">
        <v>50</v>
      </c>
      <c r="F186" s="9">
        <f t="shared" si="6"/>
        <v>42642</v>
      </c>
      <c r="G186" s="8" t="str">
        <f t="shared" si="7"/>
        <v>PH500</v>
      </c>
      <c r="H186" s="1">
        <f t="shared" si="8"/>
        <v>50</v>
      </c>
      <c r="J186" s="2"/>
    </row>
    <row r="187" spans="1:10" x14ac:dyDescent="0.25">
      <c r="A187" s="63"/>
      <c r="B187" t="s">
        <v>25</v>
      </c>
      <c r="C187" s="5">
        <v>119</v>
      </c>
      <c r="F187" s="9">
        <f t="shared" si="6"/>
        <v>42642</v>
      </c>
      <c r="G187" s="8" t="str">
        <f t="shared" si="7"/>
        <v>PH502-1</v>
      </c>
      <c r="H187" s="1">
        <f t="shared" si="8"/>
        <v>119</v>
      </c>
      <c r="J187" s="2"/>
    </row>
    <row r="188" spans="1:10" x14ac:dyDescent="0.25">
      <c r="A188" s="63"/>
      <c r="B188" t="s">
        <v>42</v>
      </c>
      <c r="C188" s="5">
        <v>60</v>
      </c>
      <c r="F188" s="9">
        <f t="shared" si="6"/>
        <v>42642</v>
      </c>
      <c r="G188" s="8" t="str">
        <f t="shared" si="7"/>
        <v>PH520</v>
      </c>
      <c r="H188" s="1">
        <f t="shared" si="8"/>
        <v>60</v>
      </c>
      <c r="J188" s="2"/>
    </row>
    <row r="189" spans="1:10" x14ac:dyDescent="0.25">
      <c r="A189" s="9">
        <v>42643</v>
      </c>
      <c r="B189" t="s">
        <v>5</v>
      </c>
      <c r="C189" s="5">
        <v>5</v>
      </c>
      <c r="F189" s="9">
        <f t="shared" si="6"/>
        <v>42643</v>
      </c>
      <c r="G189" s="8" t="str">
        <f t="shared" si="7"/>
        <v>0851FJ-1-AI</v>
      </c>
      <c r="H189" s="1">
        <f t="shared" si="8"/>
        <v>5</v>
      </c>
      <c r="J189" s="2"/>
    </row>
    <row r="190" spans="1:10" x14ac:dyDescent="0.25">
      <c r="A190" s="63"/>
      <c r="B190" t="s">
        <v>74</v>
      </c>
      <c r="C190" s="5">
        <v>8</v>
      </c>
      <c r="F190" s="9">
        <f t="shared" si="6"/>
        <v>42643</v>
      </c>
      <c r="G190" s="8" t="str">
        <f t="shared" si="7"/>
        <v>0856LU6-AI</v>
      </c>
      <c r="H190" s="1">
        <f t="shared" si="8"/>
        <v>8</v>
      </c>
      <c r="J190" s="2"/>
    </row>
    <row r="191" spans="1:10" x14ac:dyDescent="0.25">
      <c r="A191" s="63"/>
      <c r="B191" t="s">
        <v>82</v>
      </c>
      <c r="C191" s="5">
        <v>25</v>
      </c>
      <c r="F191" s="9">
        <f t="shared" si="6"/>
        <v>42643</v>
      </c>
      <c r="G191" s="8" t="str">
        <f t="shared" si="7"/>
        <v>HA300-2SW</v>
      </c>
      <c r="H191" s="1">
        <f t="shared" si="8"/>
        <v>25</v>
      </c>
      <c r="J191" s="2"/>
    </row>
    <row r="192" spans="1:10" x14ac:dyDescent="0.25">
      <c r="A192" s="63"/>
      <c r="B192" t="s">
        <v>101</v>
      </c>
      <c r="C192" s="5">
        <v>8</v>
      </c>
      <c r="F192" s="9">
        <f t="shared" si="6"/>
        <v>42643</v>
      </c>
      <c r="G192" s="8" t="str">
        <f t="shared" si="7"/>
        <v>HA305</v>
      </c>
      <c r="H192" s="1">
        <f t="shared" si="8"/>
        <v>8</v>
      </c>
      <c r="J192" s="2"/>
    </row>
    <row r="193" spans="1:10" x14ac:dyDescent="0.25">
      <c r="A193" s="63"/>
      <c r="B193" t="s">
        <v>64</v>
      </c>
      <c r="C193" s="5">
        <v>25</v>
      </c>
      <c r="F193" s="9">
        <f t="shared" si="6"/>
        <v>42643</v>
      </c>
      <c r="G193" s="8" t="str">
        <f t="shared" si="7"/>
        <v>H-SL851HT</v>
      </c>
      <c r="H193" s="1">
        <f t="shared" si="8"/>
        <v>25</v>
      </c>
      <c r="J193" s="2"/>
    </row>
    <row r="194" spans="1:10" x14ac:dyDescent="0.25">
      <c r="A194" s="63"/>
      <c r="B194" t="s">
        <v>24</v>
      </c>
      <c r="C194" s="5">
        <v>3</v>
      </c>
      <c r="F194" s="9">
        <f t="shared" si="6"/>
        <v>42643</v>
      </c>
      <c r="G194" s="8" t="str">
        <f t="shared" si="7"/>
        <v>PH502</v>
      </c>
      <c r="H194" s="1">
        <f t="shared" si="8"/>
        <v>3</v>
      </c>
      <c r="J194" s="2"/>
    </row>
    <row r="195" spans="1:10" x14ac:dyDescent="0.25">
      <c r="A195" s="63"/>
      <c r="B195" t="s">
        <v>32</v>
      </c>
      <c r="C195" s="5">
        <v>1</v>
      </c>
      <c r="F195" s="9">
        <f t="shared" si="6"/>
        <v>42643</v>
      </c>
      <c r="G195" s="8" t="str">
        <f t="shared" si="7"/>
        <v>PH502-BKM</v>
      </c>
      <c r="H195" s="1">
        <f t="shared" si="8"/>
        <v>1</v>
      </c>
      <c r="J195" s="2"/>
    </row>
    <row r="196" spans="1:10" x14ac:dyDescent="0.25">
      <c r="A196" s="63"/>
      <c r="B196" t="s">
        <v>76</v>
      </c>
      <c r="C196" s="5">
        <v>6</v>
      </c>
      <c r="F196" s="9">
        <f t="shared" si="6"/>
        <v>42643</v>
      </c>
      <c r="G196" s="8" t="str">
        <f t="shared" si="7"/>
        <v>PST300-2SW-2</v>
      </c>
      <c r="H196" s="1">
        <f t="shared" si="8"/>
        <v>6</v>
      </c>
      <c r="J196" s="2"/>
    </row>
    <row r="197" spans="1:10" x14ac:dyDescent="0.25">
      <c r="A197" s="63"/>
      <c r="B197" t="s">
        <v>77</v>
      </c>
      <c r="C197" s="5">
        <v>35</v>
      </c>
      <c r="F197" s="9">
        <f t="shared" si="6"/>
        <v>42643</v>
      </c>
      <c r="G197" s="8" t="str">
        <f t="shared" si="7"/>
        <v>PST300-2SW-C</v>
      </c>
      <c r="H197" s="1">
        <f t="shared" si="8"/>
        <v>35</v>
      </c>
      <c r="J197" s="2"/>
    </row>
    <row r="198" spans="1:10" x14ac:dyDescent="0.25">
      <c r="A198" s="63"/>
      <c r="B198" t="s">
        <v>78</v>
      </c>
      <c r="C198" s="5">
        <v>4</v>
      </c>
      <c r="F198" s="9">
        <f t="shared" ref="F198:F261" si="9">IF(B198="","",IF(A198="",F197,A198))</f>
        <v>42643</v>
      </c>
      <c r="G198" s="8" t="str">
        <f t="shared" ref="G198:G261" si="10">IF(B198="","",B198)</f>
        <v>PST300-4G</v>
      </c>
      <c r="H198" s="1">
        <f t="shared" ref="H198:H261" si="11">IF(C198="","",C198)</f>
        <v>4</v>
      </c>
      <c r="J198" s="2"/>
    </row>
    <row r="199" spans="1:10" x14ac:dyDescent="0.25">
      <c r="A199" s="63"/>
      <c r="B199" t="s">
        <v>0</v>
      </c>
      <c r="C199" s="5">
        <v>1</v>
      </c>
      <c r="F199" s="9">
        <f t="shared" si="9"/>
        <v>42643</v>
      </c>
      <c r="G199" s="8" t="str">
        <f t="shared" si="10"/>
        <v>PST305</v>
      </c>
      <c r="H199" s="1">
        <f t="shared" si="11"/>
        <v>1</v>
      </c>
      <c r="J199" s="2"/>
    </row>
    <row r="200" spans="1:10" x14ac:dyDescent="0.25">
      <c r="A200" s="63"/>
      <c r="B200" t="s">
        <v>49</v>
      </c>
      <c r="C200" s="5">
        <v>1</v>
      </c>
      <c r="F200" s="9">
        <f t="shared" si="9"/>
        <v>42643</v>
      </c>
      <c r="G200" s="8" t="str">
        <f t="shared" si="10"/>
        <v>ST300-3HR</v>
      </c>
      <c r="H200" s="1">
        <f t="shared" si="11"/>
        <v>1</v>
      </c>
      <c r="J200" s="2"/>
    </row>
    <row r="201" spans="1:10" x14ac:dyDescent="0.25">
      <c r="A201" s="9">
        <v>42646</v>
      </c>
      <c r="B201" t="s">
        <v>99</v>
      </c>
      <c r="C201" s="5">
        <v>25</v>
      </c>
      <c r="F201" s="9">
        <f t="shared" si="9"/>
        <v>42646</v>
      </c>
      <c r="G201" s="8" t="str">
        <f t="shared" si="10"/>
        <v>HA1100</v>
      </c>
      <c r="H201" s="1">
        <f t="shared" si="11"/>
        <v>25</v>
      </c>
      <c r="J201" s="2"/>
    </row>
    <row r="202" spans="1:10" x14ac:dyDescent="0.25">
      <c r="A202" s="63"/>
      <c r="B202" t="s">
        <v>24</v>
      </c>
      <c r="C202" s="5">
        <v>3</v>
      </c>
      <c r="F202" s="9">
        <f t="shared" si="9"/>
        <v>42646</v>
      </c>
      <c r="G202" s="8" t="str">
        <f t="shared" si="10"/>
        <v>PH502</v>
      </c>
      <c r="H202" s="1">
        <f t="shared" si="11"/>
        <v>3</v>
      </c>
      <c r="J202" s="2"/>
    </row>
    <row r="203" spans="1:10" x14ac:dyDescent="0.25">
      <c r="A203" s="9">
        <v>42649</v>
      </c>
      <c r="B203" t="s">
        <v>7</v>
      </c>
      <c r="C203" s="5">
        <v>30</v>
      </c>
      <c r="F203" s="9">
        <f t="shared" si="9"/>
        <v>42649</v>
      </c>
      <c r="G203" s="8" t="str">
        <f t="shared" si="10"/>
        <v>ST515-3CH</v>
      </c>
      <c r="H203" s="1">
        <f t="shared" si="11"/>
        <v>30</v>
      </c>
      <c r="J203" s="2"/>
    </row>
    <row r="204" spans="1:10" x14ac:dyDescent="0.25">
      <c r="A204" s="9">
        <v>42654</v>
      </c>
      <c r="B204" t="s">
        <v>45</v>
      </c>
      <c r="C204" s="5">
        <v>35</v>
      </c>
      <c r="F204" s="9">
        <f t="shared" si="9"/>
        <v>42654</v>
      </c>
      <c r="G204" s="8" t="str">
        <f t="shared" si="10"/>
        <v>ST300-2PT-1</v>
      </c>
      <c r="H204" s="1">
        <f t="shared" si="11"/>
        <v>35</v>
      </c>
    </row>
    <row r="205" spans="1:10" x14ac:dyDescent="0.25">
      <c r="A205" s="9">
        <v>42657</v>
      </c>
      <c r="B205" t="s">
        <v>64</v>
      </c>
      <c r="C205" s="5">
        <v>15</v>
      </c>
      <c r="F205" s="9">
        <f t="shared" si="9"/>
        <v>42657</v>
      </c>
      <c r="G205" s="8" t="str">
        <f t="shared" si="10"/>
        <v>H-SL851HT</v>
      </c>
      <c r="H205" s="1">
        <f t="shared" si="11"/>
        <v>15</v>
      </c>
    </row>
    <row r="206" spans="1:10" x14ac:dyDescent="0.25">
      <c r="A206" s="63"/>
      <c r="B206" t="s">
        <v>14</v>
      </c>
      <c r="C206" s="5">
        <v>3</v>
      </c>
      <c r="F206" s="9">
        <f t="shared" si="9"/>
        <v>42657</v>
      </c>
      <c r="G206" s="8" t="str">
        <f t="shared" si="10"/>
        <v>PH1100-1-RCDW</v>
      </c>
      <c r="H206" s="1">
        <f t="shared" si="11"/>
        <v>3</v>
      </c>
    </row>
    <row r="207" spans="1:10" x14ac:dyDescent="0.25">
      <c r="A207" s="9">
        <v>42660</v>
      </c>
      <c r="B207" t="s">
        <v>19</v>
      </c>
      <c r="C207" s="5">
        <v>1</v>
      </c>
      <c r="F207" s="9">
        <f t="shared" si="9"/>
        <v>42660</v>
      </c>
      <c r="G207" s="8" t="str">
        <f t="shared" si="10"/>
        <v>PH1100-MU-L-1</v>
      </c>
      <c r="H207" s="1">
        <f t="shared" si="11"/>
        <v>1</v>
      </c>
    </row>
    <row r="208" spans="1:10" x14ac:dyDescent="0.25">
      <c r="A208" s="63"/>
      <c r="B208" t="s">
        <v>88</v>
      </c>
      <c r="C208" s="5">
        <v>100</v>
      </c>
      <c r="F208" s="9">
        <f t="shared" si="9"/>
        <v>42660</v>
      </c>
      <c r="G208" s="8" t="str">
        <f t="shared" si="10"/>
        <v>SM2436</v>
      </c>
      <c r="H208" s="1">
        <f t="shared" si="11"/>
        <v>100</v>
      </c>
    </row>
    <row r="209" spans="1:8" x14ac:dyDescent="0.25">
      <c r="A209" s="63"/>
      <c r="B209" t="s">
        <v>89</v>
      </c>
      <c r="C209" s="5">
        <v>50</v>
      </c>
      <c r="F209" s="9">
        <f t="shared" si="9"/>
        <v>42660</v>
      </c>
      <c r="G209" s="8" t="str">
        <f t="shared" si="10"/>
        <v>SM2437-L</v>
      </c>
      <c r="H209" s="1">
        <f t="shared" si="11"/>
        <v>50</v>
      </c>
    </row>
    <row r="210" spans="1:8" x14ac:dyDescent="0.25">
      <c r="A210" s="63"/>
      <c r="B210" t="s">
        <v>90</v>
      </c>
      <c r="C210" s="5">
        <v>100</v>
      </c>
      <c r="F210" s="9">
        <f t="shared" si="9"/>
        <v>42660</v>
      </c>
      <c r="G210" s="8" t="str">
        <f t="shared" si="10"/>
        <v>SM2437-R</v>
      </c>
      <c r="H210" s="1">
        <f t="shared" si="11"/>
        <v>100</v>
      </c>
    </row>
    <row r="211" spans="1:8" x14ac:dyDescent="0.25">
      <c r="A211" s="9">
        <v>42669</v>
      </c>
      <c r="B211" t="s">
        <v>45</v>
      </c>
      <c r="C211" s="5">
        <v>30</v>
      </c>
      <c r="F211" s="9">
        <f t="shared" si="9"/>
        <v>42669</v>
      </c>
      <c r="G211" s="8" t="str">
        <f t="shared" si="10"/>
        <v>ST300-2PT-1</v>
      </c>
      <c r="H211" s="1">
        <f t="shared" si="11"/>
        <v>30</v>
      </c>
    </row>
    <row r="212" spans="1:8" x14ac:dyDescent="0.25">
      <c r="A212" s="9">
        <v>42674</v>
      </c>
      <c r="B212" t="s">
        <v>58</v>
      </c>
      <c r="C212" s="5">
        <v>11</v>
      </c>
      <c r="F212" s="9">
        <f t="shared" si="9"/>
        <v>42674</v>
      </c>
      <c r="G212" s="8" t="str">
        <f t="shared" si="10"/>
        <v>0856AE19-AI</v>
      </c>
      <c r="H212" s="1">
        <f t="shared" si="11"/>
        <v>11</v>
      </c>
    </row>
    <row r="213" spans="1:8" x14ac:dyDescent="0.25">
      <c r="A213" s="63"/>
      <c r="B213" t="s">
        <v>59</v>
      </c>
      <c r="C213" s="5">
        <v>2</v>
      </c>
      <c r="F213" s="9">
        <f t="shared" si="9"/>
        <v>42674</v>
      </c>
      <c r="G213" s="8" t="str">
        <f t="shared" si="10"/>
        <v>0856AE19-AI-LR</v>
      </c>
      <c r="H213" s="1">
        <f t="shared" si="11"/>
        <v>2</v>
      </c>
    </row>
    <row r="214" spans="1:8" x14ac:dyDescent="0.25">
      <c r="A214" s="63"/>
      <c r="B214" t="s">
        <v>54</v>
      </c>
      <c r="C214" s="5">
        <v>1</v>
      </c>
      <c r="F214" s="9">
        <f t="shared" si="9"/>
        <v>42674</v>
      </c>
      <c r="G214" s="8" t="str">
        <f t="shared" si="10"/>
        <v>H-SL0856LU5</v>
      </c>
      <c r="H214" s="1">
        <f t="shared" si="11"/>
        <v>1</v>
      </c>
    </row>
    <row r="215" spans="1:8" x14ac:dyDescent="0.25">
      <c r="A215" s="63"/>
      <c r="B215" t="s">
        <v>55</v>
      </c>
      <c r="C215" s="5">
        <v>15</v>
      </c>
      <c r="F215" s="9">
        <f t="shared" si="9"/>
        <v>42674</v>
      </c>
      <c r="G215" s="8" t="str">
        <f t="shared" si="10"/>
        <v>H-SL0856LU6</v>
      </c>
      <c r="H215" s="1">
        <f t="shared" si="11"/>
        <v>15</v>
      </c>
    </row>
    <row r="216" spans="1:8" x14ac:dyDescent="0.25">
      <c r="A216" s="63"/>
      <c r="B216" t="s">
        <v>15</v>
      </c>
      <c r="C216" s="5">
        <v>1</v>
      </c>
      <c r="F216" s="9">
        <f t="shared" si="9"/>
        <v>42674</v>
      </c>
      <c r="G216" s="8" t="str">
        <f t="shared" si="10"/>
        <v>PH1100-1-RCJW</v>
      </c>
      <c r="H216" s="1">
        <f t="shared" si="11"/>
        <v>1</v>
      </c>
    </row>
    <row r="217" spans="1:8" x14ac:dyDescent="0.25">
      <c r="A217" s="63"/>
      <c r="B217" t="s">
        <v>16</v>
      </c>
      <c r="C217" s="5">
        <v>1</v>
      </c>
      <c r="F217" s="9">
        <f t="shared" si="9"/>
        <v>42674</v>
      </c>
      <c r="G217" s="8" t="str">
        <f t="shared" si="10"/>
        <v>PH1100-1-VBW</v>
      </c>
      <c r="H217" s="1">
        <f t="shared" si="11"/>
        <v>1</v>
      </c>
    </row>
    <row r="218" spans="1:8" x14ac:dyDescent="0.25">
      <c r="A218" s="63"/>
      <c r="B218" t="s">
        <v>39</v>
      </c>
      <c r="C218" s="5">
        <v>11</v>
      </c>
      <c r="F218" s="9">
        <f t="shared" si="9"/>
        <v>42674</v>
      </c>
      <c r="G218" s="8" t="str">
        <f t="shared" si="10"/>
        <v>PH500-2</v>
      </c>
      <c r="H218" s="1">
        <f t="shared" si="11"/>
        <v>11</v>
      </c>
    </row>
    <row r="219" spans="1:8" x14ac:dyDescent="0.25">
      <c r="A219" s="63"/>
      <c r="B219" t="s">
        <v>41</v>
      </c>
      <c r="C219" s="5">
        <v>3</v>
      </c>
      <c r="F219" s="9">
        <f t="shared" si="9"/>
        <v>42674</v>
      </c>
      <c r="G219" s="8" t="str">
        <f t="shared" si="10"/>
        <v>PH500-EC</v>
      </c>
      <c r="H219" s="1">
        <f t="shared" si="11"/>
        <v>3</v>
      </c>
    </row>
    <row r="220" spans="1:8" x14ac:dyDescent="0.25">
      <c r="A220" s="63"/>
      <c r="B220" t="s">
        <v>24</v>
      </c>
      <c r="C220" s="5">
        <v>6</v>
      </c>
      <c r="F220" s="9">
        <f t="shared" si="9"/>
        <v>42674</v>
      </c>
      <c r="G220" s="8" t="str">
        <f t="shared" si="10"/>
        <v>PH502</v>
      </c>
      <c r="H220" s="1">
        <f t="shared" si="11"/>
        <v>6</v>
      </c>
    </row>
    <row r="221" spans="1:8" x14ac:dyDescent="0.25">
      <c r="A221" s="63"/>
      <c r="B221" t="s">
        <v>30</v>
      </c>
      <c r="C221" s="5">
        <v>1</v>
      </c>
      <c r="F221" s="9">
        <f t="shared" si="9"/>
        <v>42674</v>
      </c>
      <c r="G221" s="8" t="str">
        <f t="shared" si="10"/>
        <v>PH502-3</v>
      </c>
      <c r="H221" s="1">
        <f t="shared" si="11"/>
        <v>1</v>
      </c>
    </row>
    <row r="222" spans="1:8" x14ac:dyDescent="0.25">
      <c r="A222" s="63"/>
      <c r="B222" t="s">
        <v>42</v>
      </c>
      <c r="C222" s="5">
        <v>16</v>
      </c>
      <c r="F222" s="9">
        <f t="shared" si="9"/>
        <v>42674</v>
      </c>
      <c r="G222" s="8" t="str">
        <f t="shared" si="10"/>
        <v>PH520</v>
      </c>
      <c r="H222" s="1">
        <f t="shared" si="11"/>
        <v>16</v>
      </c>
    </row>
    <row r="223" spans="1:8" x14ac:dyDescent="0.25">
      <c r="A223" s="63"/>
      <c r="B223" t="s">
        <v>43</v>
      </c>
      <c r="C223" s="5">
        <v>10</v>
      </c>
      <c r="F223" s="9">
        <f t="shared" si="9"/>
        <v>42674</v>
      </c>
      <c r="G223" s="8" t="str">
        <f t="shared" si="10"/>
        <v>PH557</v>
      </c>
      <c r="H223" s="1">
        <f t="shared" si="11"/>
        <v>10</v>
      </c>
    </row>
    <row r="224" spans="1:8" x14ac:dyDescent="0.25">
      <c r="A224" s="63"/>
      <c r="B224" t="s">
        <v>79</v>
      </c>
      <c r="C224" s="5">
        <v>4</v>
      </c>
      <c r="F224" s="9">
        <f t="shared" si="9"/>
        <v>42674</v>
      </c>
      <c r="G224" s="8" t="str">
        <f t="shared" si="10"/>
        <v>PST300-4GPA</v>
      </c>
      <c r="H224" s="1">
        <f t="shared" si="11"/>
        <v>4</v>
      </c>
    </row>
    <row r="225" spans="1:8" x14ac:dyDescent="0.25">
      <c r="A225" s="63"/>
      <c r="B225" t="s">
        <v>0</v>
      </c>
      <c r="C225" s="5">
        <v>32</v>
      </c>
      <c r="F225" s="9">
        <f t="shared" si="9"/>
        <v>42674</v>
      </c>
      <c r="G225" s="8" t="str">
        <f t="shared" si="10"/>
        <v>PST305</v>
      </c>
      <c r="H225" s="1">
        <f t="shared" si="11"/>
        <v>32</v>
      </c>
    </row>
    <row r="226" spans="1:8" x14ac:dyDescent="0.25">
      <c r="A226" s="63"/>
      <c r="B226" t="s">
        <v>61</v>
      </c>
      <c r="C226" s="5">
        <v>1</v>
      </c>
      <c r="F226" s="9">
        <f t="shared" si="9"/>
        <v>42674</v>
      </c>
      <c r="G226" s="8" t="str">
        <f t="shared" si="10"/>
        <v>PT-28HB</v>
      </c>
      <c r="H226" s="1">
        <f t="shared" si="11"/>
        <v>1</v>
      </c>
    </row>
    <row r="227" spans="1:8" x14ac:dyDescent="0.25">
      <c r="A227" s="63"/>
      <c r="B227" t="s">
        <v>44</v>
      </c>
      <c r="C227" s="5">
        <v>2</v>
      </c>
      <c r="F227" s="9">
        <f t="shared" si="9"/>
        <v>42674</v>
      </c>
      <c r="G227" s="8" t="str">
        <f t="shared" si="10"/>
        <v>ST300-2PT</v>
      </c>
      <c r="H227" s="1">
        <f t="shared" si="11"/>
        <v>2</v>
      </c>
    </row>
    <row r="228" spans="1:8" x14ac:dyDescent="0.25">
      <c r="A228" s="63"/>
      <c r="B228" t="s">
        <v>45</v>
      </c>
      <c r="C228" s="5">
        <v>2</v>
      </c>
      <c r="F228" s="9">
        <f t="shared" si="9"/>
        <v>42674</v>
      </c>
      <c r="G228" s="8" t="str">
        <f t="shared" si="10"/>
        <v>ST300-2PT-1</v>
      </c>
      <c r="H228" s="1">
        <f t="shared" si="11"/>
        <v>2</v>
      </c>
    </row>
    <row r="229" spans="1:8" x14ac:dyDescent="0.25">
      <c r="A229" s="63"/>
      <c r="B229" t="s">
        <v>62</v>
      </c>
      <c r="C229" s="5">
        <v>3</v>
      </c>
      <c r="F229" s="9">
        <f t="shared" si="9"/>
        <v>42674</v>
      </c>
      <c r="G229" s="8" t="str">
        <f t="shared" si="10"/>
        <v>ST320-3LA</v>
      </c>
      <c r="H229" s="1">
        <f t="shared" si="11"/>
        <v>3</v>
      </c>
    </row>
    <row r="230" spans="1:8" x14ac:dyDescent="0.25">
      <c r="A230" s="63"/>
      <c r="B230" t="s">
        <v>63</v>
      </c>
      <c r="C230" s="5">
        <v>5</v>
      </c>
      <c r="F230" s="9">
        <f t="shared" si="9"/>
        <v>42674</v>
      </c>
      <c r="G230" s="8" t="str">
        <f t="shared" si="10"/>
        <v>ST320-3RA</v>
      </c>
      <c r="H230" s="1">
        <f t="shared" si="11"/>
        <v>5</v>
      </c>
    </row>
    <row r="231" spans="1:8" x14ac:dyDescent="0.25">
      <c r="A231" s="63"/>
      <c r="B231" t="s">
        <v>37</v>
      </c>
      <c r="C231" s="5">
        <v>60</v>
      </c>
      <c r="F231" s="9">
        <f t="shared" si="9"/>
        <v>42674</v>
      </c>
      <c r="G231" s="8" t="str">
        <f t="shared" si="10"/>
        <v>ST350-2</v>
      </c>
      <c r="H231" s="1">
        <f t="shared" si="11"/>
        <v>60</v>
      </c>
    </row>
    <row r="232" spans="1:8" x14ac:dyDescent="0.25">
      <c r="A232" s="63"/>
      <c r="B232" t="s">
        <v>7</v>
      </c>
      <c r="C232" s="5">
        <v>3</v>
      </c>
      <c r="F232" s="9">
        <f t="shared" si="9"/>
        <v>42674</v>
      </c>
      <c r="G232" s="8" t="str">
        <f t="shared" si="10"/>
        <v>ST515-3CH</v>
      </c>
      <c r="H232" s="1">
        <f t="shared" si="11"/>
        <v>3</v>
      </c>
    </row>
    <row r="233" spans="1:8" x14ac:dyDescent="0.25">
      <c r="A233" s="9">
        <v>42677</v>
      </c>
      <c r="B233" t="s">
        <v>44</v>
      </c>
      <c r="C233" s="5">
        <v>45</v>
      </c>
      <c r="F233" s="9">
        <f t="shared" si="9"/>
        <v>42677</v>
      </c>
      <c r="G233" s="8" t="str">
        <f t="shared" si="10"/>
        <v>ST300-2PT</v>
      </c>
      <c r="H233" s="1">
        <f t="shared" si="11"/>
        <v>45</v>
      </c>
    </row>
    <row r="234" spans="1:8" x14ac:dyDescent="0.25">
      <c r="A234" s="9">
        <v>42688</v>
      </c>
      <c r="B234" t="s">
        <v>10</v>
      </c>
      <c r="C234" s="5">
        <v>3</v>
      </c>
      <c r="F234" s="9">
        <f t="shared" si="9"/>
        <v>42688</v>
      </c>
      <c r="G234" s="8" t="str">
        <f t="shared" si="10"/>
        <v>PH1100-1-DH</v>
      </c>
      <c r="H234" s="1">
        <f t="shared" si="11"/>
        <v>3</v>
      </c>
    </row>
    <row r="235" spans="1:8" x14ac:dyDescent="0.25">
      <c r="A235" s="63"/>
      <c r="B235" t="s">
        <v>31</v>
      </c>
      <c r="C235" s="5">
        <v>12</v>
      </c>
      <c r="F235" s="9">
        <f t="shared" si="9"/>
        <v>42688</v>
      </c>
      <c r="G235" s="8" t="str">
        <f t="shared" si="10"/>
        <v>PH502-5</v>
      </c>
      <c r="H235" s="1">
        <f t="shared" si="11"/>
        <v>12</v>
      </c>
    </row>
    <row r="236" spans="1:8" x14ac:dyDescent="0.25">
      <c r="A236" s="9">
        <v>42695</v>
      </c>
      <c r="B236" t="s">
        <v>44</v>
      </c>
      <c r="C236" s="5">
        <v>45</v>
      </c>
      <c r="F236" s="9">
        <f t="shared" si="9"/>
        <v>42695</v>
      </c>
      <c r="G236" s="8" t="str">
        <f t="shared" si="10"/>
        <v>ST300-2PT</v>
      </c>
      <c r="H236" s="1">
        <f t="shared" si="11"/>
        <v>45</v>
      </c>
    </row>
    <row r="237" spans="1:8" x14ac:dyDescent="0.25">
      <c r="A237" s="9">
        <v>42702</v>
      </c>
      <c r="B237" t="s">
        <v>49</v>
      </c>
      <c r="C237" s="5">
        <v>2</v>
      </c>
      <c r="F237" s="9">
        <f t="shared" si="9"/>
        <v>42702</v>
      </c>
      <c r="G237" s="8" t="str">
        <f t="shared" si="10"/>
        <v>ST300-3HR</v>
      </c>
      <c r="H237" s="1">
        <f t="shared" si="11"/>
        <v>2</v>
      </c>
    </row>
    <row r="238" spans="1:8" x14ac:dyDescent="0.25">
      <c r="A238" s="9">
        <v>42725</v>
      </c>
      <c r="B238" t="s">
        <v>0</v>
      </c>
      <c r="C238" s="5">
        <v>3</v>
      </c>
      <c r="F238" s="9">
        <f t="shared" si="9"/>
        <v>42725</v>
      </c>
      <c r="G238" s="8" t="str">
        <f t="shared" si="10"/>
        <v>PST305</v>
      </c>
      <c r="H238" s="1">
        <f t="shared" si="11"/>
        <v>3</v>
      </c>
    </row>
    <row r="239" spans="1:8" x14ac:dyDescent="0.25">
      <c r="A239" s="9">
        <v>42734</v>
      </c>
      <c r="B239" t="s">
        <v>7</v>
      </c>
      <c r="C239" s="5">
        <v>55</v>
      </c>
      <c r="F239" s="9">
        <f t="shared" si="9"/>
        <v>42734</v>
      </c>
      <c r="G239" s="8" t="str">
        <f t="shared" si="10"/>
        <v>ST515-3CH</v>
      </c>
      <c r="H239" s="1">
        <f t="shared" si="11"/>
        <v>55</v>
      </c>
    </row>
    <row r="240" spans="1:8" x14ac:dyDescent="0.25">
      <c r="A240" s="9">
        <v>42744</v>
      </c>
      <c r="B240" t="s">
        <v>80</v>
      </c>
      <c r="C240" s="5">
        <v>1</v>
      </c>
      <c r="F240" s="9">
        <f t="shared" si="9"/>
        <v>42744</v>
      </c>
      <c r="G240" s="8" t="str">
        <f t="shared" si="10"/>
        <v>PST300-G120TP</v>
      </c>
      <c r="H240" s="1">
        <f t="shared" si="11"/>
        <v>1</v>
      </c>
    </row>
    <row r="241" spans="1:8" x14ac:dyDescent="0.25">
      <c r="A241" s="9">
        <v>42835</v>
      </c>
      <c r="B241" t="s">
        <v>113</v>
      </c>
      <c r="C241" s="5">
        <v>250</v>
      </c>
      <c r="F241" s="9">
        <f t="shared" si="9"/>
        <v>42835</v>
      </c>
      <c r="G241" s="8" t="str">
        <f t="shared" si="10"/>
        <v>WA1896-14</v>
      </c>
      <c r="H241" s="1">
        <f t="shared" si="11"/>
        <v>250</v>
      </c>
    </row>
    <row r="242" spans="1:8" x14ac:dyDescent="0.25">
      <c r="A242" s="9" t="s">
        <v>471</v>
      </c>
      <c r="B242" t="s">
        <v>471</v>
      </c>
      <c r="C242" s="5"/>
      <c r="F242" s="9" t="str">
        <f t="shared" si="9"/>
        <v>(blank)</v>
      </c>
      <c r="G242" s="8" t="str">
        <f t="shared" si="10"/>
        <v>(blank)</v>
      </c>
      <c r="H242" s="1" t="str">
        <f t="shared" si="11"/>
        <v/>
      </c>
    </row>
    <row r="243" spans="1:8" x14ac:dyDescent="0.25">
      <c r="A243"/>
      <c r="F243" s="9" t="str">
        <f t="shared" si="9"/>
        <v/>
      </c>
      <c r="G243" s="8" t="str">
        <f t="shared" si="10"/>
        <v/>
      </c>
      <c r="H243" s="1" t="str">
        <f t="shared" si="11"/>
        <v/>
      </c>
    </row>
    <row r="244" spans="1:8" x14ac:dyDescent="0.25">
      <c r="A244"/>
      <c r="F244" s="9" t="str">
        <f t="shared" si="9"/>
        <v/>
      </c>
      <c r="G244" s="8" t="str">
        <f t="shared" si="10"/>
        <v/>
      </c>
      <c r="H244" s="1" t="str">
        <f t="shared" si="11"/>
        <v/>
      </c>
    </row>
    <row r="245" spans="1:8" x14ac:dyDescent="0.25">
      <c r="A245"/>
      <c r="F245" s="9" t="str">
        <f t="shared" si="9"/>
        <v/>
      </c>
      <c r="G245" s="8" t="str">
        <f t="shared" si="10"/>
        <v/>
      </c>
      <c r="H245" s="1" t="str">
        <f t="shared" si="11"/>
        <v/>
      </c>
    </row>
    <row r="246" spans="1:8" x14ac:dyDescent="0.25">
      <c r="A246"/>
      <c r="F246" s="9" t="str">
        <f t="shared" si="9"/>
        <v/>
      </c>
      <c r="G246" s="8" t="str">
        <f t="shared" si="10"/>
        <v/>
      </c>
      <c r="H246" s="1" t="str">
        <f t="shared" si="11"/>
        <v/>
      </c>
    </row>
    <row r="247" spans="1:8" x14ac:dyDescent="0.25">
      <c r="A247"/>
      <c r="F247" s="9" t="str">
        <f t="shared" si="9"/>
        <v/>
      </c>
      <c r="G247" s="8" t="str">
        <f t="shared" si="10"/>
        <v/>
      </c>
      <c r="H247" s="1" t="str">
        <f t="shared" si="11"/>
        <v/>
      </c>
    </row>
    <row r="248" spans="1:8" x14ac:dyDescent="0.25">
      <c r="A248"/>
      <c r="F248" s="9" t="str">
        <f t="shared" si="9"/>
        <v/>
      </c>
      <c r="G248" s="8" t="str">
        <f t="shared" si="10"/>
        <v/>
      </c>
      <c r="H248" s="1" t="str">
        <f t="shared" si="11"/>
        <v/>
      </c>
    </row>
    <row r="249" spans="1:8" x14ac:dyDescent="0.25">
      <c r="A249"/>
      <c r="F249" s="9" t="str">
        <f t="shared" si="9"/>
        <v/>
      </c>
      <c r="G249" s="8" t="str">
        <f t="shared" si="10"/>
        <v/>
      </c>
      <c r="H249" s="1" t="str">
        <f t="shared" si="11"/>
        <v/>
      </c>
    </row>
    <row r="250" spans="1:8" x14ac:dyDescent="0.25">
      <c r="A250"/>
      <c r="F250" s="9" t="str">
        <f t="shared" si="9"/>
        <v/>
      </c>
      <c r="G250" s="8" t="str">
        <f t="shared" si="10"/>
        <v/>
      </c>
      <c r="H250" s="1" t="str">
        <f t="shared" si="11"/>
        <v/>
      </c>
    </row>
    <row r="251" spans="1:8" x14ac:dyDescent="0.25">
      <c r="A251"/>
      <c r="F251" s="9" t="str">
        <f t="shared" si="9"/>
        <v/>
      </c>
      <c r="G251" s="8" t="str">
        <f t="shared" si="10"/>
        <v/>
      </c>
      <c r="H251" s="1" t="str">
        <f t="shared" si="11"/>
        <v/>
      </c>
    </row>
    <row r="252" spans="1:8" x14ac:dyDescent="0.25">
      <c r="A252"/>
      <c r="F252" s="9" t="str">
        <f t="shared" si="9"/>
        <v/>
      </c>
      <c r="G252" s="8" t="str">
        <f t="shared" si="10"/>
        <v/>
      </c>
      <c r="H252" s="1" t="str">
        <f t="shared" si="11"/>
        <v/>
      </c>
    </row>
    <row r="253" spans="1:8" x14ac:dyDescent="0.25">
      <c r="A253"/>
      <c r="F253" s="9" t="str">
        <f t="shared" si="9"/>
        <v/>
      </c>
      <c r="G253" s="8" t="str">
        <f t="shared" si="10"/>
        <v/>
      </c>
      <c r="H253" s="1" t="str">
        <f t="shared" si="11"/>
        <v/>
      </c>
    </row>
    <row r="254" spans="1:8" x14ac:dyDescent="0.25">
      <c r="A254"/>
      <c r="F254" s="9" t="str">
        <f t="shared" si="9"/>
        <v/>
      </c>
      <c r="G254" s="8" t="str">
        <f t="shared" si="10"/>
        <v/>
      </c>
      <c r="H254" s="1" t="str">
        <f t="shared" si="11"/>
        <v/>
      </c>
    </row>
    <row r="255" spans="1:8" x14ac:dyDescent="0.25">
      <c r="A255"/>
      <c r="F255" s="9" t="str">
        <f t="shared" si="9"/>
        <v/>
      </c>
      <c r="G255" s="8" t="str">
        <f t="shared" si="10"/>
        <v/>
      </c>
      <c r="H255" s="1" t="str">
        <f t="shared" si="11"/>
        <v/>
      </c>
    </row>
    <row r="256" spans="1:8" x14ac:dyDescent="0.25">
      <c r="A256"/>
      <c r="F256" s="9" t="str">
        <f t="shared" si="9"/>
        <v/>
      </c>
      <c r="G256" s="8" t="str">
        <f t="shared" si="10"/>
        <v/>
      </c>
      <c r="H256" s="1" t="str">
        <f t="shared" si="11"/>
        <v/>
      </c>
    </row>
    <row r="257" spans="1:8" x14ac:dyDescent="0.25">
      <c r="A257"/>
      <c r="F257" s="9" t="str">
        <f t="shared" si="9"/>
        <v/>
      </c>
      <c r="G257" s="8" t="str">
        <f t="shared" si="10"/>
        <v/>
      </c>
      <c r="H257" s="1" t="str">
        <f t="shared" si="11"/>
        <v/>
      </c>
    </row>
    <row r="258" spans="1:8" x14ac:dyDescent="0.25">
      <c r="A258"/>
      <c r="F258" s="9" t="str">
        <f t="shared" si="9"/>
        <v/>
      </c>
      <c r="G258" s="8" t="str">
        <f t="shared" si="10"/>
        <v/>
      </c>
      <c r="H258" s="1" t="str">
        <f t="shared" si="11"/>
        <v/>
      </c>
    </row>
    <row r="259" spans="1:8" x14ac:dyDescent="0.25">
      <c r="A259"/>
      <c r="F259" s="9" t="str">
        <f t="shared" si="9"/>
        <v/>
      </c>
      <c r="G259" s="8" t="str">
        <f t="shared" si="10"/>
        <v/>
      </c>
      <c r="H259" s="1" t="str">
        <f t="shared" si="11"/>
        <v/>
      </c>
    </row>
    <row r="260" spans="1:8" x14ac:dyDescent="0.25">
      <c r="A260"/>
      <c r="F260" s="9" t="str">
        <f t="shared" si="9"/>
        <v/>
      </c>
      <c r="G260" s="8" t="str">
        <f t="shared" si="10"/>
        <v/>
      </c>
      <c r="H260" s="1" t="str">
        <f t="shared" si="11"/>
        <v/>
      </c>
    </row>
    <row r="261" spans="1:8" x14ac:dyDescent="0.25">
      <c r="A261"/>
      <c r="F261" s="9" t="str">
        <f t="shared" si="9"/>
        <v/>
      </c>
      <c r="G261" s="8" t="str">
        <f t="shared" si="10"/>
        <v/>
      </c>
      <c r="H261" s="1" t="str">
        <f t="shared" si="11"/>
        <v/>
      </c>
    </row>
    <row r="262" spans="1:8" x14ac:dyDescent="0.25">
      <c r="A262"/>
      <c r="F262" s="9" t="str">
        <f t="shared" ref="F262:F325" si="12">IF(B262="","",IF(A262="",F261,A262))</f>
        <v/>
      </c>
      <c r="G262" s="8" t="str">
        <f t="shared" ref="G262:G325" si="13">IF(B262="","",B262)</f>
        <v/>
      </c>
      <c r="H262" s="1" t="str">
        <f t="shared" ref="H262:H325" si="14">IF(C262="","",C262)</f>
        <v/>
      </c>
    </row>
    <row r="263" spans="1:8" x14ac:dyDescent="0.25">
      <c r="A263"/>
      <c r="F263" s="9" t="str">
        <f t="shared" si="12"/>
        <v/>
      </c>
      <c r="G263" s="8" t="str">
        <f t="shared" si="13"/>
        <v/>
      </c>
      <c r="H263" s="1" t="str">
        <f t="shared" si="14"/>
        <v/>
      </c>
    </row>
    <row r="264" spans="1:8" x14ac:dyDescent="0.25">
      <c r="A264"/>
      <c r="F264" s="9" t="str">
        <f t="shared" si="12"/>
        <v/>
      </c>
      <c r="G264" s="8" t="str">
        <f t="shared" si="13"/>
        <v/>
      </c>
      <c r="H264" s="1" t="str">
        <f t="shared" si="14"/>
        <v/>
      </c>
    </row>
    <row r="265" spans="1:8" x14ac:dyDescent="0.25">
      <c r="A265"/>
      <c r="F265" s="9" t="str">
        <f t="shared" si="12"/>
        <v/>
      </c>
      <c r="G265" s="8" t="str">
        <f t="shared" si="13"/>
        <v/>
      </c>
      <c r="H265" s="1" t="str">
        <f t="shared" si="14"/>
        <v/>
      </c>
    </row>
    <row r="266" spans="1:8" x14ac:dyDescent="0.25">
      <c r="A266"/>
      <c r="F266" s="9" t="str">
        <f t="shared" si="12"/>
        <v/>
      </c>
      <c r="G266" s="8" t="str">
        <f t="shared" si="13"/>
        <v/>
      </c>
      <c r="H266" s="1" t="str">
        <f t="shared" si="14"/>
        <v/>
      </c>
    </row>
    <row r="267" spans="1:8" x14ac:dyDescent="0.25">
      <c r="A267"/>
      <c r="F267" s="9" t="str">
        <f t="shared" si="12"/>
        <v/>
      </c>
      <c r="G267" s="8" t="str">
        <f t="shared" si="13"/>
        <v/>
      </c>
      <c r="H267" s="1" t="str">
        <f t="shared" si="14"/>
        <v/>
      </c>
    </row>
    <row r="268" spans="1:8" x14ac:dyDescent="0.25">
      <c r="A268"/>
      <c r="F268" s="9" t="str">
        <f t="shared" si="12"/>
        <v/>
      </c>
      <c r="G268" s="8" t="str">
        <f t="shared" si="13"/>
        <v/>
      </c>
      <c r="H268" s="1" t="str">
        <f t="shared" si="14"/>
        <v/>
      </c>
    </row>
    <row r="269" spans="1:8" x14ac:dyDescent="0.25">
      <c r="A269"/>
      <c r="F269" s="9" t="str">
        <f t="shared" si="12"/>
        <v/>
      </c>
      <c r="G269" s="8" t="str">
        <f t="shared" si="13"/>
        <v/>
      </c>
      <c r="H269" s="1" t="str">
        <f t="shared" si="14"/>
        <v/>
      </c>
    </row>
    <row r="270" spans="1:8" x14ac:dyDescent="0.25">
      <c r="A270"/>
      <c r="F270" s="9" t="str">
        <f t="shared" si="12"/>
        <v/>
      </c>
      <c r="G270" s="8" t="str">
        <f t="shared" si="13"/>
        <v/>
      </c>
      <c r="H270" s="1" t="str">
        <f t="shared" si="14"/>
        <v/>
      </c>
    </row>
    <row r="271" spans="1:8" x14ac:dyDescent="0.25">
      <c r="A271"/>
      <c r="F271" s="9" t="str">
        <f t="shared" si="12"/>
        <v/>
      </c>
      <c r="G271" s="8" t="str">
        <f t="shared" si="13"/>
        <v/>
      </c>
      <c r="H271" s="1" t="str">
        <f t="shared" si="14"/>
        <v/>
      </c>
    </row>
    <row r="272" spans="1:8" x14ac:dyDescent="0.25">
      <c r="A272" s="8"/>
      <c r="F272" s="9" t="str">
        <f t="shared" si="12"/>
        <v/>
      </c>
      <c r="G272" s="8" t="str">
        <f t="shared" si="13"/>
        <v/>
      </c>
      <c r="H272" s="1" t="str">
        <f t="shared" si="14"/>
        <v/>
      </c>
    </row>
    <row r="273" spans="1:8" x14ac:dyDescent="0.25">
      <c r="A273" s="8"/>
      <c r="F273" s="9" t="str">
        <f t="shared" si="12"/>
        <v/>
      </c>
      <c r="G273" s="8" t="str">
        <f t="shared" si="13"/>
        <v/>
      </c>
      <c r="H273" s="1" t="str">
        <f t="shared" si="14"/>
        <v/>
      </c>
    </row>
    <row r="274" spans="1:8" x14ac:dyDescent="0.25">
      <c r="A274" s="8"/>
      <c r="F274" s="9" t="str">
        <f t="shared" si="12"/>
        <v/>
      </c>
      <c r="G274" s="8" t="str">
        <f t="shared" si="13"/>
        <v/>
      </c>
      <c r="H274" s="1" t="str">
        <f t="shared" si="14"/>
        <v/>
      </c>
    </row>
    <row r="275" spans="1:8" x14ac:dyDescent="0.25">
      <c r="A275" s="8"/>
      <c r="F275" s="9" t="str">
        <f t="shared" si="12"/>
        <v/>
      </c>
      <c r="G275" s="8" t="str">
        <f t="shared" si="13"/>
        <v/>
      </c>
      <c r="H275" s="1" t="str">
        <f t="shared" si="14"/>
        <v/>
      </c>
    </row>
    <row r="276" spans="1:8" x14ac:dyDescent="0.25">
      <c r="A276" s="8"/>
      <c r="F276" s="9" t="str">
        <f t="shared" si="12"/>
        <v/>
      </c>
      <c r="G276" s="8" t="str">
        <f t="shared" si="13"/>
        <v/>
      </c>
      <c r="H276" s="1" t="str">
        <f t="shared" si="14"/>
        <v/>
      </c>
    </row>
    <row r="277" spans="1:8" x14ac:dyDescent="0.25">
      <c r="A277" s="8"/>
      <c r="F277" s="9" t="str">
        <f t="shared" si="12"/>
        <v/>
      </c>
      <c r="G277" s="8" t="str">
        <f t="shared" si="13"/>
        <v/>
      </c>
      <c r="H277" s="1" t="str">
        <f t="shared" si="14"/>
        <v/>
      </c>
    </row>
    <row r="278" spans="1:8" x14ac:dyDescent="0.25">
      <c r="A278" s="8"/>
      <c r="F278" s="9" t="str">
        <f t="shared" si="12"/>
        <v/>
      </c>
      <c r="G278" s="8" t="str">
        <f t="shared" si="13"/>
        <v/>
      </c>
      <c r="H278" s="1" t="str">
        <f t="shared" si="14"/>
        <v/>
      </c>
    </row>
    <row r="279" spans="1:8" x14ac:dyDescent="0.25">
      <c r="A279" s="8"/>
      <c r="F279" s="9" t="str">
        <f t="shared" si="12"/>
        <v/>
      </c>
      <c r="G279" s="8" t="str">
        <f t="shared" si="13"/>
        <v/>
      </c>
      <c r="H279" s="1" t="str">
        <f t="shared" si="14"/>
        <v/>
      </c>
    </row>
    <row r="280" spans="1:8" x14ac:dyDescent="0.25">
      <c r="A280" s="8"/>
      <c r="F280" s="9" t="str">
        <f t="shared" si="12"/>
        <v/>
      </c>
      <c r="G280" s="8" t="str">
        <f t="shared" si="13"/>
        <v/>
      </c>
      <c r="H280" s="1" t="str">
        <f t="shared" si="14"/>
        <v/>
      </c>
    </row>
    <row r="281" spans="1:8" x14ac:dyDescent="0.25">
      <c r="A281" s="8"/>
      <c r="F281" s="9" t="str">
        <f t="shared" si="12"/>
        <v/>
      </c>
      <c r="G281" s="8" t="str">
        <f t="shared" si="13"/>
        <v/>
      </c>
      <c r="H281" s="1" t="str">
        <f t="shared" si="14"/>
        <v/>
      </c>
    </row>
    <row r="282" spans="1:8" x14ac:dyDescent="0.25">
      <c r="A282" s="8"/>
      <c r="F282" s="9" t="str">
        <f t="shared" si="12"/>
        <v/>
      </c>
      <c r="G282" s="8" t="str">
        <f t="shared" si="13"/>
        <v/>
      </c>
      <c r="H282" s="1" t="str">
        <f t="shared" si="14"/>
        <v/>
      </c>
    </row>
    <row r="283" spans="1:8" x14ac:dyDescent="0.25">
      <c r="A283" s="8"/>
      <c r="F283" s="9" t="str">
        <f t="shared" si="12"/>
        <v/>
      </c>
      <c r="G283" s="8" t="str">
        <f t="shared" si="13"/>
        <v/>
      </c>
      <c r="H283" s="1" t="str">
        <f t="shared" si="14"/>
        <v/>
      </c>
    </row>
    <row r="284" spans="1:8" x14ac:dyDescent="0.25">
      <c r="A284" s="8"/>
      <c r="F284" s="9" t="str">
        <f t="shared" si="12"/>
        <v/>
      </c>
      <c r="G284" s="8" t="str">
        <f t="shared" si="13"/>
        <v/>
      </c>
      <c r="H284" s="1" t="str">
        <f t="shared" si="14"/>
        <v/>
      </c>
    </row>
    <row r="285" spans="1:8" x14ac:dyDescent="0.25">
      <c r="A285" s="8"/>
      <c r="F285" s="9" t="str">
        <f t="shared" si="12"/>
        <v/>
      </c>
      <c r="G285" s="8" t="str">
        <f t="shared" si="13"/>
        <v/>
      </c>
      <c r="H285" s="1" t="str">
        <f t="shared" si="14"/>
        <v/>
      </c>
    </row>
    <row r="286" spans="1:8" x14ac:dyDescent="0.25">
      <c r="A286" s="8"/>
      <c r="F286" s="9" t="str">
        <f t="shared" si="12"/>
        <v/>
      </c>
      <c r="G286" s="8" t="str">
        <f t="shared" si="13"/>
        <v/>
      </c>
      <c r="H286" s="1" t="str">
        <f t="shared" si="14"/>
        <v/>
      </c>
    </row>
    <row r="287" spans="1:8" x14ac:dyDescent="0.25">
      <c r="A287" s="8"/>
      <c r="F287" s="9" t="str">
        <f t="shared" si="12"/>
        <v/>
      </c>
      <c r="G287" s="8" t="str">
        <f t="shared" si="13"/>
        <v/>
      </c>
      <c r="H287" s="1" t="str">
        <f t="shared" si="14"/>
        <v/>
      </c>
    </row>
    <row r="288" spans="1:8" x14ac:dyDescent="0.25">
      <c r="A288" s="8"/>
      <c r="F288" s="9" t="str">
        <f t="shared" si="12"/>
        <v/>
      </c>
      <c r="G288" s="8" t="str">
        <f t="shared" si="13"/>
        <v/>
      </c>
      <c r="H288" s="1" t="str">
        <f t="shared" si="14"/>
        <v/>
      </c>
    </row>
    <row r="289" spans="1:8" x14ac:dyDescent="0.25">
      <c r="A289" s="8"/>
      <c r="F289" s="9" t="str">
        <f t="shared" si="12"/>
        <v/>
      </c>
      <c r="G289" s="8" t="str">
        <f t="shared" si="13"/>
        <v/>
      </c>
      <c r="H289" s="1" t="str">
        <f t="shared" si="14"/>
        <v/>
      </c>
    </row>
    <row r="290" spans="1:8" x14ac:dyDescent="0.25">
      <c r="A290" s="8"/>
      <c r="F290" s="9" t="str">
        <f t="shared" si="12"/>
        <v/>
      </c>
      <c r="G290" s="8" t="str">
        <f t="shared" si="13"/>
        <v/>
      </c>
      <c r="H290" s="1" t="str">
        <f t="shared" si="14"/>
        <v/>
      </c>
    </row>
    <row r="291" spans="1:8" x14ac:dyDescent="0.25">
      <c r="A291" s="8"/>
      <c r="F291" s="9" t="str">
        <f t="shared" si="12"/>
        <v/>
      </c>
      <c r="G291" s="8" t="str">
        <f t="shared" si="13"/>
        <v/>
      </c>
      <c r="H291" s="1" t="str">
        <f t="shared" si="14"/>
        <v/>
      </c>
    </row>
    <row r="292" spans="1:8" x14ac:dyDescent="0.25">
      <c r="A292" s="8"/>
      <c r="F292" s="9" t="str">
        <f t="shared" si="12"/>
        <v/>
      </c>
      <c r="G292" s="8" t="str">
        <f t="shared" si="13"/>
        <v/>
      </c>
      <c r="H292" s="1" t="str">
        <f t="shared" si="14"/>
        <v/>
      </c>
    </row>
    <row r="293" spans="1:8" x14ac:dyDescent="0.25">
      <c r="A293" s="8"/>
      <c r="F293" s="9" t="str">
        <f t="shared" si="12"/>
        <v/>
      </c>
      <c r="G293" s="8" t="str">
        <f t="shared" si="13"/>
        <v/>
      </c>
      <c r="H293" s="1" t="str">
        <f t="shared" si="14"/>
        <v/>
      </c>
    </row>
    <row r="294" spans="1:8" x14ac:dyDescent="0.25">
      <c r="A294" s="8"/>
      <c r="F294" s="9" t="str">
        <f t="shared" si="12"/>
        <v/>
      </c>
      <c r="G294" s="8" t="str">
        <f t="shared" si="13"/>
        <v/>
      </c>
      <c r="H294" s="1" t="str">
        <f t="shared" si="14"/>
        <v/>
      </c>
    </row>
    <row r="295" spans="1:8" x14ac:dyDescent="0.25">
      <c r="A295" s="8"/>
      <c r="F295" s="9" t="str">
        <f t="shared" si="12"/>
        <v/>
      </c>
      <c r="G295" s="8" t="str">
        <f t="shared" si="13"/>
        <v/>
      </c>
      <c r="H295" s="1" t="str">
        <f t="shared" si="14"/>
        <v/>
      </c>
    </row>
    <row r="296" spans="1:8" x14ac:dyDescent="0.25">
      <c r="A296" s="8"/>
      <c r="F296" s="9" t="str">
        <f t="shared" si="12"/>
        <v/>
      </c>
      <c r="G296" s="8" t="str">
        <f t="shared" si="13"/>
        <v/>
      </c>
      <c r="H296" s="1" t="str">
        <f t="shared" si="14"/>
        <v/>
      </c>
    </row>
    <row r="297" spans="1:8" x14ac:dyDescent="0.25">
      <c r="A297" s="8"/>
      <c r="F297" s="9" t="str">
        <f t="shared" si="12"/>
        <v/>
      </c>
      <c r="G297" s="8" t="str">
        <f t="shared" si="13"/>
        <v/>
      </c>
      <c r="H297" s="1" t="str">
        <f t="shared" si="14"/>
        <v/>
      </c>
    </row>
    <row r="298" spans="1:8" x14ac:dyDescent="0.25">
      <c r="A298" s="8"/>
      <c r="F298" s="9" t="str">
        <f t="shared" si="12"/>
        <v/>
      </c>
      <c r="G298" s="8" t="str">
        <f t="shared" si="13"/>
        <v/>
      </c>
      <c r="H298" s="1" t="str">
        <f t="shared" si="14"/>
        <v/>
      </c>
    </row>
    <row r="299" spans="1:8" x14ac:dyDescent="0.25">
      <c r="A299" s="8"/>
      <c r="F299" s="9" t="str">
        <f t="shared" si="12"/>
        <v/>
      </c>
      <c r="G299" s="8" t="str">
        <f t="shared" si="13"/>
        <v/>
      </c>
      <c r="H299" s="1" t="str">
        <f t="shared" si="14"/>
        <v/>
      </c>
    </row>
    <row r="300" spans="1:8" x14ac:dyDescent="0.25">
      <c r="A300" s="8"/>
      <c r="F300" s="9" t="str">
        <f t="shared" si="12"/>
        <v/>
      </c>
      <c r="G300" s="8" t="str">
        <f t="shared" si="13"/>
        <v/>
      </c>
      <c r="H300" s="1" t="str">
        <f t="shared" si="14"/>
        <v/>
      </c>
    </row>
    <row r="301" spans="1:8" x14ac:dyDescent="0.25">
      <c r="A301" s="8"/>
      <c r="F301" s="9" t="str">
        <f t="shared" si="12"/>
        <v/>
      </c>
      <c r="G301" s="8" t="str">
        <f t="shared" si="13"/>
        <v/>
      </c>
      <c r="H301" s="1" t="str">
        <f t="shared" si="14"/>
        <v/>
      </c>
    </row>
    <row r="302" spans="1:8" x14ac:dyDescent="0.25">
      <c r="A302" s="8"/>
      <c r="F302" s="9" t="str">
        <f t="shared" si="12"/>
        <v/>
      </c>
      <c r="G302" s="8" t="str">
        <f t="shared" si="13"/>
        <v/>
      </c>
      <c r="H302" s="1" t="str">
        <f t="shared" si="14"/>
        <v/>
      </c>
    </row>
    <row r="303" spans="1:8" x14ac:dyDescent="0.25">
      <c r="A303" s="8"/>
      <c r="F303" s="9" t="str">
        <f t="shared" si="12"/>
        <v/>
      </c>
      <c r="G303" s="8" t="str">
        <f t="shared" si="13"/>
        <v/>
      </c>
      <c r="H303" s="1" t="str">
        <f t="shared" si="14"/>
        <v/>
      </c>
    </row>
    <row r="304" spans="1:8" x14ac:dyDescent="0.25">
      <c r="A304" s="8"/>
      <c r="F304" s="9" t="str">
        <f t="shared" si="12"/>
        <v/>
      </c>
      <c r="G304" s="8" t="str">
        <f t="shared" si="13"/>
        <v/>
      </c>
      <c r="H304" s="1" t="str">
        <f t="shared" si="14"/>
        <v/>
      </c>
    </row>
    <row r="305" spans="1:8" x14ac:dyDescent="0.25">
      <c r="A305" s="8"/>
      <c r="F305" s="9" t="str">
        <f t="shared" si="12"/>
        <v/>
      </c>
      <c r="G305" s="8" t="str">
        <f t="shared" si="13"/>
        <v/>
      </c>
      <c r="H305" s="1" t="str">
        <f t="shared" si="14"/>
        <v/>
      </c>
    </row>
    <row r="306" spans="1:8" x14ac:dyDescent="0.25">
      <c r="A306" s="8"/>
      <c r="F306" s="9" t="str">
        <f t="shared" si="12"/>
        <v/>
      </c>
      <c r="G306" s="8" t="str">
        <f t="shared" si="13"/>
        <v/>
      </c>
      <c r="H306" s="1" t="str">
        <f t="shared" si="14"/>
        <v/>
      </c>
    </row>
    <row r="307" spans="1:8" x14ac:dyDescent="0.25">
      <c r="A307" s="8"/>
      <c r="F307" s="9" t="str">
        <f t="shared" si="12"/>
        <v/>
      </c>
      <c r="G307" s="8" t="str">
        <f t="shared" si="13"/>
        <v/>
      </c>
      <c r="H307" s="1" t="str">
        <f t="shared" si="14"/>
        <v/>
      </c>
    </row>
    <row r="308" spans="1:8" x14ac:dyDescent="0.25">
      <c r="A308" s="8"/>
      <c r="F308" s="9" t="str">
        <f t="shared" si="12"/>
        <v/>
      </c>
      <c r="G308" s="8" t="str">
        <f t="shared" si="13"/>
        <v/>
      </c>
      <c r="H308" s="1" t="str">
        <f t="shared" si="14"/>
        <v/>
      </c>
    </row>
    <row r="309" spans="1:8" x14ac:dyDescent="0.25">
      <c r="A309" s="8"/>
      <c r="F309" s="9" t="str">
        <f t="shared" si="12"/>
        <v/>
      </c>
      <c r="G309" s="8" t="str">
        <f t="shared" si="13"/>
        <v/>
      </c>
      <c r="H309" s="1" t="str">
        <f t="shared" si="14"/>
        <v/>
      </c>
    </row>
    <row r="310" spans="1:8" x14ac:dyDescent="0.25">
      <c r="A310" s="8"/>
      <c r="F310" s="9" t="str">
        <f t="shared" si="12"/>
        <v/>
      </c>
      <c r="G310" s="8" t="str">
        <f t="shared" si="13"/>
        <v/>
      </c>
      <c r="H310" s="1" t="str">
        <f t="shared" si="14"/>
        <v/>
      </c>
    </row>
    <row r="311" spans="1:8" x14ac:dyDescent="0.25">
      <c r="A311" s="8"/>
      <c r="F311" s="9" t="str">
        <f t="shared" si="12"/>
        <v/>
      </c>
      <c r="G311" s="8" t="str">
        <f t="shared" si="13"/>
        <v/>
      </c>
      <c r="H311" s="1" t="str">
        <f t="shared" si="14"/>
        <v/>
      </c>
    </row>
    <row r="312" spans="1:8" x14ac:dyDescent="0.25">
      <c r="A312" s="8"/>
      <c r="F312" s="9" t="str">
        <f t="shared" si="12"/>
        <v/>
      </c>
      <c r="G312" s="8" t="str">
        <f t="shared" si="13"/>
        <v/>
      </c>
      <c r="H312" s="1" t="str">
        <f t="shared" si="14"/>
        <v/>
      </c>
    </row>
    <row r="313" spans="1:8" x14ac:dyDescent="0.25">
      <c r="A313" s="8"/>
      <c r="F313" s="9" t="str">
        <f t="shared" si="12"/>
        <v/>
      </c>
      <c r="G313" s="8" t="str">
        <f t="shared" si="13"/>
        <v/>
      </c>
      <c r="H313" s="1" t="str">
        <f t="shared" si="14"/>
        <v/>
      </c>
    </row>
    <row r="314" spans="1:8" x14ac:dyDescent="0.25">
      <c r="A314" s="8"/>
      <c r="F314" s="9" t="str">
        <f t="shared" si="12"/>
        <v/>
      </c>
      <c r="G314" s="8" t="str">
        <f t="shared" si="13"/>
        <v/>
      </c>
      <c r="H314" s="1" t="str">
        <f t="shared" si="14"/>
        <v/>
      </c>
    </row>
    <row r="315" spans="1:8" x14ac:dyDescent="0.25">
      <c r="A315" s="8"/>
      <c r="F315" s="9" t="str">
        <f t="shared" si="12"/>
        <v/>
      </c>
      <c r="G315" s="8" t="str">
        <f t="shared" si="13"/>
        <v/>
      </c>
      <c r="H315" s="1" t="str">
        <f t="shared" si="14"/>
        <v/>
      </c>
    </row>
    <row r="316" spans="1:8" x14ac:dyDescent="0.25">
      <c r="A316" s="8"/>
      <c r="F316" s="9" t="str">
        <f t="shared" si="12"/>
        <v/>
      </c>
      <c r="G316" s="8" t="str">
        <f t="shared" si="13"/>
        <v/>
      </c>
      <c r="H316" s="1" t="str">
        <f t="shared" si="14"/>
        <v/>
      </c>
    </row>
    <row r="317" spans="1:8" x14ac:dyDescent="0.25">
      <c r="A317" s="8"/>
      <c r="F317" s="9" t="str">
        <f t="shared" si="12"/>
        <v/>
      </c>
      <c r="G317" s="8" t="str">
        <f t="shared" si="13"/>
        <v/>
      </c>
      <c r="H317" s="1" t="str">
        <f t="shared" si="14"/>
        <v/>
      </c>
    </row>
    <row r="318" spans="1:8" x14ac:dyDescent="0.25">
      <c r="A318" s="8"/>
      <c r="F318" s="9" t="str">
        <f t="shared" si="12"/>
        <v/>
      </c>
      <c r="G318" s="8" t="str">
        <f t="shared" si="13"/>
        <v/>
      </c>
      <c r="H318" s="1" t="str">
        <f t="shared" si="14"/>
        <v/>
      </c>
    </row>
    <row r="319" spans="1:8" x14ac:dyDescent="0.25">
      <c r="A319" s="8"/>
      <c r="F319" s="9" t="str">
        <f t="shared" si="12"/>
        <v/>
      </c>
      <c r="G319" s="8" t="str">
        <f t="shared" si="13"/>
        <v/>
      </c>
      <c r="H319" s="1" t="str">
        <f t="shared" si="14"/>
        <v/>
      </c>
    </row>
    <row r="320" spans="1:8" x14ac:dyDescent="0.25">
      <c r="A320" s="8"/>
      <c r="F320" s="9" t="str">
        <f t="shared" si="12"/>
        <v/>
      </c>
      <c r="G320" s="8" t="str">
        <f t="shared" si="13"/>
        <v/>
      </c>
      <c r="H320" s="1" t="str">
        <f t="shared" si="14"/>
        <v/>
      </c>
    </row>
    <row r="321" spans="1:8" x14ac:dyDescent="0.25">
      <c r="A321" s="8"/>
      <c r="F321" s="9" t="str">
        <f t="shared" si="12"/>
        <v/>
      </c>
      <c r="G321" s="8" t="str">
        <f t="shared" si="13"/>
        <v/>
      </c>
      <c r="H321" s="1" t="str">
        <f t="shared" si="14"/>
        <v/>
      </c>
    </row>
    <row r="322" spans="1:8" x14ac:dyDescent="0.25">
      <c r="A322" s="8"/>
      <c r="F322" s="9" t="str">
        <f t="shared" si="12"/>
        <v/>
      </c>
      <c r="G322" s="8" t="str">
        <f t="shared" si="13"/>
        <v/>
      </c>
      <c r="H322" s="1" t="str">
        <f t="shared" si="14"/>
        <v/>
      </c>
    </row>
    <row r="323" spans="1:8" x14ac:dyDescent="0.25">
      <c r="A323" s="8"/>
      <c r="F323" s="9" t="str">
        <f t="shared" si="12"/>
        <v/>
      </c>
      <c r="G323" s="8" t="str">
        <f t="shared" si="13"/>
        <v/>
      </c>
      <c r="H323" s="1" t="str">
        <f t="shared" si="14"/>
        <v/>
      </c>
    </row>
    <row r="324" spans="1:8" x14ac:dyDescent="0.25">
      <c r="A324" s="8"/>
      <c r="F324" s="9" t="str">
        <f t="shared" si="12"/>
        <v/>
      </c>
      <c r="G324" s="8" t="str">
        <f t="shared" si="13"/>
        <v/>
      </c>
      <c r="H324" s="1" t="str">
        <f t="shared" si="14"/>
        <v/>
      </c>
    </row>
    <row r="325" spans="1:8" x14ac:dyDescent="0.25">
      <c r="A325" s="8"/>
      <c r="F325" s="9" t="str">
        <f t="shared" si="12"/>
        <v/>
      </c>
      <c r="G325" s="8" t="str">
        <f t="shared" si="13"/>
        <v/>
      </c>
      <c r="H325" s="1" t="str">
        <f t="shared" si="14"/>
        <v/>
      </c>
    </row>
    <row r="326" spans="1:8" x14ac:dyDescent="0.25">
      <c r="A326" s="8"/>
      <c r="F326" s="9" t="str">
        <f t="shared" ref="F326:F389" si="15">IF(B326="","",IF(A326="",F325,A326))</f>
        <v/>
      </c>
      <c r="G326" s="8" t="str">
        <f t="shared" ref="G326:G389" si="16">IF(B326="","",B326)</f>
        <v/>
      </c>
      <c r="H326" s="1" t="str">
        <f t="shared" ref="H326:H389" si="17">IF(C326="","",C326)</f>
        <v/>
      </c>
    </row>
    <row r="327" spans="1:8" x14ac:dyDescent="0.25">
      <c r="A327" s="8"/>
      <c r="F327" s="9" t="str">
        <f t="shared" si="15"/>
        <v/>
      </c>
      <c r="G327" s="8" t="str">
        <f t="shared" si="16"/>
        <v/>
      </c>
      <c r="H327" s="1" t="str">
        <f t="shared" si="17"/>
        <v/>
      </c>
    </row>
    <row r="328" spans="1:8" x14ac:dyDescent="0.25">
      <c r="A328" s="8"/>
      <c r="F328" s="9" t="str">
        <f t="shared" si="15"/>
        <v/>
      </c>
      <c r="G328" s="8" t="str">
        <f t="shared" si="16"/>
        <v/>
      </c>
      <c r="H328" s="1" t="str">
        <f t="shared" si="17"/>
        <v/>
      </c>
    </row>
    <row r="329" spans="1:8" x14ac:dyDescent="0.25">
      <c r="A329" s="8"/>
      <c r="F329" s="9" t="str">
        <f t="shared" si="15"/>
        <v/>
      </c>
      <c r="G329" s="8" t="str">
        <f t="shared" si="16"/>
        <v/>
      </c>
      <c r="H329" s="1" t="str">
        <f t="shared" si="17"/>
        <v/>
      </c>
    </row>
    <row r="330" spans="1:8" x14ac:dyDescent="0.25">
      <c r="A330" s="8"/>
      <c r="F330" s="9" t="str">
        <f t="shared" si="15"/>
        <v/>
      </c>
      <c r="G330" s="8" t="str">
        <f t="shared" si="16"/>
        <v/>
      </c>
      <c r="H330" s="1" t="str">
        <f t="shared" si="17"/>
        <v/>
      </c>
    </row>
    <row r="331" spans="1:8" x14ac:dyDescent="0.25">
      <c r="A331" s="8"/>
      <c r="F331" s="9" t="str">
        <f t="shared" si="15"/>
        <v/>
      </c>
      <c r="G331" s="8" t="str">
        <f t="shared" si="16"/>
        <v/>
      </c>
      <c r="H331" s="1" t="str">
        <f t="shared" si="17"/>
        <v/>
      </c>
    </row>
    <row r="332" spans="1:8" x14ac:dyDescent="0.25">
      <c r="A332" s="8"/>
      <c r="F332" s="9" t="str">
        <f t="shared" si="15"/>
        <v/>
      </c>
      <c r="G332" s="8" t="str">
        <f t="shared" si="16"/>
        <v/>
      </c>
      <c r="H332" s="1" t="str">
        <f t="shared" si="17"/>
        <v/>
      </c>
    </row>
    <row r="333" spans="1:8" x14ac:dyDescent="0.25">
      <c r="A333" s="8"/>
      <c r="F333" s="9" t="str">
        <f t="shared" si="15"/>
        <v/>
      </c>
      <c r="G333" s="8" t="str">
        <f t="shared" si="16"/>
        <v/>
      </c>
      <c r="H333" s="1" t="str">
        <f t="shared" si="17"/>
        <v/>
      </c>
    </row>
    <row r="334" spans="1:8" x14ac:dyDescent="0.25">
      <c r="A334" s="8"/>
      <c r="F334" s="9" t="str">
        <f t="shared" si="15"/>
        <v/>
      </c>
      <c r="G334" s="8" t="str">
        <f t="shared" si="16"/>
        <v/>
      </c>
      <c r="H334" s="1" t="str">
        <f t="shared" si="17"/>
        <v/>
      </c>
    </row>
    <row r="335" spans="1:8" x14ac:dyDescent="0.25">
      <c r="A335" s="8"/>
      <c r="F335" s="9" t="str">
        <f t="shared" si="15"/>
        <v/>
      </c>
      <c r="G335" s="8" t="str">
        <f t="shared" si="16"/>
        <v/>
      </c>
      <c r="H335" s="1" t="str">
        <f t="shared" si="17"/>
        <v/>
      </c>
    </row>
    <row r="336" spans="1:8" x14ac:dyDescent="0.25">
      <c r="A336" s="8"/>
      <c r="F336" s="9" t="str">
        <f t="shared" si="15"/>
        <v/>
      </c>
      <c r="G336" s="8" t="str">
        <f t="shared" si="16"/>
        <v/>
      </c>
      <c r="H336" s="1" t="str">
        <f t="shared" si="17"/>
        <v/>
      </c>
    </row>
    <row r="337" spans="1:8" x14ac:dyDescent="0.25">
      <c r="A337" s="8"/>
      <c r="F337" s="9" t="str">
        <f t="shared" si="15"/>
        <v/>
      </c>
      <c r="G337" s="8" t="str">
        <f t="shared" si="16"/>
        <v/>
      </c>
      <c r="H337" s="1" t="str">
        <f t="shared" si="17"/>
        <v/>
      </c>
    </row>
    <row r="338" spans="1:8" x14ac:dyDescent="0.25">
      <c r="A338" s="8"/>
      <c r="F338" s="9" t="str">
        <f t="shared" si="15"/>
        <v/>
      </c>
      <c r="G338" s="8" t="str">
        <f t="shared" si="16"/>
        <v/>
      </c>
      <c r="H338" s="1" t="str">
        <f t="shared" si="17"/>
        <v/>
      </c>
    </row>
    <row r="339" spans="1:8" x14ac:dyDescent="0.25">
      <c r="A339" s="8"/>
      <c r="F339" s="9" t="str">
        <f t="shared" si="15"/>
        <v/>
      </c>
      <c r="G339" s="8" t="str">
        <f t="shared" si="16"/>
        <v/>
      </c>
      <c r="H339" s="1" t="str">
        <f t="shared" si="17"/>
        <v/>
      </c>
    </row>
    <row r="340" spans="1:8" x14ac:dyDescent="0.25">
      <c r="A340" s="8"/>
      <c r="F340" s="9" t="str">
        <f t="shared" si="15"/>
        <v/>
      </c>
      <c r="G340" s="8" t="str">
        <f t="shared" si="16"/>
        <v/>
      </c>
      <c r="H340" s="1" t="str">
        <f t="shared" si="17"/>
        <v/>
      </c>
    </row>
    <row r="341" spans="1:8" x14ac:dyDescent="0.25">
      <c r="A341" s="8"/>
      <c r="F341" s="9" t="str">
        <f t="shared" si="15"/>
        <v/>
      </c>
      <c r="G341" s="8" t="str">
        <f t="shared" si="16"/>
        <v/>
      </c>
      <c r="H341" s="1" t="str">
        <f t="shared" si="17"/>
        <v/>
      </c>
    </row>
    <row r="342" spans="1:8" x14ac:dyDescent="0.25">
      <c r="A342" s="8"/>
      <c r="F342" s="9" t="str">
        <f t="shared" si="15"/>
        <v/>
      </c>
      <c r="G342" s="8" t="str">
        <f t="shared" si="16"/>
        <v/>
      </c>
      <c r="H342" s="1" t="str">
        <f t="shared" si="17"/>
        <v/>
      </c>
    </row>
    <row r="343" spans="1:8" x14ac:dyDescent="0.25">
      <c r="A343" s="8"/>
      <c r="F343" s="9" t="str">
        <f t="shared" si="15"/>
        <v/>
      </c>
      <c r="G343" s="8" t="str">
        <f t="shared" si="16"/>
        <v/>
      </c>
      <c r="H343" s="1" t="str">
        <f t="shared" si="17"/>
        <v/>
      </c>
    </row>
    <row r="344" spans="1:8" x14ac:dyDescent="0.25">
      <c r="A344" s="8"/>
      <c r="F344" s="9" t="str">
        <f t="shared" si="15"/>
        <v/>
      </c>
      <c r="G344" s="8" t="str">
        <f t="shared" si="16"/>
        <v/>
      </c>
      <c r="H344" s="1" t="str">
        <f t="shared" si="17"/>
        <v/>
      </c>
    </row>
    <row r="345" spans="1:8" x14ac:dyDescent="0.25">
      <c r="A345" s="8"/>
      <c r="F345" s="9" t="str">
        <f t="shared" si="15"/>
        <v/>
      </c>
      <c r="G345" s="8" t="str">
        <f t="shared" si="16"/>
        <v/>
      </c>
      <c r="H345" s="1" t="str">
        <f t="shared" si="17"/>
        <v/>
      </c>
    </row>
    <row r="346" spans="1:8" x14ac:dyDescent="0.25">
      <c r="A346" s="8"/>
      <c r="F346" s="9" t="str">
        <f t="shared" si="15"/>
        <v/>
      </c>
      <c r="G346" s="8" t="str">
        <f t="shared" si="16"/>
        <v/>
      </c>
      <c r="H346" s="1" t="str">
        <f t="shared" si="17"/>
        <v/>
      </c>
    </row>
    <row r="347" spans="1:8" x14ac:dyDescent="0.25">
      <c r="A347" s="8"/>
      <c r="F347" s="9" t="str">
        <f t="shared" si="15"/>
        <v/>
      </c>
      <c r="G347" s="8" t="str">
        <f t="shared" si="16"/>
        <v/>
      </c>
      <c r="H347" s="1" t="str">
        <f t="shared" si="17"/>
        <v/>
      </c>
    </row>
    <row r="348" spans="1:8" x14ac:dyDescent="0.25">
      <c r="A348" s="8"/>
      <c r="F348" s="9" t="str">
        <f t="shared" si="15"/>
        <v/>
      </c>
      <c r="G348" s="8" t="str">
        <f t="shared" si="16"/>
        <v/>
      </c>
      <c r="H348" s="1" t="str">
        <f t="shared" si="17"/>
        <v/>
      </c>
    </row>
    <row r="349" spans="1:8" x14ac:dyDescent="0.25">
      <c r="A349" s="8"/>
      <c r="F349" s="9" t="str">
        <f t="shared" si="15"/>
        <v/>
      </c>
      <c r="G349" s="8" t="str">
        <f t="shared" si="16"/>
        <v/>
      </c>
      <c r="H349" s="1" t="str">
        <f t="shared" si="17"/>
        <v/>
      </c>
    </row>
    <row r="350" spans="1:8" x14ac:dyDescent="0.25">
      <c r="A350" s="8"/>
      <c r="F350" s="9" t="str">
        <f t="shared" si="15"/>
        <v/>
      </c>
      <c r="G350" s="8" t="str">
        <f t="shared" si="16"/>
        <v/>
      </c>
      <c r="H350" s="1" t="str">
        <f t="shared" si="17"/>
        <v/>
      </c>
    </row>
    <row r="351" spans="1:8" x14ac:dyDescent="0.25">
      <c r="A351" s="8"/>
      <c r="F351" s="9" t="str">
        <f t="shared" si="15"/>
        <v/>
      </c>
      <c r="G351" s="8" t="str">
        <f t="shared" si="16"/>
        <v/>
      </c>
      <c r="H351" s="1" t="str">
        <f t="shared" si="17"/>
        <v/>
      </c>
    </row>
    <row r="352" spans="1:8" x14ac:dyDescent="0.25">
      <c r="A352" s="8"/>
      <c r="F352" s="9" t="str">
        <f t="shared" si="15"/>
        <v/>
      </c>
      <c r="G352" s="8" t="str">
        <f t="shared" si="16"/>
        <v/>
      </c>
      <c r="H352" s="1" t="str">
        <f t="shared" si="17"/>
        <v/>
      </c>
    </row>
    <row r="353" spans="1:8" x14ac:dyDescent="0.25">
      <c r="A353" s="8"/>
      <c r="F353" s="9" t="str">
        <f t="shared" si="15"/>
        <v/>
      </c>
      <c r="G353" s="8" t="str">
        <f t="shared" si="16"/>
        <v/>
      </c>
      <c r="H353" s="1" t="str">
        <f t="shared" si="17"/>
        <v/>
      </c>
    </row>
    <row r="354" spans="1:8" x14ac:dyDescent="0.25">
      <c r="A354" s="8"/>
      <c r="F354" s="9" t="str">
        <f t="shared" si="15"/>
        <v/>
      </c>
      <c r="G354" s="8" t="str">
        <f t="shared" si="16"/>
        <v/>
      </c>
      <c r="H354" s="1" t="str">
        <f t="shared" si="17"/>
        <v/>
      </c>
    </row>
    <row r="355" spans="1:8" x14ac:dyDescent="0.25">
      <c r="A355" s="8"/>
      <c r="F355" s="9" t="str">
        <f t="shared" si="15"/>
        <v/>
      </c>
      <c r="G355" s="8" t="str">
        <f t="shared" si="16"/>
        <v/>
      </c>
      <c r="H355" s="1" t="str">
        <f t="shared" si="17"/>
        <v/>
      </c>
    </row>
    <row r="356" spans="1:8" x14ac:dyDescent="0.25">
      <c r="A356" s="8"/>
      <c r="F356" s="9" t="str">
        <f t="shared" si="15"/>
        <v/>
      </c>
      <c r="G356" s="8" t="str">
        <f t="shared" si="16"/>
        <v/>
      </c>
      <c r="H356" s="1" t="str">
        <f t="shared" si="17"/>
        <v/>
      </c>
    </row>
    <row r="357" spans="1:8" x14ac:dyDescent="0.25">
      <c r="A357" s="8"/>
      <c r="F357" s="9" t="str">
        <f t="shared" si="15"/>
        <v/>
      </c>
      <c r="G357" s="8" t="str">
        <f t="shared" si="16"/>
        <v/>
      </c>
      <c r="H357" s="1" t="str">
        <f t="shared" si="17"/>
        <v/>
      </c>
    </row>
    <row r="358" spans="1:8" x14ac:dyDescent="0.25">
      <c r="A358" s="8"/>
      <c r="F358" s="9" t="str">
        <f t="shared" si="15"/>
        <v/>
      </c>
      <c r="G358" s="8" t="str">
        <f t="shared" si="16"/>
        <v/>
      </c>
      <c r="H358" s="1" t="str">
        <f t="shared" si="17"/>
        <v/>
      </c>
    </row>
    <row r="359" spans="1:8" x14ac:dyDescent="0.25">
      <c r="A359" s="8"/>
      <c r="F359" s="9" t="str">
        <f t="shared" si="15"/>
        <v/>
      </c>
      <c r="G359" s="8" t="str">
        <f t="shared" si="16"/>
        <v/>
      </c>
      <c r="H359" s="1" t="str">
        <f t="shared" si="17"/>
        <v/>
      </c>
    </row>
    <row r="360" spans="1:8" x14ac:dyDescent="0.25">
      <c r="A360" s="8"/>
      <c r="F360" s="9" t="str">
        <f t="shared" si="15"/>
        <v/>
      </c>
      <c r="G360" s="8" t="str">
        <f t="shared" si="16"/>
        <v/>
      </c>
      <c r="H360" s="1" t="str">
        <f t="shared" si="17"/>
        <v/>
      </c>
    </row>
    <row r="361" spans="1:8" x14ac:dyDescent="0.25">
      <c r="A361" s="8"/>
      <c r="F361" s="9" t="str">
        <f t="shared" si="15"/>
        <v/>
      </c>
      <c r="G361" s="8" t="str">
        <f t="shared" si="16"/>
        <v/>
      </c>
      <c r="H361" s="1" t="str">
        <f t="shared" si="17"/>
        <v/>
      </c>
    </row>
    <row r="362" spans="1:8" x14ac:dyDescent="0.25">
      <c r="A362" s="8"/>
      <c r="F362" s="9" t="str">
        <f t="shared" si="15"/>
        <v/>
      </c>
      <c r="G362" s="8" t="str">
        <f t="shared" si="16"/>
        <v/>
      </c>
      <c r="H362" s="1" t="str">
        <f t="shared" si="17"/>
        <v/>
      </c>
    </row>
    <row r="363" spans="1:8" x14ac:dyDescent="0.25">
      <c r="A363" s="8"/>
      <c r="F363" s="9" t="str">
        <f t="shared" si="15"/>
        <v/>
      </c>
      <c r="G363" s="8" t="str">
        <f t="shared" si="16"/>
        <v/>
      </c>
      <c r="H363" s="1" t="str">
        <f t="shared" si="17"/>
        <v/>
      </c>
    </row>
    <row r="364" spans="1:8" x14ac:dyDescent="0.25">
      <c r="A364" s="8"/>
      <c r="F364" s="9" t="str">
        <f t="shared" si="15"/>
        <v/>
      </c>
      <c r="G364" s="8" t="str">
        <f t="shared" si="16"/>
        <v/>
      </c>
      <c r="H364" s="1" t="str">
        <f t="shared" si="17"/>
        <v/>
      </c>
    </row>
    <row r="365" spans="1:8" x14ac:dyDescent="0.25">
      <c r="A365" s="8"/>
      <c r="F365" s="9" t="str">
        <f t="shared" si="15"/>
        <v/>
      </c>
      <c r="G365" s="8" t="str">
        <f t="shared" si="16"/>
        <v/>
      </c>
      <c r="H365" s="1" t="str">
        <f t="shared" si="17"/>
        <v/>
      </c>
    </row>
    <row r="366" spans="1:8" x14ac:dyDescent="0.25">
      <c r="A366" s="8"/>
      <c r="F366" s="9" t="str">
        <f t="shared" si="15"/>
        <v/>
      </c>
      <c r="G366" s="8" t="str">
        <f t="shared" si="16"/>
        <v/>
      </c>
      <c r="H366" s="1" t="str">
        <f t="shared" si="17"/>
        <v/>
      </c>
    </row>
    <row r="367" spans="1:8" x14ac:dyDescent="0.25">
      <c r="A367" s="8"/>
      <c r="F367" s="9" t="str">
        <f t="shared" si="15"/>
        <v/>
      </c>
      <c r="G367" s="8" t="str">
        <f t="shared" si="16"/>
        <v/>
      </c>
      <c r="H367" s="1" t="str">
        <f t="shared" si="17"/>
        <v/>
      </c>
    </row>
    <row r="368" spans="1:8" x14ac:dyDescent="0.25">
      <c r="A368" s="8"/>
      <c r="F368" s="9" t="str">
        <f t="shared" si="15"/>
        <v/>
      </c>
      <c r="G368" s="8" t="str">
        <f t="shared" si="16"/>
        <v/>
      </c>
      <c r="H368" s="1" t="str">
        <f t="shared" si="17"/>
        <v/>
      </c>
    </row>
    <row r="369" spans="1:8" x14ac:dyDescent="0.25">
      <c r="A369" s="8"/>
      <c r="F369" s="9" t="str">
        <f t="shared" si="15"/>
        <v/>
      </c>
      <c r="G369" s="8" t="str">
        <f t="shared" si="16"/>
        <v/>
      </c>
      <c r="H369" s="1" t="str">
        <f t="shared" si="17"/>
        <v/>
      </c>
    </row>
    <row r="370" spans="1:8" x14ac:dyDescent="0.25">
      <c r="A370" s="8"/>
      <c r="F370" s="9" t="str">
        <f t="shared" si="15"/>
        <v/>
      </c>
      <c r="G370" s="8" t="str">
        <f t="shared" si="16"/>
        <v/>
      </c>
      <c r="H370" s="1" t="str">
        <f t="shared" si="17"/>
        <v/>
      </c>
    </row>
    <row r="371" spans="1:8" x14ac:dyDescent="0.25">
      <c r="A371" s="8"/>
      <c r="F371" s="9" t="str">
        <f t="shared" si="15"/>
        <v/>
      </c>
      <c r="G371" s="8" t="str">
        <f t="shared" si="16"/>
        <v/>
      </c>
      <c r="H371" s="1" t="str">
        <f t="shared" si="17"/>
        <v/>
      </c>
    </row>
    <row r="372" spans="1:8" x14ac:dyDescent="0.25">
      <c r="A372" s="8"/>
      <c r="F372" s="9" t="str">
        <f t="shared" si="15"/>
        <v/>
      </c>
      <c r="G372" s="8" t="str">
        <f t="shared" si="16"/>
        <v/>
      </c>
      <c r="H372" s="1" t="str">
        <f t="shared" si="17"/>
        <v/>
      </c>
    </row>
    <row r="373" spans="1:8" x14ac:dyDescent="0.25">
      <c r="A373" s="8"/>
      <c r="F373" s="9" t="str">
        <f t="shared" si="15"/>
        <v/>
      </c>
      <c r="G373" s="8" t="str">
        <f t="shared" si="16"/>
        <v/>
      </c>
      <c r="H373" s="1" t="str">
        <f t="shared" si="17"/>
        <v/>
      </c>
    </row>
    <row r="374" spans="1:8" x14ac:dyDescent="0.25">
      <c r="A374" s="8"/>
      <c r="F374" s="9" t="str">
        <f t="shared" si="15"/>
        <v/>
      </c>
      <c r="G374" s="8" t="str">
        <f t="shared" si="16"/>
        <v/>
      </c>
      <c r="H374" s="1" t="str">
        <f t="shared" si="17"/>
        <v/>
      </c>
    </row>
    <row r="375" spans="1:8" x14ac:dyDescent="0.25">
      <c r="A375" s="8"/>
      <c r="F375" s="9" t="str">
        <f t="shared" si="15"/>
        <v/>
      </c>
      <c r="G375" s="8" t="str">
        <f t="shared" si="16"/>
        <v/>
      </c>
      <c r="H375" s="1" t="str">
        <f t="shared" si="17"/>
        <v/>
      </c>
    </row>
    <row r="376" spans="1:8" x14ac:dyDescent="0.25">
      <c r="A376" s="8"/>
      <c r="F376" s="9" t="str">
        <f t="shared" si="15"/>
        <v/>
      </c>
      <c r="G376" s="8" t="str">
        <f t="shared" si="16"/>
        <v/>
      </c>
      <c r="H376" s="1" t="str">
        <f t="shared" si="17"/>
        <v/>
      </c>
    </row>
    <row r="377" spans="1:8" x14ac:dyDescent="0.25">
      <c r="A377" s="8"/>
      <c r="F377" s="9" t="str">
        <f t="shared" si="15"/>
        <v/>
      </c>
      <c r="G377" s="8" t="str">
        <f t="shared" si="16"/>
        <v/>
      </c>
      <c r="H377" s="1" t="str">
        <f t="shared" si="17"/>
        <v/>
      </c>
    </row>
    <row r="378" spans="1:8" x14ac:dyDescent="0.25">
      <c r="A378" s="8"/>
      <c r="F378" s="9" t="str">
        <f t="shared" si="15"/>
        <v/>
      </c>
      <c r="G378" s="8" t="str">
        <f t="shared" si="16"/>
        <v/>
      </c>
      <c r="H378" s="1" t="str">
        <f t="shared" si="17"/>
        <v/>
      </c>
    </row>
    <row r="379" spans="1:8" x14ac:dyDescent="0.25">
      <c r="A379" s="8"/>
      <c r="F379" s="9" t="str">
        <f t="shared" si="15"/>
        <v/>
      </c>
      <c r="G379" s="8" t="str">
        <f t="shared" si="16"/>
        <v/>
      </c>
      <c r="H379" s="1" t="str">
        <f t="shared" si="17"/>
        <v/>
      </c>
    </row>
    <row r="380" spans="1:8" x14ac:dyDescent="0.25">
      <c r="A380" s="8"/>
      <c r="F380" s="9" t="str">
        <f t="shared" si="15"/>
        <v/>
      </c>
      <c r="G380" s="8" t="str">
        <f t="shared" si="16"/>
        <v/>
      </c>
      <c r="H380" s="1" t="str">
        <f t="shared" si="17"/>
        <v/>
      </c>
    </row>
    <row r="381" spans="1:8" x14ac:dyDescent="0.25">
      <c r="A381" s="8"/>
      <c r="F381" s="9" t="str">
        <f t="shared" si="15"/>
        <v/>
      </c>
      <c r="G381" s="8" t="str">
        <f t="shared" si="16"/>
        <v/>
      </c>
      <c r="H381" s="1" t="str">
        <f t="shared" si="17"/>
        <v/>
      </c>
    </row>
    <row r="382" spans="1:8" x14ac:dyDescent="0.25">
      <c r="A382" s="8"/>
      <c r="F382" s="9" t="str">
        <f t="shared" si="15"/>
        <v/>
      </c>
      <c r="G382" s="8" t="str">
        <f t="shared" si="16"/>
        <v/>
      </c>
      <c r="H382" s="1" t="str">
        <f t="shared" si="17"/>
        <v/>
      </c>
    </row>
    <row r="383" spans="1:8" x14ac:dyDescent="0.25">
      <c r="A383" s="8"/>
      <c r="F383" s="9" t="str">
        <f t="shared" si="15"/>
        <v/>
      </c>
      <c r="G383" s="8" t="str">
        <f t="shared" si="16"/>
        <v/>
      </c>
      <c r="H383" s="1" t="str">
        <f t="shared" si="17"/>
        <v/>
      </c>
    </row>
    <row r="384" spans="1:8" x14ac:dyDescent="0.25">
      <c r="A384" s="8"/>
      <c r="F384" s="9" t="str">
        <f t="shared" si="15"/>
        <v/>
      </c>
      <c r="G384" s="8" t="str">
        <f t="shared" si="16"/>
        <v/>
      </c>
      <c r="H384" s="1" t="str">
        <f t="shared" si="17"/>
        <v/>
      </c>
    </row>
    <row r="385" spans="1:8" x14ac:dyDescent="0.25">
      <c r="A385" s="8"/>
      <c r="F385" s="9" t="str">
        <f t="shared" si="15"/>
        <v/>
      </c>
      <c r="G385" s="8" t="str">
        <f t="shared" si="16"/>
        <v/>
      </c>
      <c r="H385" s="1" t="str">
        <f t="shared" si="17"/>
        <v/>
      </c>
    </row>
    <row r="386" spans="1:8" x14ac:dyDescent="0.25">
      <c r="A386" s="8"/>
      <c r="F386" s="9" t="str">
        <f t="shared" si="15"/>
        <v/>
      </c>
      <c r="G386" s="8" t="str">
        <f t="shared" si="16"/>
        <v/>
      </c>
      <c r="H386" s="1" t="str">
        <f t="shared" si="17"/>
        <v/>
      </c>
    </row>
    <row r="387" spans="1:8" x14ac:dyDescent="0.25">
      <c r="A387" s="8"/>
      <c r="F387" s="9" t="str">
        <f t="shared" si="15"/>
        <v/>
      </c>
      <c r="G387" s="8" t="str">
        <f t="shared" si="16"/>
        <v/>
      </c>
      <c r="H387" s="1" t="str">
        <f t="shared" si="17"/>
        <v/>
      </c>
    </row>
    <row r="388" spans="1:8" x14ac:dyDescent="0.25">
      <c r="A388" s="8"/>
      <c r="F388" s="9" t="str">
        <f t="shared" si="15"/>
        <v/>
      </c>
      <c r="G388" s="8" t="str">
        <f t="shared" si="16"/>
        <v/>
      </c>
      <c r="H388" s="1" t="str">
        <f t="shared" si="17"/>
        <v/>
      </c>
    </row>
    <row r="389" spans="1:8" x14ac:dyDescent="0.25">
      <c r="A389" s="8"/>
      <c r="F389" s="9" t="str">
        <f t="shared" si="15"/>
        <v/>
      </c>
      <c r="G389" s="8" t="str">
        <f t="shared" si="16"/>
        <v/>
      </c>
      <c r="H389" s="1" t="str">
        <f t="shared" si="17"/>
        <v/>
      </c>
    </row>
    <row r="390" spans="1:8" x14ac:dyDescent="0.25">
      <c r="A390" s="8"/>
      <c r="F390" s="9" t="str">
        <f t="shared" ref="F390:F453" si="18">IF(B390="","",IF(A390="",F389,A390))</f>
        <v/>
      </c>
      <c r="G390" s="8" t="str">
        <f t="shared" ref="G390:G453" si="19">IF(B390="","",B390)</f>
        <v/>
      </c>
      <c r="H390" s="1" t="str">
        <f t="shared" ref="H390:H453" si="20">IF(C390="","",C390)</f>
        <v/>
      </c>
    </row>
    <row r="391" spans="1:8" x14ac:dyDescent="0.25">
      <c r="A391" s="8"/>
      <c r="F391" s="9" t="str">
        <f t="shared" si="18"/>
        <v/>
      </c>
      <c r="G391" s="8" t="str">
        <f t="shared" si="19"/>
        <v/>
      </c>
      <c r="H391" s="1" t="str">
        <f t="shared" si="20"/>
        <v/>
      </c>
    </row>
    <row r="392" spans="1:8" x14ac:dyDescent="0.25">
      <c r="A392" s="8"/>
      <c r="F392" s="9" t="str">
        <f t="shared" si="18"/>
        <v/>
      </c>
      <c r="G392" s="8" t="str">
        <f t="shared" si="19"/>
        <v/>
      </c>
      <c r="H392" s="1" t="str">
        <f t="shared" si="20"/>
        <v/>
      </c>
    </row>
    <row r="393" spans="1:8" x14ac:dyDescent="0.25">
      <c r="A393" s="8"/>
      <c r="F393" s="9" t="str">
        <f t="shared" si="18"/>
        <v/>
      </c>
      <c r="G393" s="8" t="str">
        <f t="shared" si="19"/>
        <v/>
      </c>
      <c r="H393" s="1" t="str">
        <f t="shared" si="20"/>
        <v/>
      </c>
    </row>
    <row r="394" spans="1:8" x14ac:dyDescent="0.25">
      <c r="A394" s="8"/>
      <c r="F394" s="9" t="str">
        <f t="shared" si="18"/>
        <v/>
      </c>
      <c r="G394" s="8" t="str">
        <f t="shared" si="19"/>
        <v/>
      </c>
      <c r="H394" s="1" t="str">
        <f t="shared" si="20"/>
        <v/>
      </c>
    </row>
    <row r="395" spans="1:8" x14ac:dyDescent="0.25">
      <c r="A395" s="8"/>
      <c r="F395" s="9" t="str">
        <f t="shared" si="18"/>
        <v/>
      </c>
      <c r="G395" s="8" t="str">
        <f t="shared" si="19"/>
        <v/>
      </c>
      <c r="H395" s="1" t="str">
        <f t="shared" si="20"/>
        <v/>
      </c>
    </row>
    <row r="396" spans="1:8" x14ac:dyDescent="0.25">
      <c r="A396" s="8"/>
      <c r="F396" s="9" t="str">
        <f t="shared" si="18"/>
        <v/>
      </c>
      <c r="G396" s="8" t="str">
        <f t="shared" si="19"/>
        <v/>
      </c>
      <c r="H396" s="1" t="str">
        <f t="shared" si="20"/>
        <v/>
      </c>
    </row>
    <row r="397" spans="1:8" x14ac:dyDescent="0.25">
      <c r="A397" s="8"/>
      <c r="F397" s="9" t="str">
        <f t="shared" si="18"/>
        <v/>
      </c>
      <c r="G397" s="8" t="str">
        <f t="shared" si="19"/>
        <v/>
      </c>
      <c r="H397" s="1" t="str">
        <f t="shared" si="20"/>
        <v/>
      </c>
    </row>
    <row r="398" spans="1:8" x14ac:dyDescent="0.25">
      <c r="A398" s="8"/>
      <c r="F398" s="9" t="str">
        <f t="shared" si="18"/>
        <v/>
      </c>
      <c r="G398" s="8" t="str">
        <f t="shared" si="19"/>
        <v/>
      </c>
      <c r="H398" s="1" t="str">
        <f t="shared" si="20"/>
        <v/>
      </c>
    </row>
    <row r="399" spans="1:8" x14ac:dyDescent="0.25">
      <c r="A399" s="8"/>
      <c r="F399" s="9" t="str">
        <f t="shared" si="18"/>
        <v/>
      </c>
      <c r="G399" s="8" t="str">
        <f t="shared" si="19"/>
        <v/>
      </c>
      <c r="H399" s="1" t="str">
        <f t="shared" si="20"/>
        <v/>
      </c>
    </row>
    <row r="400" spans="1:8" x14ac:dyDescent="0.25">
      <c r="A400" s="8"/>
      <c r="F400" s="9" t="str">
        <f t="shared" si="18"/>
        <v/>
      </c>
      <c r="G400" s="8" t="str">
        <f t="shared" si="19"/>
        <v/>
      </c>
      <c r="H400" s="1" t="str">
        <f t="shared" si="20"/>
        <v/>
      </c>
    </row>
    <row r="401" spans="1:8" x14ac:dyDescent="0.25">
      <c r="A401" s="8"/>
      <c r="F401" s="9" t="str">
        <f t="shared" si="18"/>
        <v/>
      </c>
      <c r="G401" s="8" t="str">
        <f t="shared" si="19"/>
        <v/>
      </c>
      <c r="H401" s="1" t="str">
        <f t="shared" si="20"/>
        <v/>
      </c>
    </row>
    <row r="402" spans="1:8" x14ac:dyDescent="0.25">
      <c r="A402" s="8"/>
      <c r="F402" s="9" t="str">
        <f t="shared" si="18"/>
        <v/>
      </c>
      <c r="G402" s="8" t="str">
        <f t="shared" si="19"/>
        <v/>
      </c>
      <c r="H402" s="1" t="str">
        <f t="shared" si="20"/>
        <v/>
      </c>
    </row>
    <row r="403" spans="1:8" x14ac:dyDescent="0.25">
      <c r="A403" s="8"/>
      <c r="F403" s="9" t="str">
        <f t="shared" si="18"/>
        <v/>
      </c>
      <c r="G403" s="8" t="str">
        <f t="shared" si="19"/>
        <v/>
      </c>
      <c r="H403" s="1" t="str">
        <f t="shared" si="20"/>
        <v/>
      </c>
    </row>
    <row r="404" spans="1:8" x14ac:dyDescent="0.25">
      <c r="A404" s="8"/>
      <c r="F404" s="9" t="str">
        <f t="shared" si="18"/>
        <v/>
      </c>
      <c r="G404" s="8" t="str">
        <f t="shared" si="19"/>
        <v/>
      </c>
      <c r="H404" s="1" t="str">
        <f t="shared" si="20"/>
        <v/>
      </c>
    </row>
    <row r="405" spans="1:8" x14ac:dyDescent="0.25">
      <c r="A405" s="8"/>
      <c r="F405" s="9" t="str">
        <f t="shared" si="18"/>
        <v/>
      </c>
      <c r="G405" s="8" t="str">
        <f t="shared" si="19"/>
        <v/>
      </c>
      <c r="H405" s="1" t="str">
        <f t="shared" si="20"/>
        <v/>
      </c>
    </row>
    <row r="406" spans="1:8" x14ac:dyDescent="0.25">
      <c r="A406" s="8"/>
      <c r="F406" s="9" t="str">
        <f t="shared" si="18"/>
        <v/>
      </c>
      <c r="G406" s="8" t="str">
        <f t="shared" si="19"/>
        <v/>
      </c>
      <c r="H406" s="1" t="str">
        <f t="shared" si="20"/>
        <v/>
      </c>
    </row>
    <row r="407" spans="1:8" x14ac:dyDescent="0.25">
      <c r="A407" s="8"/>
      <c r="F407" s="9" t="str">
        <f t="shared" si="18"/>
        <v/>
      </c>
      <c r="G407" s="8" t="str">
        <f t="shared" si="19"/>
        <v/>
      </c>
      <c r="H407" s="1" t="str">
        <f t="shared" si="20"/>
        <v/>
      </c>
    </row>
    <row r="408" spans="1:8" x14ac:dyDescent="0.25">
      <c r="A408" s="8"/>
      <c r="F408" s="9" t="str">
        <f t="shared" si="18"/>
        <v/>
      </c>
      <c r="G408" s="8" t="str">
        <f t="shared" si="19"/>
        <v/>
      </c>
      <c r="H408" s="1" t="str">
        <f t="shared" si="20"/>
        <v/>
      </c>
    </row>
    <row r="409" spans="1:8" x14ac:dyDescent="0.25">
      <c r="A409" s="8"/>
      <c r="F409" s="9" t="str">
        <f t="shared" si="18"/>
        <v/>
      </c>
      <c r="G409" s="8" t="str">
        <f t="shared" si="19"/>
        <v/>
      </c>
      <c r="H409" s="1" t="str">
        <f t="shared" si="20"/>
        <v/>
      </c>
    </row>
    <row r="410" spans="1:8" x14ac:dyDescent="0.25">
      <c r="A410" s="8"/>
      <c r="F410" s="9" t="str">
        <f t="shared" si="18"/>
        <v/>
      </c>
      <c r="G410" s="8" t="str">
        <f t="shared" si="19"/>
        <v/>
      </c>
      <c r="H410" s="1" t="str">
        <f t="shared" si="20"/>
        <v/>
      </c>
    </row>
    <row r="411" spans="1:8" x14ac:dyDescent="0.25">
      <c r="A411" s="8"/>
      <c r="F411" s="9" t="str">
        <f t="shared" si="18"/>
        <v/>
      </c>
      <c r="G411" s="8" t="str">
        <f t="shared" si="19"/>
        <v/>
      </c>
      <c r="H411" s="1" t="str">
        <f t="shared" si="20"/>
        <v/>
      </c>
    </row>
    <row r="412" spans="1:8" x14ac:dyDescent="0.25">
      <c r="A412" s="8"/>
      <c r="F412" s="9" t="str">
        <f t="shared" si="18"/>
        <v/>
      </c>
      <c r="G412" s="8" t="str">
        <f t="shared" si="19"/>
        <v/>
      </c>
      <c r="H412" s="1" t="str">
        <f t="shared" si="20"/>
        <v/>
      </c>
    </row>
    <row r="413" spans="1:8" x14ac:dyDescent="0.25">
      <c r="A413" s="8"/>
      <c r="F413" s="9" t="str">
        <f t="shared" si="18"/>
        <v/>
      </c>
      <c r="G413" s="8" t="str">
        <f t="shared" si="19"/>
        <v/>
      </c>
      <c r="H413" s="1" t="str">
        <f t="shared" si="20"/>
        <v/>
      </c>
    </row>
    <row r="414" spans="1:8" x14ac:dyDescent="0.25">
      <c r="A414" s="8"/>
      <c r="F414" s="9" t="str">
        <f t="shared" si="18"/>
        <v/>
      </c>
      <c r="G414" s="8" t="str">
        <f t="shared" si="19"/>
        <v/>
      </c>
      <c r="H414" s="1" t="str">
        <f t="shared" si="20"/>
        <v/>
      </c>
    </row>
    <row r="415" spans="1:8" x14ac:dyDescent="0.25">
      <c r="A415" s="8"/>
      <c r="F415" s="9" t="str">
        <f t="shared" si="18"/>
        <v/>
      </c>
      <c r="G415" s="8" t="str">
        <f t="shared" si="19"/>
        <v/>
      </c>
      <c r="H415" s="1" t="str">
        <f t="shared" si="20"/>
        <v/>
      </c>
    </row>
    <row r="416" spans="1:8" x14ac:dyDescent="0.25">
      <c r="A416" s="8"/>
      <c r="F416" s="9" t="str">
        <f t="shared" si="18"/>
        <v/>
      </c>
      <c r="G416" s="8" t="str">
        <f t="shared" si="19"/>
        <v/>
      </c>
      <c r="H416" s="1" t="str">
        <f t="shared" si="20"/>
        <v/>
      </c>
    </row>
    <row r="417" spans="1:8" x14ac:dyDescent="0.25">
      <c r="A417" s="8"/>
      <c r="F417" s="9" t="str">
        <f t="shared" si="18"/>
        <v/>
      </c>
      <c r="G417" s="8" t="str">
        <f t="shared" si="19"/>
        <v/>
      </c>
      <c r="H417" s="1" t="str">
        <f t="shared" si="20"/>
        <v/>
      </c>
    </row>
    <row r="418" spans="1:8" x14ac:dyDescent="0.25">
      <c r="A418" s="8"/>
      <c r="F418" s="9" t="str">
        <f t="shared" si="18"/>
        <v/>
      </c>
      <c r="G418" s="8" t="str">
        <f t="shared" si="19"/>
        <v/>
      </c>
      <c r="H418" s="1" t="str">
        <f t="shared" si="20"/>
        <v/>
      </c>
    </row>
    <row r="419" spans="1:8" x14ac:dyDescent="0.25">
      <c r="A419" s="8"/>
      <c r="F419" s="9" t="str">
        <f t="shared" si="18"/>
        <v/>
      </c>
      <c r="G419" s="8" t="str">
        <f t="shared" si="19"/>
        <v/>
      </c>
      <c r="H419" s="1" t="str">
        <f t="shared" si="20"/>
        <v/>
      </c>
    </row>
    <row r="420" spans="1:8" x14ac:dyDescent="0.25">
      <c r="A420" s="8"/>
      <c r="F420" s="9" t="str">
        <f t="shared" si="18"/>
        <v/>
      </c>
      <c r="G420" s="8" t="str">
        <f t="shared" si="19"/>
        <v/>
      </c>
      <c r="H420" s="1" t="str">
        <f t="shared" si="20"/>
        <v/>
      </c>
    </row>
    <row r="421" spans="1:8" x14ac:dyDescent="0.25">
      <c r="A421" s="8"/>
      <c r="F421" s="9" t="str">
        <f t="shared" si="18"/>
        <v/>
      </c>
      <c r="G421" s="8" t="str">
        <f t="shared" si="19"/>
        <v/>
      </c>
      <c r="H421" s="1" t="str">
        <f t="shared" si="20"/>
        <v/>
      </c>
    </row>
    <row r="422" spans="1:8" x14ac:dyDescent="0.25">
      <c r="A422" s="8"/>
      <c r="F422" s="9" t="str">
        <f t="shared" si="18"/>
        <v/>
      </c>
      <c r="G422" s="8" t="str">
        <f t="shared" si="19"/>
        <v/>
      </c>
      <c r="H422" s="1" t="str">
        <f t="shared" si="20"/>
        <v/>
      </c>
    </row>
    <row r="423" spans="1:8" x14ac:dyDescent="0.25">
      <c r="A423" s="8"/>
      <c r="F423" s="9" t="str">
        <f t="shared" si="18"/>
        <v/>
      </c>
      <c r="G423" s="8" t="str">
        <f t="shared" si="19"/>
        <v/>
      </c>
      <c r="H423" s="1" t="str">
        <f t="shared" si="20"/>
        <v/>
      </c>
    </row>
    <row r="424" spans="1:8" x14ac:dyDescent="0.25">
      <c r="A424" s="8"/>
      <c r="F424" s="9" t="str">
        <f t="shared" si="18"/>
        <v/>
      </c>
      <c r="G424" s="8" t="str">
        <f t="shared" si="19"/>
        <v/>
      </c>
      <c r="H424" s="1" t="str">
        <f t="shared" si="20"/>
        <v/>
      </c>
    </row>
    <row r="425" spans="1:8" x14ac:dyDescent="0.25">
      <c r="A425" s="8"/>
      <c r="F425" s="9" t="str">
        <f t="shared" si="18"/>
        <v/>
      </c>
      <c r="G425" s="8" t="str">
        <f t="shared" si="19"/>
        <v/>
      </c>
      <c r="H425" s="1" t="str">
        <f t="shared" si="20"/>
        <v/>
      </c>
    </row>
    <row r="426" spans="1:8" x14ac:dyDescent="0.25">
      <c r="A426" s="8"/>
      <c r="F426" s="9" t="str">
        <f t="shared" si="18"/>
        <v/>
      </c>
      <c r="G426" s="8" t="str">
        <f t="shared" si="19"/>
        <v/>
      </c>
      <c r="H426" s="1" t="str">
        <f t="shared" si="20"/>
        <v/>
      </c>
    </row>
    <row r="427" spans="1:8" x14ac:dyDescent="0.25">
      <c r="A427" s="8"/>
      <c r="F427" s="9" t="str">
        <f t="shared" si="18"/>
        <v/>
      </c>
      <c r="G427" s="8" t="str">
        <f t="shared" si="19"/>
        <v/>
      </c>
      <c r="H427" s="1" t="str">
        <f t="shared" si="20"/>
        <v/>
      </c>
    </row>
    <row r="428" spans="1:8" x14ac:dyDescent="0.25">
      <c r="A428" s="8"/>
      <c r="F428" s="9" t="str">
        <f t="shared" si="18"/>
        <v/>
      </c>
      <c r="G428" s="8" t="str">
        <f t="shared" si="19"/>
        <v/>
      </c>
      <c r="H428" s="1" t="str">
        <f t="shared" si="20"/>
        <v/>
      </c>
    </row>
    <row r="429" spans="1:8" x14ac:dyDescent="0.25">
      <c r="A429" s="8"/>
      <c r="F429" s="9" t="str">
        <f t="shared" si="18"/>
        <v/>
      </c>
      <c r="G429" s="8" t="str">
        <f t="shared" si="19"/>
        <v/>
      </c>
      <c r="H429" s="1" t="str">
        <f t="shared" si="20"/>
        <v/>
      </c>
    </row>
    <row r="430" spans="1:8" x14ac:dyDescent="0.25">
      <c r="A430" s="8"/>
      <c r="F430" s="9" t="str">
        <f t="shared" si="18"/>
        <v/>
      </c>
      <c r="G430" s="8" t="str">
        <f t="shared" si="19"/>
        <v/>
      </c>
      <c r="H430" s="1" t="str">
        <f t="shared" si="20"/>
        <v/>
      </c>
    </row>
    <row r="431" spans="1:8" x14ac:dyDescent="0.25">
      <c r="A431" s="8"/>
      <c r="F431" s="9" t="str">
        <f t="shared" si="18"/>
        <v/>
      </c>
      <c r="G431" s="8" t="str">
        <f t="shared" si="19"/>
        <v/>
      </c>
      <c r="H431" s="1" t="str">
        <f t="shared" si="20"/>
        <v/>
      </c>
    </row>
    <row r="432" spans="1:8" x14ac:dyDescent="0.25">
      <c r="A432" s="8"/>
      <c r="F432" s="9" t="str">
        <f t="shared" si="18"/>
        <v/>
      </c>
      <c r="G432" s="8" t="str">
        <f t="shared" si="19"/>
        <v/>
      </c>
      <c r="H432" s="1" t="str">
        <f t="shared" si="20"/>
        <v/>
      </c>
    </row>
    <row r="433" spans="1:8" x14ac:dyDescent="0.25">
      <c r="A433" s="8"/>
      <c r="F433" s="9" t="str">
        <f t="shared" si="18"/>
        <v/>
      </c>
      <c r="G433" s="8" t="str">
        <f t="shared" si="19"/>
        <v/>
      </c>
      <c r="H433" s="1" t="str">
        <f t="shared" si="20"/>
        <v/>
      </c>
    </row>
    <row r="434" spans="1:8" x14ac:dyDescent="0.25">
      <c r="A434" s="8"/>
      <c r="F434" s="9" t="str">
        <f t="shared" si="18"/>
        <v/>
      </c>
      <c r="G434" s="8" t="str">
        <f t="shared" si="19"/>
        <v/>
      </c>
      <c r="H434" s="1" t="str">
        <f t="shared" si="20"/>
        <v/>
      </c>
    </row>
    <row r="435" spans="1:8" x14ac:dyDescent="0.25">
      <c r="A435" s="8"/>
      <c r="F435" s="9" t="str">
        <f t="shared" si="18"/>
        <v/>
      </c>
      <c r="G435" s="8" t="str">
        <f t="shared" si="19"/>
        <v/>
      </c>
      <c r="H435" s="1" t="str">
        <f t="shared" si="20"/>
        <v/>
      </c>
    </row>
    <row r="436" spans="1:8" x14ac:dyDescent="0.25">
      <c r="A436" s="8"/>
      <c r="F436" s="9" t="str">
        <f t="shared" si="18"/>
        <v/>
      </c>
      <c r="G436" s="8" t="str">
        <f t="shared" si="19"/>
        <v/>
      </c>
      <c r="H436" s="1" t="str">
        <f t="shared" si="20"/>
        <v/>
      </c>
    </row>
    <row r="437" spans="1:8" x14ac:dyDescent="0.25">
      <c r="A437" s="8"/>
      <c r="F437" s="9" t="str">
        <f t="shared" si="18"/>
        <v/>
      </c>
      <c r="G437" s="8" t="str">
        <f t="shared" si="19"/>
        <v/>
      </c>
      <c r="H437" s="1" t="str">
        <f t="shared" si="20"/>
        <v/>
      </c>
    </row>
    <row r="438" spans="1:8" x14ac:dyDescent="0.25">
      <c r="A438" s="8"/>
      <c r="F438" s="9" t="str">
        <f t="shared" si="18"/>
        <v/>
      </c>
      <c r="G438" s="8" t="str">
        <f t="shared" si="19"/>
        <v/>
      </c>
      <c r="H438" s="1" t="str">
        <f t="shared" si="20"/>
        <v/>
      </c>
    </row>
    <row r="439" spans="1:8" x14ac:dyDescent="0.25">
      <c r="A439" s="8"/>
      <c r="F439" s="9" t="str">
        <f t="shared" si="18"/>
        <v/>
      </c>
      <c r="G439" s="8" t="str">
        <f t="shared" si="19"/>
        <v/>
      </c>
      <c r="H439" s="1" t="str">
        <f t="shared" si="20"/>
        <v/>
      </c>
    </row>
    <row r="440" spans="1:8" x14ac:dyDescent="0.25">
      <c r="A440" s="8"/>
      <c r="F440" s="9" t="str">
        <f t="shared" si="18"/>
        <v/>
      </c>
      <c r="G440" s="8" t="str">
        <f t="shared" si="19"/>
        <v/>
      </c>
      <c r="H440" s="1" t="str">
        <f t="shared" si="20"/>
        <v/>
      </c>
    </row>
    <row r="441" spans="1:8" x14ac:dyDescent="0.25">
      <c r="A441" s="8"/>
      <c r="F441" s="9" t="str">
        <f t="shared" si="18"/>
        <v/>
      </c>
      <c r="G441" s="8" t="str">
        <f t="shared" si="19"/>
        <v/>
      </c>
      <c r="H441" s="1" t="str">
        <f t="shared" si="20"/>
        <v/>
      </c>
    </row>
    <row r="442" spans="1:8" x14ac:dyDescent="0.25">
      <c r="A442" s="8"/>
      <c r="F442" s="9" t="str">
        <f t="shared" si="18"/>
        <v/>
      </c>
      <c r="G442" s="8" t="str">
        <f t="shared" si="19"/>
        <v/>
      </c>
      <c r="H442" s="1" t="str">
        <f t="shared" si="20"/>
        <v/>
      </c>
    </row>
    <row r="443" spans="1:8" x14ac:dyDescent="0.25">
      <c r="A443" s="8"/>
      <c r="F443" s="9" t="str">
        <f t="shared" si="18"/>
        <v/>
      </c>
      <c r="G443" s="8" t="str">
        <f t="shared" si="19"/>
        <v/>
      </c>
      <c r="H443" s="1" t="str">
        <f t="shared" si="20"/>
        <v/>
      </c>
    </row>
    <row r="444" spans="1:8" x14ac:dyDescent="0.25">
      <c r="A444" s="8"/>
      <c r="F444" s="9" t="str">
        <f t="shared" si="18"/>
        <v/>
      </c>
      <c r="G444" s="8" t="str">
        <f t="shared" si="19"/>
        <v/>
      </c>
      <c r="H444" s="1" t="str">
        <f t="shared" si="20"/>
        <v/>
      </c>
    </row>
    <row r="445" spans="1:8" x14ac:dyDescent="0.25">
      <c r="A445" s="8"/>
      <c r="F445" s="9" t="str">
        <f t="shared" si="18"/>
        <v/>
      </c>
      <c r="G445" s="8" t="str">
        <f t="shared" si="19"/>
        <v/>
      </c>
      <c r="H445" s="1" t="str">
        <f t="shared" si="20"/>
        <v/>
      </c>
    </row>
    <row r="446" spans="1:8" x14ac:dyDescent="0.25">
      <c r="A446" s="8"/>
      <c r="F446" s="9" t="str">
        <f t="shared" si="18"/>
        <v/>
      </c>
      <c r="G446" s="8" t="str">
        <f t="shared" si="19"/>
        <v/>
      </c>
      <c r="H446" s="1" t="str">
        <f t="shared" si="20"/>
        <v/>
      </c>
    </row>
    <row r="447" spans="1:8" x14ac:dyDescent="0.25">
      <c r="A447" s="8"/>
      <c r="F447" s="9" t="str">
        <f t="shared" si="18"/>
        <v/>
      </c>
      <c r="G447" s="8" t="str">
        <f t="shared" si="19"/>
        <v/>
      </c>
      <c r="H447" s="1" t="str">
        <f t="shared" si="20"/>
        <v/>
      </c>
    </row>
    <row r="448" spans="1:8" x14ac:dyDescent="0.25">
      <c r="A448" s="8"/>
      <c r="F448" s="9" t="str">
        <f t="shared" si="18"/>
        <v/>
      </c>
      <c r="G448" s="8" t="str">
        <f t="shared" si="19"/>
        <v/>
      </c>
      <c r="H448" s="1" t="str">
        <f t="shared" si="20"/>
        <v/>
      </c>
    </row>
    <row r="449" spans="1:8" x14ac:dyDescent="0.25">
      <c r="A449" s="8"/>
      <c r="F449" s="9" t="str">
        <f t="shared" si="18"/>
        <v/>
      </c>
      <c r="G449" s="8" t="str">
        <f t="shared" si="19"/>
        <v/>
      </c>
      <c r="H449" s="1" t="str">
        <f t="shared" si="20"/>
        <v/>
      </c>
    </row>
    <row r="450" spans="1:8" x14ac:dyDescent="0.25">
      <c r="A450" s="8"/>
      <c r="F450" s="9" t="str">
        <f t="shared" si="18"/>
        <v/>
      </c>
      <c r="G450" s="8" t="str">
        <f t="shared" si="19"/>
        <v/>
      </c>
      <c r="H450" s="1" t="str">
        <f t="shared" si="20"/>
        <v/>
      </c>
    </row>
    <row r="451" spans="1:8" x14ac:dyDescent="0.25">
      <c r="A451" s="8"/>
      <c r="F451" s="9" t="str">
        <f t="shared" si="18"/>
        <v/>
      </c>
      <c r="G451" s="8" t="str">
        <f t="shared" si="19"/>
        <v/>
      </c>
      <c r="H451" s="1" t="str">
        <f t="shared" si="20"/>
        <v/>
      </c>
    </row>
    <row r="452" spans="1:8" x14ac:dyDescent="0.25">
      <c r="A452" s="8"/>
      <c r="F452" s="9" t="str">
        <f t="shared" si="18"/>
        <v/>
      </c>
      <c r="G452" s="8" t="str">
        <f t="shared" si="19"/>
        <v/>
      </c>
      <c r="H452" s="1" t="str">
        <f t="shared" si="20"/>
        <v/>
      </c>
    </row>
    <row r="453" spans="1:8" x14ac:dyDescent="0.25">
      <c r="A453" s="8"/>
      <c r="F453" s="9" t="str">
        <f t="shared" si="18"/>
        <v/>
      </c>
      <c r="G453" s="8" t="str">
        <f t="shared" si="19"/>
        <v/>
      </c>
      <c r="H453" s="1" t="str">
        <f t="shared" si="20"/>
        <v/>
      </c>
    </row>
    <row r="454" spans="1:8" x14ac:dyDescent="0.25">
      <c r="A454" s="8"/>
      <c r="F454" s="9" t="str">
        <f>IF(B454="","",IF(A454="",F453,A454))</f>
        <v/>
      </c>
      <c r="G454" s="8" t="str">
        <f t="shared" ref="G454:H458" si="21">IF(B454="","",B454)</f>
        <v/>
      </c>
      <c r="H454" s="1" t="str">
        <f t="shared" si="21"/>
        <v/>
      </c>
    </row>
    <row r="455" spans="1:8" x14ac:dyDescent="0.25">
      <c r="A455" s="8"/>
      <c r="F455" s="9" t="str">
        <f>IF(B455="","",IF(A455="",F454,A455))</f>
        <v/>
      </c>
      <c r="G455" s="8" t="str">
        <f t="shared" si="21"/>
        <v/>
      </c>
      <c r="H455" s="1" t="str">
        <f t="shared" si="21"/>
        <v/>
      </c>
    </row>
    <row r="456" spans="1:8" x14ac:dyDescent="0.25">
      <c r="A456" s="8"/>
      <c r="F456" s="9" t="str">
        <f>IF(B456="","",IF(A456="",F455,A456))</f>
        <v/>
      </c>
      <c r="G456" s="8" t="str">
        <f t="shared" si="21"/>
        <v/>
      </c>
      <c r="H456" s="1" t="str">
        <f t="shared" si="21"/>
        <v/>
      </c>
    </row>
    <row r="457" spans="1:8" x14ac:dyDescent="0.25">
      <c r="A457" s="8"/>
      <c r="F457" s="9" t="str">
        <f>IF(B457="","",IF(A457="",F456,A457))</f>
        <v/>
      </c>
      <c r="G457" s="8" t="str">
        <f t="shared" si="21"/>
        <v/>
      </c>
      <c r="H457" s="1" t="str">
        <f t="shared" si="21"/>
        <v/>
      </c>
    </row>
    <row r="458" spans="1:8" x14ac:dyDescent="0.25">
      <c r="A458" s="8"/>
      <c r="F458" s="9" t="str">
        <f>IF(B458="","",IF(A458="",F457,A458))</f>
        <v/>
      </c>
      <c r="G458" s="8" t="str">
        <f t="shared" si="21"/>
        <v/>
      </c>
      <c r="H458" s="1" t="str">
        <f t="shared" si="21"/>
        <v/>
      </c>
    </row>
    <row r="459" spans="1:8" x14ac:dyDescent="0.25">
      <c r="A459" s="8"/>
      <c r="F459"/>
      <c r="G459"/>
      <c r="H459" s="1">
        <f>SUBTOTAL(9,H28:H458)</f>
        <v>6970</v>
      </c>
    </row>
    <row r="460" spans="1:8" x14ac:dyDescent="0.25">
      <c r="A460" s="8"/>
      <c r="F460"/>
      <c r="G460"/>
      <c r="H460"/>
    </row>
    <row r="461" spans="1:8" x14ac:dyDescent="0.25">
      <c r="A461" s="8"/>
      <c r="F461"/>
      <c r="G461"/>
      <c r="H461"/>
    </row>
    <row r="462" spans="1:8" x14ac:dyDescent="0.25">
      <c r="A462" s="8"/>
      <c r="F462"/>
      <c r="G462"/>
      <c r="H462"/>
    </row>
    <row r="463" spans="1:8" x14ac:dyDescent="0.25">
      <c r="A463" s="8"/>
      <c r="F463"/>
      <c r="G463"/>
      <c r="H463"/>
    </row>
    <row r="464" spans="1:8" x14ac:dyDescent="0.25">
      <c r="A464" s="8"/>
      <c r="F464"/>
      <c r="G464"/>
      <c r="H464"/>
    </row>
    <row r="465" spans="1:8" x14ac:dyDescent="0.25">
      <c r="A465" s="8"/>
      <c r="F465"/>
      <c r="G465"/>
      <c r="H465"/>
    </row>
    <row r="466" spans="1:8" x14ac:dyDescent="0.25">
      <c r="A466" s="8"/>
      <c r="F466"/>
      <c r="G466"/>
      <c r="H466"/>
    </row>
    <row r="467" spans="1:8" x14ac:dyDescent="0.25">
      <c r="A467" s="8"/>
      <c r="F467"/>
      <c r="G467"/>
      <c r="H467"/>
    </row>
    <row r="468" spans="1:8" x14ac:dyDescent="0.25">
      <c r="A468" s="8"/>
      <c r="F468"/>
      <c r="G468"/>
      <c r="H468"/>
    </row>
    <row r="469" spans="1:8" x14ac:dyDescent="0.25">
      <c r="A469" s="8"/>
      <c r="F469"/>
      <c r="G469"/>
      <c r="H469"/>
    </row>
    <row r="470" spans="1:8" x14ac:dyDescent="0.25">
      <c r="A470" s="8"/>
      <c r="F470"/>
      <c r="G470"/>
      <c r="H470"/>
    </row>
    <row r="471" spans="1:8" x14ac:dyDescent="0.25">
      <c r="A471" s="8"/>
      <c r="F471"/>
      <c r="G471"/>
      <c r="H471"/>
    </row>
    <row r="472" spans="1:8" x14ac:dyDescent="0.25">
      <c r="A472" s="8"/>
      <c r="F472"/>
      <c r="G472"/>
      <c r="H472"/>
    </row>
    <row r="473" spans="1:8" x14ac:dyDescent="0.25">
      <c r="A473" s="8"/>
      <c r="F473"/>
      <c r="G473"/>
      <c r="H473"/>
    </row>
    <row r="474" spans="1:8" x14ac:dyDescent="0.25">
      <c r="A474" s="8"/>
      <c r="F474"/>
      <c r="G474"/>
      <c r="H474"/>
    </row>
    <row r="475" spans="1:8" x14ac:dyDescent="0.25">
      <c r="A475" s="8"/>
      <c r="F475"/>
      <c r="G475"/>
      <c r="H475"/>
    </row>
    <row r="476" spans="1:8" x14ac:dyDescent="0.25">
      <c r="A476" s="8"/>
      <c r="F476"/>
      <c r="G476"/>
      <c r="H476"/>
    </row>
    <row r="477" spans="1:8" x14ac:dyDescent="0.25">
      <c r="A477" s="8"/>
      <c r="F477"/>
      <c r="G477"/>
      <c r="H477"/>
    </row>
    <row r="478" spans="1:8" x14ac:dyDescent="0.25">
      <c r="A478" s="8"/>
      <c r="F478"/>
      <c r="G478"/>
      <c r="H478"/>
    </row>
    <row r="479" spans="1:8" x14ac:dyDescent="0.25">
      <c r="A479" s="8"/>
      <c r="F479"/>
      <c r="G479"/>
      <c r="H479"/>
    </row>
    <row r="480" spans="1:8" x14ac:dyDescent="0.25">
      <c r="A480" s="8"/>
      <c r="F480"/>
      <c r="G480"/>
      <c r="H480"/>
    </row>
    <row r="481" spans="1:8" x14ac:dyDescent="0.25">
      <c r="A481" s="8"/>
      <c r="F481"/>
      <c r="G481"/>
      <c r="H481"/>
    </row>
    <row r="482" spans="1:8" x14ac:dyDescent="0.25">
      <c r="A482" s="8"/>
      <c r="F482"/>
      <c r="G482"/>
      <c r="H482"/>
    </row>
    <row r="483" spans="1:8" x14ac:dyDescent="0.25">
      <c r="A483" s="8"/>
      <c r="F483"/>
      <c r="G483"/>
      <c r="H483"/>
    </row>
    <row r="484" spans="1:8" x14ac:dyDescent="0.25">
      <c r="A484" s="8"/>
      <c r="F484"/>
      <c r="G484"/>
      <c r="H484"/>
    </row>
    <row r="485" spans="1:8" x14ac:dyDescent="0.25">
      <c r="A485" s="8"/>
      <c r="F485"/>
      <c r="G485"/>
      <c r="H485"/>
    </row>
    <row r="486" spans="1:8" x14ac:dyDescent="0.25">
      <c r="A486" s="8"/>
      <c r="F486"/>
      <c r="G486"/>
      <c r="H486"/>
    </row>
    <row r="487" spans="1:8" x14ac:dyDescent="0.25">
      <c r="A487" s="8"/>
      <c r="F487"/>
      <c r="G487"/>
      <c r="H487"/>
    </row>
    <row r="488" spans="1:8" x14ac:dyDescent="0.25">
      <c r="A488" s="8"/>
      <c r="F488"/>
      <c r="G488"/>
      <c r="H488"/>
    </row>
    <row r="489" spans="1:8" x14ac:dyDescent="0.25">
      <c r="A489" s="8"/>
      <c r="F489"/>
      <c r="G489"/>
      <c r="H489"/>
    </row>
    <row r="490" spans="1:8" x14ac:dyDescent="0.25">
      <c r="A490" s="8"/>
      <c r="F490"/>
      <c r="G490"/>
      <c r="H490"/>
    </row>
    <row r="491" spans="1:8" x14ac:dyDescent="0.25">
      <c r="A491" s="8"/>
      <c r="F491"/>
      <c r="G491"/>
      <c r="H491"/>
    </row>
    <row r="492" spans="1:8" x14ac:dyDescent="0.25">
      <c r="A492" s="8"/>
      <c r="F492"/>
      <c r="G492"/>
      <c r="H492"/>
    </row>
    <row r="493" spans="1:8" x14ac:dyDescent="0.25">
      <c r="A493" s="8"/>
      <c r="F493"/>
      <c r="G493"/>
      <c r="H493"/>
    </row>
    <row r="494" spans="1:8" x14ac:dyDescent="0.25">
      <c r="A494" s="8"/>
      <c r="F494"/>
      <c r="G494"/>
      <c r="H494"/>
    </row>
    <row r="495" spans="1:8" x14ac:dyDescent="0.25">
      <c r="A495" s="8"/>
      <c r="F495"/>
      <c r="G495"/>
      <c r="H495"/>
    </row>
    <row r="496" spans="1:8" x14ac:dyDescent="0.25">
      <c r="A496" s="8"/>
      <c r="F496"/>
      <c r="G496"/>
      <c r="H496"/>
    </row>
    <row r="497" spans="1:8" x14ac:dyDescent="0.25">
      <c r="A497" s="8"/>
      <c r="F497"/>
      <c r="G497"/>
      <c r="H497"/>
    </row>
    <row r="498" spans="1:8" x14ac:dyDescent="0.25">
      <c r="A498" s="8"/>
      <c r="F498"/>
      <c r="G498"/>
      <c r="H498"/>
    </row>
    <row r="499" spans="1:8" x14ac:dyDescent="0.25">
      <c r="A499" s="8"/>
      <c r="F499"/>
      <c r="G499"/>
      <c r="H499"/>
    </row>
    <row r="500" spans="1:8" x14ac:dyDescent="0.25">
      <c r="A500" s="8"/>
      <c r="F500"/>
      <c r="G500"/>
      <c r="H500"/>
    </row>
    <row r="501" spans="1:8" x14ac:dyDescent="0.25">
      <c r="A501" s="8"/>
      <c r="F501"/>
      <c r="G501"/>
      <c r="H501"/>
    </row>
    <row r="502" spans="1:8" x14ac:dyDescent="0.25">
      <c r="A502" s="8"/>
      <c r="F502"/>
      <c r="G502"/>
      <c r="H502"/>
    </row>
    <row r="503" spans="1:8" x14ac:dyDescent="0.25">
      <c r="A503" s="8"/>
      <c r="F503"/>
      <c r="G503"/>
      <c r="H503"/>
    </row>
    <row r="504" spans="1:8" x14ac:dyDescent="0.25">
      <c r="A504" s="8"/>
      <c r="F504"/>
      <c r="G504"/>
      <c r="H504"/>
    </row>
    <row r="505" spans="1:8" x14ac:dyDescent="0.25">
      <c r="A505" s="8"/>
      <c r="F505"/>
      <c r="G505"/>
      <c r="H505"/>
    </row>
    <row r="506" spans="1:8" x14ac:dyDescent="0.25">
      <c r="A506" s="8"/>
      <c r="F506"/>
      <c r="G506"/>
      <c r="H506"/>
    </row>
    <row r="507" spans="1:8" x14ac:dyDescent="0.25">
      <c r="A507" s="8"/>
      <c r="F507"/>
      <c r="G507"/>
      <c r="H507"/>
    </row>
    <row r="508" spans="1:8" x14ac:dyDescent="0.25">
      <c r="A508" s="8"/>
      <c r="F508"/>
      <c r="G508"/>
      <c r="H508"/>
    </row>
    <row r="509" spans="1:8" x14ac:dyDescent="0.25">
      <c r="A509" s="8"/>
      <c r="F509"/>
      <c r="G509"/>
      <c r="H509"/>
    </row>
    <row r="510" spans="1:8" x14ac:dyDescent="0.25">
      <c r="A510" s="8"/>
      <c r="F510"/>
      <c r="G510"/>
      <c r="H510"/>
    </row>
    <row r="511" spans="1:8" x14ac:dyDescent="0.25">
      <c r="A511" s="8"/>
      <c r="F511"/>
      <c r="G511"/>
      <c r="H511"/>
    </row>
    <row r="512" spans="1:8" x14ac:dyDescent="0.25">
      <c r="A512" s="8"/>
      <c r="F512"/>
      <c r="G512"/>
      <c r="H512"/>
    </row>
    <row r="513" spans="1:8" x14ac:dyDescent="0.25">
      <c r="A513" s="8"/>
      <c r="F513"/>
      <c r="G513"/>
      <c r="H513"/>
    </row>
    <row r="514" spans="1:8" x14ac:dyDescent="0.25">
      <c r="A514" s="8"/>
      <c r="F514"/>
      <c r="G514"/>
      <c r="H514"/>
    </row>
    <row r="515" spans="1:8" x14ac:dyDescent="0.25">
      <c r="A515" s="8"/>
      <c r="F515"/>
      <c r="G515"/>
      <c r="H515"/>
    </row>
    <row r="516" spans="1:8" x14ac:dyDescent="0.25">
      <c r="A516" s="8"/>
      <c r="F516"/>
      <c r="G516"/>
      <c r="H516"/>
    </row>
    <row r="517" spans="1:8" x14ac:dyDescent="0.25">
      <c r="A517" s="8"/>
      <c r="F517"/>
      <c r="G517"/>
      <c r="H517"/>
    </row>
    <row r="518" spans="1:8" x14ac:dyDescent="0.25">
      <c r="A518" s="8"/>
      <c r="F518"/>
      <c r="G518"/>
      <c r="H518"/>
    </row>
    <row r="519" spans="1:8" x14ac:dyDescent="0.25">
      <c r="A519" s="8"/>
      <c r="F519"/>
      <c r="G519"/>
      <c r="H519"/>
    </row>
    <row r="520" spans="1:8" x14ac:dyDescent="0.25">
      <c r="A520" s="8"/>
      <c r="F520"/>
      <c r="G520"/>
      <c r="H520"/>
    </row>
    <row r="521" spans="1:8" x14ac:dyDescent="0.25">
      <c r="A521" s="8"/>
      <c r="F521"/>
      <c r="G521"/>
      <c r="H521"/>
    </row>
    <row r="522" spans="1:8" x14ac:dyDescent="0.25">
      <c r="A522" s="8"/>
      <c r="F522"/>
      <c r="G522"/>
      <c r="H522"/>
    </row>
    <row r="523" spans="1:8" x14ac:dyDescent="0.25">
      <c r="A523" s="8"/>
      <c r="F523"/>
      <c r="G523"/>
      <c r="H523"/>
    </row>
    <row r="524" spans="1:8" x14ac:dyDescent="0.25">
      <c r="A524" s="8"/>
      <c r="F524"/>
      <c r="G524"/>
      <c r="H524"/>
    </row>
    <row r="525" spans="1:8" x14ac:dyDescent="0.25">
      <c r="A525" s="8"/>
      <c r="F525"/>
      <c r="G525"/>
      <c r="H525"/>
    </row>
    <row r="526" spans="1:8" x14ac:dyDescent="0.25">
      <c r="A526" s="8"/>
      <c r="F526"/>
      <c r="G526"/>
      <c r="H526"/>
    </row>
    <row r="527" spans="1:8" x14ac:dyDescent="0.25">
      <c r="A527" s="8"/>
      <c r="F527"/>
      <c r="G527"/>
      <c r="H527"/>
    </row>
    <row r="528" spans="1:8" x14ac:dyDescent="0.25">
      <c r="A528" s="8"/>
      <c r="F528"/>
      <c r="G528"/>
      <c r="H528"/>
    </row>
    <row r="529" spans="1:8" x14ac:dyDescent="0.25">
      <c r="A529" s="8"/>
      <c r="F529"/>
      <c r="G529"/>
      <c r="H529"/>
    </row>
    <row r="530" spans="1:8" x14ac:dyDescent="0.25">
      <c r="A530" s="8"/>
      <c r="F530"/>
      <c r="G530"/>
      <c r="H530"/>
    </row>
    <row r="531" spans="1:8" x14ac:dyDescent="0.25">
      <c r="A531" s="8"/>
      <c r="F531"/>
      <c r="G531"/>
      <c r="H531"/>
    </row>
    <row r="532" spans="1:8" x14ac:dyDescent="0.25">
      <c r="A532" s="8"/>
      <c r="F532"/>
      <c r="G532"/>
      <c r="H532"/>
    </row>
    <row r="533" spans="1:8" x14ac:dyDescent="0.25">
      <c r="A533" s="8"/>
      <c r="F533"/>
      <c r="G533"/>
      <c r="H533"/>
    </row>
    <row r="534" spans="1:8" x14ac:dyDescent="0.25">
      <c r="A534" s="8"/>
      <c r="F534"/>
      <c r="G534"/>
      <c r="H534"/>
    </row>
    <row r="535" spans="1:8" x14ac:dyDescent="0.25">
      <c r="A535" s="8"/>
      <c r="F535"/>
      <c r="G535"/>
      <c r="H535"/>
    </row>
    <row r="536" spans="1:8" x14ac:dyDescent="0.25">
      <c r="A536" s="8"/>
      <c r="F536"/>
      <c r="G536"/>
      <c r="H536"/>
    </row>
    <row r="537" spans="1:8" x14ac:dyDescent="0.25">
      <c r="A537" s="8"/>
      <c r="F537"/>
      <c r="G537"/>
      <c r="H537"/>
    </row>
    <row r="538" spans="1:8" x14ac:dyDescent="0.25">
      <c r="A538" s="8"/>
      <c r="F538"/>
      <c r="G538"/>
      <c r="H538"/>
    </row>
    <row r="539" spans="1:8" x14ac:dyDescent="0.25">
      <c r="A539" s="8"/>
      <c r="F539"/>
      <c r="G539"/>
      <c r="H539"/>
    </row>
    <row r="540" spans="1:8" x14ac:dyDescent="0.25">
      <c r="A540" s="8"/>
      <c r="F540"/>
      <c r="G540"/>
      <c r="H540"/>
    </row>
    <row r="541" spans="1:8" x14ac:dyDescent="0.25">
      <c r="A541" s="8"/>
      <c r="F541"/>
      <c r="G541"/>
      <c r="H541"/>
    </row>
    <row r="542" spans="1:8" x14ac:dyDescent="0.25">
      <c r="A542" s="8"/>
      <c r="F542"/>
      <c r="G542"/>
      <c r="H542"/>
    </row>
    <row r="543" spans="1:8" x14ac:dyDescent="0.25">
      <c r="A543" s="8"/>
      <c r="F543"/>
      <c r="G543"/>
      <c r="H543"/>
    </row>
    <row r="544" spans="1:8" x14ac:dyDescent="0.25">
      <c r="A544" s="8"/>
      <c r="F544"/>
      <c r="G544"/>
      <c r="H544"/>
    </row>
    <row r="545" spans="1:8" x14ac:dyDescent="0.25">
      <c r="A545" s="8"/>
      <c r="F545"/>
      <c r="G545"/>
      <c r="H545"/>
    </row>
    <row r="546" spans="1:8" x14ac:dyDescent="0.25">
      <c r="A546" s="8"/>
      <c r="F546"/>
      <c r="G546"/>
      <c r="H546"/>
    </row>
    <row r="547" spans="1:8" x14ac:dyDescent="0.25">
      <c r="A547" s="8"/>
      <c r="F547"/>
      <c r="G547"/>
      <c r="H547"/>
    </row>
    <row r="548" spans="1:8" x14ac:dyDescent="0.25">
      <c r="A548" s="8"/>
      <c r="F548"/>
      <c r="G548"/>
      <c r="H548"/>
    </row>
    <row r="549" spans="1:8" x14ac:dyDescent="0.25">
      <c r="A549" s="8"/>
      <c r="F549"/>
      <c r="G549"/>
      <c r="H549"/>
    </row>
    <row r="550" spans="1:8" x14ac:dyDescent="0.25">
      <c r="A550" s="8"/>
      <c r="F550"/>
      <c r="G550"/>
      <c r="H550"/>
    </row>
    <row r="551" spans="1:8" x14ac:dyDescent="0.25">
      <c r="A551" s="8"/>
      <c r="F551"/>
      <c r="G551"/>
      <c r="H551"/>
    </row>
    <row r="552" spans="1:8" x14ac:dyDescent="0.25">
      <c r="A552" s="8"/>
      <c r="F552"/>
      <c r="G552"/>
      <c r="H552"/>
    </row>
    <row r="553" spans="1:8" x14ac:dyDescent="0.25">
      <c r="A553" s="8"/>
      <c r="F553"/>
      <c r="G553"/>
      <c r="H553"/>
    </row>
    <row r="554" spans="1:8" x14ac:dyDescent="0.25">
      <c r="A554" s="8"/>
      <c r="F554"/>
      <c r="G554"/>
      <c r="H554"/>
    </row>
    <row r="555" spans="1:8" x14ac:dyDescent="0.25">
      <c r="A555" s="8"/>
      <c r="F555"/>
      <c r="G555"/>
      <c r="H555"/>
    </row>
    <row r="556" spans="1:8" x14ac:dyDescent="0.25">
      <c r="A556" s="8"/>
      <c r="F556"/>
      <c r="G556"/>
      <c r="H556"/>
    </row>
    <row r="557" spans="1:8" x14ac:dyDescent="0.25">
      <c r="A557" s="8"/>
      <c r="F557"/>
      <c r="G557"/>
      <c r="H557"/>
    </row>
    <row r="558" spans="1:8" x14ac:dyDescent="0.25">
      <c r="A558" s="8"/>
      <c r="F558"/>
      <c r="G558"/>
      <c r="H558"/>
    </row>
    <row r="559" spans="1:8" x14ac:dyDescent="0.25">
      <c r="A559" s="8"/>
      <c r="F559"/>
      <c r="G559"/>
      <c r="H559"/>
    </row>
    <row r="560" spans="1:8" x14ac:dyDescent="0.25">
      <c r="A560" s="8"/>
      <c r="F560"/>
      <c r="G560"/>
      <c r="H560"/>
    </row>
    <row r="561" spans="1:8" x14ac:dyDescent="0.25">
      <c r="A561" s="8"/>
      <c r="F561"/>
      <c r="G561"/>
      <c r="H561"/>
    </row>
    <row r="562" spans="1:8" x14ac:dyDescent="0.25">
      <c r="A562" s="8"/>
      <c r="F562"/>
      <c r="G562"/>
      <c r="H562"/>
    </row>
    <row r="563" spans="1:8" x14ac:dyDescent="0.25">
      <c r="A563" s="8"/>
      <c r="F563"/>
      <c r="G563"/>
      <c r="H563"/>
    </row>
    <row r="564" spans="1:8" x14ac:dyDescent="0.25">
      <c r="A564" s="8"/>
      <c r="F564"/>
      <c r="G564"/>
      <c r="H564"/>
    </row>
    <row r="565" spans="1:8" x14ac:dyDescent="0.25">
      <c r="A565" s="8"/>
      <c r="F565"/>
      <c r="G565"/>
      <c r="H565"/>
    </row>
    <row r="566" spans="1:8" x14ac:dyDescent="0.25">
      <c r="A566" s="8"/>
      <c r="F566"/>
      <c r="G566"/>
      <c r="H566"/>
    </row>
    <row r="567" spans="1:8" x14ac:dyDescent="0.25">
      <c r="A567" s="8"/>
      <c r="F567"/>
      <c r="G567"/>
      <c r="H567"/>
    </row>
    <row r="568" spans="1:8" x14ac:dyDescent="0.25">
      <c r="A568" s="8"/>
      <c r="F568"/>
      <c r="G568"/>
      <c r="H568"/>
    </row>
    <row r="569" spans="1:8" x14ac:dyDescent="0.25">
      <c r="A569" s="8"/>
      <c r="F569"/>
      <c r="G569"/>
      <c r="H569"/>
    </row>
    <row r="570" spans="1:8" x14ac:dyDescent="0.25">
      <c r="A570" s="8"/>
      <c r="F570"/>
      <c r="G570"/>
      <c r="H570"/>
    </row>
    <row r="571" spans="1:8" x14ac:dyDescent="0.25">
      <c r="A571" s="8"/>
      <c r="F571"/>
      <c r="G571"/>
      <c r="H571"/>
    </row>
    <row r="572" spans="1:8" x14ac:dyDescent="0.25">
      <c r="A572" s="8"/>
      <c r="F572"/>
      <c r="G572"/>
      <c r="H572"/>
    </row>
    <row r="573" spans="1:8" x14ac:dyDescent="0.25">
      <c r="A573" s="8"/>
      <c r="F573"/>
      <c r="G573"/>
      <c r="H573"/>
    </row>
    <row r="574" spans="1:8" x14ac:dyDescent="0.25">
      <c r="A574" s="8"/>
      <c r="F574"/>
      <c r="G574"/>
      <c r="H574"/>
    </row>
    <row r="575" spans="1:8" x14ac:dyDescent="0.25">
      <c r="A575" s="8"/>
      <c r="F575"/>
      <c r="G575"/>
      <c r="H575"/>
    </row>
    <row r="576" spans="1:8" x14ac:dyDescent="0.25">
      <c r="A576" s="8"/>
      <c r="F576"/>
      <c r="G576"/>
      <c r="H576"/>
    </row>
    <row r="577" spans="1:8" x14ac:dyDescent="0.25">
      <c r="A577" s="8"/>
      <c r="F577"/>
      <c r="G577"/>
      <c r="H577"/>
    </row>
    <row r="578" spans="1:8" x14ac:dyDescent="0.25">
      <c r="A578" s="8"/>
      <c r="F578"/>
      <c r="G578"/>
      <c r="H578"/>
    </row>
    <row r="579" spans="1:8" x14ac:dyDescent="0.25">
      <c r="A579" s="8"/>
      <c r="F579"/>
      <c r="G579"/>
      <c r="H579"/>
    </row>
    <row r="580" spans="1:8" x14ac:dyDescent="0.25">
      <c r="A580" s="8"/>
      <c r="F580"/>
      <c r="G580"/>
      <c r="H580"/>
    </row>
    <row r="581" spans="1:8" x14ac:dyDescent="0.25">
      <c r="A581" s="8"/>
      <c r="F581"/>
      <c r="G581"/>
      <c r="H581"/>
    </row>
    <row r="582" spans="1:8" x14ac:dyDescent="0.25">
      <c r="A582" s="8"/>
      <c r="F582"/>
      <c r="G582"/>
      <c r="H582"/>
    </row>
    <row r="583" spans="1:8" x14ac:dyDescent="0.25">
      <c r="A583" s="8"/>
      <c r="F583"/>
      <c r="G583"/>
      <c r="H583"/>
    </row>
    <row r="584" spans="1:8" x14ac:dyDescent="0.25">
      <c r="A584" s="8"/>
      <c r="F584"/>
      <c r="G584"/>
      <c r="H584"/>
    </row>
    <row r="585" spans="1:8" x14ac:dyDescent="0.25">
      <c r="A585" s="8"/>
      <c r="F585"/>
      <c r="G585"/>
      <c r="H585"/>
    </row>
    <row r="586" spans="1:8" x14ac:dyDescent="0.25">
      <c r="A586" s="8"/>
      <c r="F586"/>
      <c r="G586"/>
      <c r="H586"/>
    </row>
    <row r="587" spans="1:8" x14ac:dyDescent="0.25">
      <c r="A587" s="8"/>
      <c r="F587"/>
      <c r="G587"/>
      <c r="H587"/>
    </row>
    <row r="588" spans="1:8" x14ac:dyDescent="0.25">
      <c r="A588" s="8"/>
      <c r="F588"/>
      <c r="G588"/>
      <c r="H588"/>
    </row>
    <row r="589" spans="1:8" x14ac:dyDescent="0.25">
      <c r="A589" s="8"/>
      <c r="F589"/>
      <c r="G589"/>
      <c r="H589"/>
    </row>
    <row r="590" spans="1:8" x14ac:dyDescent="0.25">
      <c r="A590" s="8"/>
      <c r="F590"/>
      <c r="G590"/>
      <c r="H590"/>
    </row>
    <row r="591" spans="1:8" x14ac:dyDescent="0.25">
      <c r="A591" s="8"/>
      <c r="F591"/>
      <c r="G591"/>
      <c r="H591"/>
    </row>
    <row r="592" spans="1:8" x14ac:dyDescent="0.25">
      <c r="A592" s="8"/>
      <c r="F592"/>
      <c r="G592"/>
      <c r="H592"/>
    </row>
    <row r="593" spans="1:8" x14ac:dyDescent="0.25">
      <c r="A593" s="8"/>
      <c r="F593"/>
      <c r="G593"/>
      <c r="H593"/>
    </row>
    <row r="594" spans="1:8" x14ac:dyDescent="0.25">
      <c r="A594" s="8"/>
      <c r="F594"/>
      <c r="G594"/>
      <c r="H594"/>
    </row>
    <row r="595" spans="1:8" x14ac:dyDescent="0.25">
      <c r="A595" s="8"/>
      <c r="F595"/>
      <c r="G595"/>
      <c r="H595"/>
    </row>
    <row r="596" spans="1:8" x14ac:dyDescent="0.25">
      <c r="A596" s="8"/>
      <c r="F596"/>
      <c r="G596"/>
      <c r="H596"/>
    </row>
    <row r="597" spans="1:8" x14ac:dyDescent="0.25">
      <c r="A597" s="8"/>
      <c r="F597"/>
      <c r="G597"/>
      <c r="H597"/>
    </row>
    <row r="598" spans="1:8" x14ac:dyDescent="0.25">
      <c r="A598" s="8"/>
      <c r="F598"/>
      <c r="G598"/>
      <c r="H598"/>
    </row>
    <row r="599" spans="1:8" x14ac:dyDescent="0.25">
      <c r="A599" s="8"/>
      <c r="F599"/>
      <c r="G599"/>
      <c r="H599"/>
    </row>
    <row r="600" spans="1:8" x14ac:dyDescent="0.25">
      <c r="A600" s="8"/>
      <c r="F600"/>
      <c r="G600"/>
      <c r="H600"/>
    </row>
    <row r="601" spans="1:8" x14ac:dyDescent="0.25">
      <c r="A601" s="8"/>
      <c r="F601"/>
      <c r="G601"/>
      <c r="H601"/>
    </row>
    <row r="602" spans="1:8" x14ac:dyDescent="0.25">
      <c r="A602" s="8"/>
      <c r="F602"/>
      <c r="G602"/>
      <c r="H602"/>
    </row>
    <row r="603" spans="1:8" x14ac:dyDescent="0.25">
      <c r="A603" s="8"/>
      <c r="F603"/>
      <c r="G603"/>
      <c r="H603"/>
    </row>
    <row r="604" spans="1:8" x14ac:dyDescent="0.25">
      <c r="A604" s="8"/>
      <c r="F604"/>
      <c r="G604"/>
      <c r="H604"/>
    </row>
    <row r="605" spans="1:8" x14ac:dyDescent="0.25">
      <c r="A605" s="8"/>
      <c r="F605"/>
      <c r="G605"/>
      <c r="H605"/>
    </row>
    <row r="606" spans="1:8" x14ac:dyDescent="0.25">
      <c r="A606" s="8"/>
      <c r="F606"/>
      <c r="G606"/>
      <c r="H606"/>
    </row>
    <row r="607" spans="1:8" x14ac:dyDescent="0.25">
      <c r="A607" s="8"/>
      <c r="F607"/>
      <c r="G607"/>
      <c r="H607"/>
    </row>
    <row r="608" spans="1:8" x14ac:dyDescent="0.25">
      <c r="A608" s="8"/>
      <c r="F608"/>
      <c r="G608"/>
      <c r="H608"/>
    </row>
    <row r="609" spans="1:8" x14ac:dyDescent="0.25">
      <c r="A609" s="8"/>
      <c r="F609"/>
      <c r="G609"/>
      <c r="H609"/>
    </row>
    <row r="610" spans="1:8" x14ac:dyDescent="0.25">
      <c r="A610" s="8"/>
      <c r="F610"/>
      <c r="G610"/>
      <c r="H610"/>
    </row>
    <row r="611" spans="1:8" x14ac:dyDescent="0.25">
      <c r="A611" s="8"/>
      <c r="F611"/>
      <c r="G611"/>
      <c r="H611"/>
    </row>
    <row r="612" spans="1:8" x14ac:dyDescent="0.25">
      <c r="A612" s="8"/>
      <c r="F612"/>
      <c r="G612"/>
      <c r="H612"/>
    </row>
    <row r="613" spans="1:8" x14ac:dyDescent="0.25">
      <c r="A613" s="8"/>
      <c r="F613"/>
      <c r="G613"/>
      <c r="H613"/>
    </row>
    <row r="614" spans="1:8" x14ac:dyDescent="0.25">
      <c r="A614" s="8"/>
      <c r="F614"/>
      <c r="G614"/>
      <c r="H614"/>
    </row>
    <row r="615" spans="1:8" x14ac:dyDescent="0.25">
      <c r="A615" s="8"/>
      <c r="F615"/>
      <c r="G615"/>
      <c r="H615"/>
    </row>
    <row r="616" spans="1:8" x14ac:dyDescent="0.25">
      <c r="A616" s="8"/>
      <c r="F616"/>
      <c r="G616"/>
      <c r="H616"/>
    </row>
    <row r="617" spans="1:8" x14ac:dyDescent="0.25">
      <c r="A617" s="8"/>
      <c r="F617"/>
      <c r="G617"/>
      <c r="H617"/>
    </row>
    <row r="618" spans="1:8" x14ac:dyDescent="0.25">
      <c r="A618" s="8"/>
      <c r="F618"/>
      <c r="G618"/>
      <c r="H618"/>
    </row>
    <row r="619" spans="1:8" x14ac:dyDescent="0.25">
      <c r="A619" s="8"/>
      <c r="F619"/>
      <c r="G619"/>
      <c r="H619"/>
    </row>
    <row r="620" spans="1:8" x14ac:dyDescent="0.25">
      <c r="A620" s="8"/>
      <c r="F620"/>
      <c r="G620"/>
      <c r="H620"/>
    </row>
    <row r="621" spans="1:8" x14ac:dyDescent="0.25">
      <c r="A621" s="8"/>
      <c r="F621"/>
      <c r="G621"/>
      <c r="H621"/>
    </row>
    <row r="622" spans="1:8" x14ac:dyDescent="0.25">
      <c r="A622" s="8"/>
      <c r="F622"/>
      <c r="G622"/>
      <c r="H622"/>
    </row>
    <row r="623" spans="1:8" x14ac:dyDescent="0.25">
      <c r="A623" s="8"/>
      <c r="F623"/>
      <c r="G623"/>
      <c r="H623"/>
    </row>
    <row r="624" spans="1:8" x14ac:dyDescent="0.25">
      <c r="A624" s="8"/>
      <c r="F624"/>
      <c r="G624"/>
      <c r="H624"/>
    </row>
    <row r="625" spans="1:8" x14ac:dyDescent="0.25">
      <c r="A625" s="8"/>
      <c r="F625"/>
      <c r="G625"/>
      <c r="H625"/>
    </row>
    <row r="626" spans="1:8" x14ac:dyDescent="0.25">
      <c r="A626" s="8"/>
      <c r="F626"/>
      <c r="G626"/>
      <c r="H626"/>
    </row>
    <row r="627" spans="1:8" x14ac:dyDescent="0.25">
      <c r="A627" s="8"/>
      <c r="F627"/>
      <c r="G627"/>
      <c r="H627"/>
    </row>
    <row r="628" spans="1:8" x14ac:dyDescent="0.25">
      <c r="A628" s="8"/>
      <c r="F628"/>
      <c r="G628"/>
      <c r="H628"/>
    </row>
    <row r="629" spans="1:8" x14ac:dyDescent="0.25">
      <c r="A629" s="8"/>
      <c r="F629"/>
      <c r="G629"/>
      <c r="H629"/>
    </row>
    <row r="630" spans="1:8" x14ac:dyDescent="0.25">
      <c r="A630" s="8"/>
      <c r="F630"/>
      <c r="G630"/>
      <c r="H630"/>
    </row>
    <row r="631" spans="1:8" x14ac:dyDescent="0.25">
      <c r="A631" s="8"/>
      <c r="F631"/>
      <c r="G631"/>
      <c r="H631"/>
    </row>
    <row r="632" spans="1:8" x14ac:dyDescent="0.25">
      <c r="A632" s="8"/>
      <c r="F632"/>
      <c r="G632"/>
      <c r="H632"/>
    </row>
    <row r="633" spans="1:8" x14ac:dyDescent="0.25">
      <c r="A633" s="8"/>
      <c r="F633"/>
      <c r="G633"/>
      <c r="H633"/>
    </row>
    <row r="634" spans="1:8" x14ac:dyDescent="0.25">
      <c r="A634" s="8"/>
      <c r="F634"/>
      <c r="G634"/>
      <c r="H634"/>
    </row>
    <row r="635" spans="1:8" x14ac:dyDescent="0.25">
      <c r="A635" s="8"/>
      <c r="F635"/>
      <c r="G635"/>
      <c r="H635"/>
    </row>
    <row r="636" spans="1:8" x14ac:dyDescent="0.25">
      <c r="A636" s="8"/>
      <c r="F636"/>
      <c r="G636"/>
      <c r="H636"/>
    </row>
    <row r="637" spans="1:8" x14ac:dyDescent="0.25">
      <c r="A637" s="8"/>
      <c r="F637"/>
      <c r="G637"/>
      <c r="H637"/>
    </row>
    <row r="638" spans="1:8" x14ac:dyDescent="0.25">
      <c r="A638" s="8"/>
      <c r="F638"/>
      <c r="G638"/>
      <c r="H638"/>
    </row>
    <row r="639" spans="1:8" x14ac:dyDescent="0.25">
      <c r="A639" s="8"/>
      <c r="F639"/>
      <c r="G639"/>
      <c r="H639"/>
    </row>
    <row r="640" spans="1:8" x14ac:dyDescent="0.25">
      <c r="A640" s="8"/>
      <c r="F640"/>
      <c r="G640"/>
      <c r="H640"/>
    </row>
    <row r="641" spans="1:8" x14ac:dyDescent="0.25">
      <c r="A641" s="8"/>
      <c r="F641"/>
      <c r="G641"/>
      <c r="H641"/>
    </row>
    <row r="642" spans="1:8" x14ac:dyDescent="0.25">
      <c r="A642" s="8"/>
      <c r="F642"/>
      <c r="G642"/>
      <c r="H642"/>
    </row>
    <row r="643" spans="1:8" x14ac:dyDescent="0.25">
      <c r="A643" s="8"/>
      <c r="F643"/>
      <c r="G643"/>
      <c r="H643"/>
    </row>
    <row r="644" spans="1:8" x14ac:dyDescent="0.25">
      <c r="A644" s="8"/>
      <c r="F644"/>
      <c r="G644"/>
      <c r="H644"/>
    </row>
    <row r="645" spans="1:8" x14ac:dyDescent="0.25">
      <c r="A645" s="8"/>
      <c r="F645"/>
      <c r="G645"/>
      <c r="H645"/>
    </row>
    <row r="646" spans="1:8" x14ac:dyDescent="0.25">
      <c r="A646" s="8"/>
      <c r="F646"/>
      <c r="G646"/>
      <c r="H646"/>
    </row>
    <row r="647" spans="1:8" x14ac:dyDescent="0.25">
      <c r="A647" s="8"/>
      <c r="F647"/>
      <c r="G647"/>
      <c r="H647"/>
    </row>
    <row r="648" spans="1:8" x14ac:dyDescent="0.25">
      <c r="A648" s="8"/>
      <c r="F648"/>
      <c r="G648"/>
      <c r="H648"/>
    </row>
    <row r="649" spans="1:8" x14ac:dyDescent="0.25">
      <c r="A649" s="8"/>
      <c r="F649"/>
      <c r="G649"/>
      <c r="H649"/>
    </row>
    <row r="650" spans="1:8" x14ac:dyDescent="0.25">
      <c r="A650" s="8"/>
    </row>
    <row r="651" spans="1:8" x14ac:dyDescent="0.25">
      <c r="A651" s="8"/>
    </row>
    <row r="652" spans="1:8" x14ac:dyDescent="0.25">
      <c r="A652" s="8"/>
    </row>
    <row r="653" spans="1:8" x14ac:dyDescent="0.25">
      <c r="A653" s="8"/>
    </row>
    <row r="654" spans="1:8" x14ac:dyDescent="0.25">
      <c r="A654" s="8"/>
    </row>
    <row r="655" spans="1:8" x14ac:dyDescent="0.25">
      <c r="A655" s="8"/>
    </row>
    <row r="656" spans="1:8" x14ac:dyDescent="0.25">
      <c r="A656" s="8"/>
    </row>
    <row r="657" spans="1:1" x14ac:dyDescent="0.25">
      <c r="A657" s="8"/>
    </row>
    <row r="658" spans="1:1" x14ac:dyDescent="0.25">
      <c r="A658" s="8"/>
    </row>
    <row r="659" spans="1:1" x14ac:dyDescent="0.25">
      <c r="A659" s="8"/>
    </row>
    <row r="660" spans="1:1" x14ac:dyDescent="0.25">
      <c r="A660" s="8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8"/>
    </row>
    <row r="669" spans="1:1" x14ac:dyDescent="0.25">
      <c r="A669" s="8"/>
    </row>
    <row r="670" spans="1:1" x14ac:dyDescent="0.25">
      <c r="A670" s="8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8"/>
    </row>
    <row r="676" spans="1:1" x14ac:dyDescent="0.25">
      <c r="A676" s="8"/>
    </row>
    <row r="677" spans="1:1" x14ac:dyDescent="0.25">
      <c r="A677" s="8"/>
    </row>
    <row r="678" spans="1:1" x14ac:dyDescent="0.25">
      <c r="A678" s="8"/>
    </row>
    <row r="679" spans="1:1" x14ac:dyDescent="0.25">
      <c r="A679" s="8"/>
    </row>
    <row r="680" spans="1:1" x14ac:dyDescent="0.25">
      <c r="A680" s="8"/>
    </row>
    <row r="681" spans="1:1" x14ac:dyDescent="0.25">
      <c r="A681" s="8"/>
    </row>
    <row r="682" spans="1:1" x14ac:dyDescent="0.25">
      <c r="A682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86" spans="1:1" x14ac:dyDescent="0.25">
      <c r="A686" s="8"/>
    </row>
    <row r="687" spans="1:1" x14ac:dyDescent="0.25">
      <c r="A687" s="8"/>
    </row>
    <row r="688" spans="1:1" x14ac:dyDescent="0.25">
      <c r="A688" s="8"/>
    </row>
    <row r="689" spans="1:1" x14ac:dyDescent="0.25">
      <c r="A689" s="8"/>
    </row>
    <row r="690" spans="1:1" x14ac:dyDescent="0.25">
      <c r="A690" s="8"/>
    </row>
    <row r="691" spans="1:1" x14ac:dyDescent="0.25">
      <c r="A691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695" spans="1:1" x14ac:dyDescent="0.25">
      <c r="A695" s="8"/>
    </row>
    <row r="696" spans="1:1" x14ac:dyDescent="0.25">
      <c r="A696" s="8"/>
    </row>
    <row r="697" spans="1:1" x14ac:dyDescent="0.25">
      <c r="A697" s="8"/>
    </row>
    <row r="698" spans="1:1" x14ac:dyDescent="0.25">
      <c r="A698" s="8"/>
    </row>
    <row r="699" spans="1:1" x14ac:dyDescent="0.25">
      <c r="A699" s="8"/>
    </row>
    <row r="700" spans="1:1" x14ac:dyDescent="0.25">
      <c r="A700" s="8"/>
    </row>
    <row r="701" spans="1:1" x14ac:dyDescent="0.25">
      <c r="A701" s="8"/>
    </row>
    <row r="702" spans="1:1" x14ac:dyDescent="0.25">
      <c r="A702" s="8"/>
    </row>
    <row r="703" spans="1:1" x14ac:dyDescent="0.25">
      <c r="A703" s="8"/>
    </row>
    <row r="704" spans="1:1" x14ac:dyDescent="0.25">
      <c r="A704" s="8"/>
    </row>
    <row r="705" spans="1:1" x14ac:dyDescent="0.25">
      <c r="A705" s="8"/>
    </row>
    <row r="706" spans="1:1" x14ac:dyDescent="0.25">
      <c r="A706" s="8"/>
    </row>
    <row r="707" spans="1:1" x14ac:dyDescent="0.25">
      <c r="A707" s="8"/>
    </row>
    <row r="708" spans="1:1" x14ac:dyDescent="0.25">
      <c r="A708" s="8"/>
    </row>
    <row r="709" spans="1:1" x14ac:dyDescent="0.25">
      <c r="A709" s="8"/>
    </row>
    <row r="710" spans="1:1" x14ac:dyDescent="0.25">
      <c r="A710" s="8"/>
    </row>
    <row r="711" spans="1:1" x14ac:dyDescent="0.25">
      <c r="A711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5" spans="1:1" x14ac:dyDescent="0.25">
      <c r="A715" s="8"/>
    </row>
    <row r="716" spans="1:1" x14ac:dyDescent="0.25">
      <c r="A716" s="8"/>
    </row>
    <row r="717" spans="1:1" x14ac:dyDescent="0.25">
      <c r="A717" s="8"/>
    </row>
    <row r="718" spans="1:1" x14ac:dyDescent="0.25">
      <c r="A718" s="8"/>
    </row>
    <row r="719" spans="1:1" x14ac:dyDescent="0.25">
      <c r="A719" s="8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8"/>
    </row>
    <row r="725" spans="1:1" x14ac:dyDescent="0.25">
      <c r="A725" s="8"/>
    </row>
    <row r="726" spans="1:1" x14ac:dyDescent="0.25">
      <c r="A726" s="8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8"/>
    </row>
    <row r="735" spans="1:1" x14ac:dyDescent="0.25">
      <c r="A735" s="8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8"/>
    </row>
    <row r="741" spans="1:1" x14ac:dyDescent="0.25">
      <c r="A741" s="8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8"/>
    </row>
    <row r="748" spans="1:1" x14ac:dyDescent="0.25">
      <c r="A748" s="8"/>
    </row>
    <row r="749" spans="1:1" x14ac:dyDescent="0.25">
      <c r="A749" s="8"/>
    </row>
    <row r="750" spans="1:1" x14ac:dyDescent="0.25">
      <c r="A750" s="8"/>
    </row>
    <row r="751" spans="1:1" x14ac:dyDescent="0.25">
      <c r="A751" s="8"/>
    </row>
    <row r="752" spans="1:1" x14ac:dyDescent="0.25">
      <c r="A752" s="8"/>
    </row>
    <row r="753" spans="1:1" x14ac:dyDescent="0.25">
      <c r="A753" s="8"/>
    </row>
    <row r="754" spans="1:1" x14ac:dyDescent="0.25">
      <c r="A754" s="8"/>
    </row>
    <row r="755" spans="1:1" x14ac:dyDescent="0.25">
      <c r="A755" s="8"/>
    </row>
    <row r="756" spans="1:1" x14ac:dyDescent="0.25">
      <c r="A756" s="8"/>
    </row>
    <row r="757" spans="1:1" x14ac:dyDescent="0.25">
      <c r="A757" s="8"/>
    </row>
    <row r="758" spans="1:1" x14ac:dyDescent="0.25">
      <c r="A758" s="8"/>
    </row>
    <row r="759" spans="1:1" x14ac:dyDescent="0.25">
      <c r="A759" s="8"/>
    </row>
    <row r="760" spans="1:1" x14ac:dyDescent="0.25">
      <c r="A760" s="8"/>
    </row>
    <row r="761" spans="1:1" x14ac:dyDescent="0.25">
      <c r="A761" s="8"/>
    </row>
    <row r="762" spans="1:1" x14ac:dyDescent="0.25">
      <c r="A762" s="8"/>
    </row>
    <row r="763" spans="1:1" x14ac:dyDescent="0.25">
      <c r="A763" s="8"/>
    </row>
    <row r="764" spans="1:1" x14ac:dyDescent="0.25">
      <c r="A764" s="8"/>
    </row>
    <row r="765" spans="1:1" x14ac:dyDescent="0.25">
      <c r="A765" s="8"/>
    </row>
    <row r="766" spans="1:1" x14ac:dyDescent="0.25">
      <c r="A766" s="8"/>
    </row>
    <row r="767" spans="1:1" x14ac:dyDescent="0.25">
      <c r="A767" s="8"/>
    </row>
    <row r="768" spans="1:1" x14ac:dyDescent="0.25">
      <c r="A768" s="8"/>
    </row>
    <row r="769" spans="1:1" x14ac:dyDescent="0.25">
      <c r="A769" s="8"/>
    </row>
    <row r="770" spans="1:1" x14ac:dyDescent="0.25">
      <c r="A770" s="8"/>
    </row>
    <row r="771" spans="1:1" x14ac:dyDescent="0.25">
      <c r="A771" s="8"/>
    </row>
    <row r="772" spans="1:1" x14ac:dyDescent="0.25">
      <c r="A772" s="8"/>
    </row>
    <row r="773" spans="1:1" x14ac:dyDescent="0.25">
      <c r="A773" s="8"/>
    </row>
    <row r="774" spans="1:1" x14ac:dyDescent="0.25">
      <c r="A774" s="8"/>
    </row>
    <row r="775" spans="1:1" x14ac:dyDescent="0.25">
      <c r="A775" s="8"/>
    </row>
    <row r="776" spans="1:1" x14ac:dyDescent="0.25">
      <c r="A776" s="8"/>
    </row>
    <row r="777" spans="1:1" x14ac:dyDescent="0.25">
      <c r="A777" s="8"/>
    </row>
    <row r="778" spans="1:1" x14ac:dyDescent="0.25">
      <c r="A778" s="8"/>
    </row>
    <row r="779" spans="1:1" x14ac:dyDescent="0.25">
      <c r="A779" s="8"/>
    </row>
    <row r="780" spans="1:1" x14ac:dyDescent="0.25">
      <c r="A780" s="8"/>
    </row>
    <row r="781" spans="1:1" x14ac:dyDescent="0.25">
      <c r="A781" s="8"/>
    </row>
    <row r="782" spans="1:1" x14ac:dyDescent="0.25">
      <c r="A782" s="8"/>
    </row>
    <row r="783" spans="1:1" x14ac:dyDescent="0.25">
      <c r="A783" s="8"/>
    </row>
    <row r="784" spans="1:1" x14ac:dyDescent="0.25">
      <c r="A784" s="8"/>
    </row>
    <row r="785" spans="1:1" x14ac:dyDescent="0.25">
      <c r="A785" s="8"/>
    </row>
    <row r="786" spans="1:1" x14ac:dyDescent="0.25">
      <c r="A786" s="8"/>
    </row>
    <row r="787" spans="1:1" x14ac:dyDescent="0.25">
      <c r="A787" s="8"/>
    </row>
    <row r="788" spans="1:1" x14ac:dyDescent="0.25">
      <c r="A788" s="8"/>
    </row>
    <row r="789" spans="1:1" x14ac:dyDescent="0.25">
      <c r="A789" s="8"/>
    </row>
    <row r="790" spans="1:1" x14ac:dyDescent="0.25">
      <c r="A790" s="8"/>
    </row>
    <row r="791" spans="1:1" x14ac:dyDescent="0.25">
      <c r="A791" s="8"/>
    </row>
    <row r="792" spans="1:1" x14ac:dyDescent="0.25">
      <c r="A792" s="8"/>
    </row>
    <row r="793" spans="1:1" x14ac:dyDescent="0.25">
      <c r="A793" s="8"/>
    </row>
    <row r="794" spans="1:1" x14ac:dyDescent="0.25">
      <c r="A794" s="8"/>
    </row>
    <row r="795" spans="1:1" x14ac:dyDescent="0.25">
      <c r="A795" s="8"/>
    </row>
    <row r="796" spans="1:1" x14ac:dyDescent="0.25">
      <c r="A796" s="8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8"/>
    </row>
    <row r="801" spans="1:1" x14ac:dyDescent="0.25">
      <c r="A801" s="8"/>
    </row>
    <row r="802" spans="1:1" x14ac:dyDescent="0.25">
      <c r="A802" s="8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8"/>
    </row>
    <row r="812" spans="1:1" x14ac:dyDescent="0.25">
      <c r="A812" s="8"/>
    </row>
    <row r="813" spans="1:1" x14ac:dyDescent="0.25">
      <c r="A813" s="8"/>
    </row>
    <row r="814" spans="1:1" x14ac:dyDescent="0.25">
      <c r="A814" s="8"/>
    </row>
    <row r="815" spans="1:1" x14ac:dyDescent="0.25">
      <c r="A815" s="8"/>
    </row>
    <row r="816" spans="1:1" x14ac:dyDescent="0.25">
      <c r="A816" s="8"/>
    </row>
    <row r="817" spans="1:1" x14ac:dyDescent="0.25">
      <c r="A817" s="8"/>
    </row>
    <row r="818" spans="1:1" x14ac:dyDescent="0.25">
      <c r="A818" s="8"/>
    </row>
    <row r="819" spans="1:1" x14ac:dyDescent="0.25">
      <c r="A819" s="8"/>
    </row>
    <row r="820" spans="1:1" x14ac:dyDescent="0.25">
      <c r="A820" s="8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8"/>
    </row>
    <row r="831" spans="1:1" x14ac:dyDescent="0.25">
      <c r="A831" s="8"/>
    </row>
    <row r="832" spans="1:1" x14ac:dyDescent="0.25">
      <c r="A832" s="8"/>
    </row>
    <row r="833" spans="1:1" x14ac:dyDescent="0.25">
      <c r="A833" s="8"/>
    </row>
    <row r="834" spans="1:1" x14ac:dyDescent="0.25">
      <c r="A834" s="8"/>
    </row>
    <row r="835" spans="1:1" x14ac:dyDescent="0.25">
      <c r="A835" s="8"/>
    </row>
    <row r="836" spans="1:1" x14ac:dyDescent="0.25">
      <c r="A836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0" spans="1:1" x14ac:dyDescent="0.25">
      <c r="A840" s="8"/>
    </row>
    <row r="841" spans="1:1" x14ac:dyDescent="0.25">
      <c r="A841" s="8"/>
    </row>
    <row r="842" spans="1:1" x14ac:dyDescent="0.25">
      <c r="A842" s="8"/>
    </row>
    <row r="843" spans="1:1" x14ac:dyDescent="0.25">
      <c r="A843" s="8"/>
    </row>
    <row r="844" spans="1:1" x14ac:dyDescent="0.25">
      <c r="A844" s="8"/>
    </row>
    <row r="845" spans="1:1" x14ac:dyDescent="0.25">
      <c r="A845" s="8"/>
    </row>
    <row r="846" spans="1:1" x14ac:dyDescent="0.25">
      <c r="A846" s="8"/>
    </row>
    <row r="847" spans="1:1" x14ac:dyDescent="0.25">
      <c r="A847" s="8"/>
    </row>
    <row r="848" spans="1:1" x14ac:dyDescent="0.25">
      <c r="A848" s="8"/>
    </row>
    <row r="849" spans="1:1" x14ac:dyDescent="0.25">
      <c r="A849" s="8"/>
    </row>
    <row r="850" spans="1:1" x14ac:dyDescent="0.25">
      <c r="A850" s="8"/>
    </row>
    <row r="851" spans="1:1" x14ac:dyDescent="0.25">
      <c r="A851" s="8"/>
    </row>
    <row r="852" spans="1:1" x14ac:dyDescent="0.25">
      <c r="A852" s="8"/>
    </row>
    <row r="853" spans="1:1" x14ac:dyDescent="0.25">
      <c r="A853" s="8"/>
    </row>
    <row r="854" spans="1:1" x14ac:dyDescent="0.25">
      <c r="A854" s="8"/>
    </row>
    <row r="855" spans="1:1" x14ac:dyDescent="0.25">
      <c r="A855" s="8"/>
    </row>
    <row r="856" spans="1:1" x14ac:dyDescent="0.25">
      <c r="A856" s="8"/>
    </row>
    <row r="857" spans="1:1" x14ac:dyDescent="0.25">
      <c r="A857" s="8"/>
    </row>
    <row r="858" spans="1:1" x14ac:dyDescent="0.25">
      <c r="A858" s="8"/>
    </row>
    <row r="859" spans="1:1" x14ac:dyDescent="0.25">
      <c r="A859" s="8"/>
    </row>
    <row r="860" spans="1:1" x14ac:dyDescent="0.25">
      <c r="A860" s="8"/>
    </row>
    <row r="861" spans="1:1" x14ac:dyDescent="0.25">
      <c r="A861" s="8"/>
    </row>
    <row r="862" spans="1:1" x14ac:dyDescent="0.25">
      <c r="A862" s="8"/>
    </row>
    <row r="863" spans="1:1" x14ac:dyDescent="0.25">
      <c r="A863" s="8"/>
    </row>
    <row r="864" spans="1:1" x14ac:dyDescent="0.25">
      <c r="A864" s="8"/>
    </row>
    <row r="865" spans="1:1" x14ac:dyDescent="0.25">
      <c r="A865" s="8"/>
    </row>
    <row r="866" spans="1:1" x14ac:dyDescent="0.25">
      <c r="A866" s="8"/>
    </row>
    <row r="867" spans="1:1" x14ac:dyDescent="0.25">
      <c r="A867" s="8"/>
    </row>
    <row r="868" spans="1:1" x14ac:dyDescent="0.25">
      <c r="A868" s="8"/>
    </row>
    <row r="869" spans="1:1" x14ac:dyDescent="0.25">
      <c r="A869" s="8"/>
    </row>
    <row r="870" spans="1:1" x14ac:dyDescent="0.25">
      <c r="A870" s="8"/>
    </row>
    <row r="871" spans="1:1" x14ac:dyDescent="0.25">
      <c r="A871" s="8"/>
    </row>
    <row r="872" spans="1:1" x14ac:dyDescent="0.25">
      <c r="A872" s="8"/>
    </row>
    <row r="873" spans="1:1" x14ac:dyDescent="0.25">
      <c r="A873" s="8"/>
    </row>
    <row r="874" spans="1:1" x14ac:dyDescent="0.25">
      <c r="A874" s="8"/>
    </row>
    <row r="875" spans="1:1" x14ac:dyDescent="0.25">
      <c r="A875" s="8"/>
    </row>
    <row r="876" spans="1:1" x14ac:dyDescent="0.25">
      <c r="A876" s="8"/>
    </row>
    <row r="877" spans="1:1" x14ac:dyDescent="0.25">
      <c r="A877" s="8"/>
    </row>
    <row r="878" spans="1:1" x14ac:dyDescent="0.25">
      <c r="A878" s="8"/>
    </row>
    <row r="879" spans="1:1" x14ac:dyDescent="0.25">
      <c r="A879" s="8"/>
    </row>
    <row r="880" spans="1:1" x14ac:dyDescent="0.25">
      <c r="A880" s="8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8"/>
    </row>
    <row r="887" spans="1:1" x14ac:dyDescent="0.25">
      <c r="A887" s="8"/>
    </row>
    <row r="888" spans="1:1" x14ac:dyDescent="0.25">
      <c r="A888" s="8"/>
    </row>
    <row r="889" spans="1:1" x14ac:dyDescent="0.25">
      <c r="A889" s="8"/>
    </row>
    <row r="890" spans="1:1" x14ac:dyDescent="0.25">
      <c r="A890" s="8"/>
    </row>
    <row r="891" spans="1:1" x14ac:dyDescent="0.25">
      <c r="A891" s="8"/>
    </row>
    <row r="892" spans="1:1" x14ac:dyDescent="0.25">
      <c r="A892" s="8"/>
    </row>
    <row r="893" spans="1:1" x14ac:dyDescent="0.25">
      <c r="A893" s="8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8"/>
    </row>
    <row r="899" spans="1:1" x14ac:dyDescent="0.25">
      <c r="A899" s="8"/>
    </row>
    <row r="900" spans="1:1" x14ac:dyDescent="0.25">
      <c r="A900" s="8"/>
    </row>
    <row r="901" spans="1:1" x14ac:dyDescent="0.25">
      <c r="A901" s="8"/>
    </row>
    <row r="902" spans="1:1" x14ac:dyDescent="0.25">
      <c r="A902" s="8"/>
    </row>
    <row r="903" spans="1:1" x14ac:dyDescent="0.25">
      <c r="A903" s="8"/>
    </row>
    <row r="904" spans="1:1" x14ac:dyDescent="0.25">
      <c r="A904" s="8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8"/>
    </row>
    <row r="909" spans="1:1" x14ac:dyDescent="0.25">
      <c r="A909" s="8"/>
    </row>
    <row r="910" spans="1:1" x14ac:dyDescent="0.25">
      <c r="A910" s="8"/>
    </row>
    <row r="911" spans="1:1" x14ac:dyDescent="0.25">
      <c r="A911" s="8"/>
    </row>
    <row r="912" spans="1:1" x14ac:dyDescent="0.25">
      <c r="A912" s="8"/>
    </row>
    <row r="913" spans="1:1" x14ac:dyDescent="0.25">
      <c r="A913" s="8"/>
    </row>
    <row r="914" spans="1:1" x14ac:dyDescent="0.25">
      <c r="A914" s="8"/>
    </row>
    <row r="915" spans="1:1" x14ac:dyDescent="0.25">
      <c r="A915" s="8"/>
    </row>
    <row r="916" spans="1:1" x14ac:dyDescent="0.25">
      <c r="A916" s="8"/>
    </row>
    <row r="917" spans="1:1" x14ac:dyDescent="0.25">
      <c r="A917" s="8"/>
    </row>
    <row r="918" spans="1:1" x14ac:dyDescent="0.25">
      <c r="A918" s="8"/>
    </row>
    <row r="919" spans="1:1" x14ac:dyDescent="0.25">
      <c r="A919" s="8"/>
    </row>
    <row r="920" spans="1:1" x14ac:dyDescent="0.25">
      <c r="A920" s="8"/>
    </row>
    <row r="921" spans="1:1" x14ac:dyDescent="0.25">
      <c r="A921" s="8"/>
    </row>
    <row r="922" spans="1:1" x14ac:dyDescent="0.25">
      <c r="A922" s="8"/>
    </row>
    <row r="923" spans="1:1" x14ac:dyDescent="0.25">
      <c r="A923" s="8"/>
    </row>
    <row r="924" spans="1:1" x14ac:dyDescent="0.25">
      <c r="A924" s="8"/>
    </row>
    <row r="925" spans="1:1" x14ac:dyDescent="0.25">
      <c r="A925" s="8"/>
    </row>
    <row r="926" spans="1:1" x14ac:dyDescent="0.25">
      <c r="A926" s="8"/>
    </row>
    <row r="927" spans="1:1" x14ac:dyDescent="0.25">
      <c r="A927" s="8"/>
    </row>
    <row r="928" spans="1:1" x14ac:dyDescent="0.25">
      <c r="A928" s="8"/>
    </row>
    <row r="929" spans="1:1" x14ac:dyDescent="0.25">
      <c r="A929" s="8"/>
    </row>
    <row r="930" spans="1:1" x14ac:dyDescent="0.25">
      <c r="A930" s="8"/>
    </row>
    <row r="931" spans="1:1" x14ac:dyDescent="0.25">
      <c r="A931" s="8"/>
    </row>
    <row r="932" spans="1:1" x14ac:dyDescent="0.25">
      <c r="A932" s="8"/>
    </row>
    <row r="933" spans="1:1" x14ac:dyDescent="0.25">
      <c r="A933" s="8"/>
    </row>
    <row r="934" spans="1:1" x14ac:dyDescent="0.25">
      <c r="A934" s="8"/>
    </row>
    <row r="935" spans="1:1" x14ac:dyDescent="0.25">
      <c r="A935" s="8"/>
    </row>
    <row r="936" spans="1:1" x14ac:dyDescent="0.25">
      <c r="A936" s="8"/>
    </row>
    <row r="937" spans="1:1" x14ac:dyDescent="0.25">
      <c r="A937" s="8"/>
    </row>
    <row r="938" spans="1:1" x14ac:dyDescent="0.25">
      <c r="A938" s="8"/>
    </row>
    <row r="939" spans="1:1" x14ac:dyDescent="0.25">
      <c r="A939" s="8"/>
    </row>
    <row r="940" spans="1:1" x14ac:dyDescent="0.25">
      <c r="A940" s="8"/>
    </row>
    <row r="941" spans="1:1" x14ac:dyDescent="0.25">
      <c r="A941" s="8"/>
    </row>
    <row r="942" spans="1:1" x14ac:dyDescent="0.25">
      <c r="A942" s="8"/>
    </row>
    <row r="943" spans="1:1" x14ac:dyDescent="0.25">
      <c r="A943" s="8"/>
    </row>
    <row r="944" spans="1:1" x14ac:dyDescent="0.25">
      <c r="A944" s="8"/>
    </row>
    <row r="945" spans="1:1" x14ac:dyDescent="0.25">
      <c r="A945" s="8"/>
    </row>
    <row r="946" spans="1:1" x14ac:dyDescent="0.25">
      <c r="A946" s="8"/>
    </row>
    <row r="947" spans="1:1" x14ac:dyDescent="0.25">
      <c r="A947" s="8"/>
    </row>
    <row r="948" spans="1:1" x14ac:dyDescent="0.25">
      <c r="A948" s="8"/>
    </row>
    <row r="949" spans="1:1" x14ac:dyDescent="0.25">
      <c r="A949" s="8"/>
    </row>
    <row r="950" spans="1:1" x14ac:dyDescent="0.25">
      <c r="A950" s="8"/>
    </row>
    <row r="951" spans="1:1" x14ac:dyDescent="0.25">
      <c r="A951" s="8"/>
    </row>
    <row r="952" spans="1:1" x14ac:dyDescent="0.25">
      <c r="A952" s="8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8"/>
    </row>
    <row r="958" spans="1:1" x14ac:dyDescent="0.25">
      <c r="A958" s="8"/>
    </row>
    <row r="959" spans="1:1" x14ac:dyDescent="0.25">
      <c r="A959" s="8"/>
    </row>
    <row r="960" spans="1:1" x14ac:dyDescent="0.25">
      <c r="A960" s="8"/>
    </row>
    <row r="961" spans="1:1" x14ac:dyDescent="0.25">
      <c r="A961" s="8"/>
    </row>
    <row r="962" spans="1:1" x14ac:dyDescent="0.25">
      <c r="A962" s="8"/>
    </row>
    <row r="963" spans="1:1" x14ac:dyDescent="0.25">
      <c r="A963" s="8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8"/>
    </row>
    <row r="970" spans="1:1" x14ac:dyDescent="0.25">
      <c r="A970" s="8"/>
    </row>
    <row r="971" spans="1:1" x14ac:dyDescent="0.25">
      <c r="A971" s="8"/>
    </row>
    <row r="972" spans="1:1" x14ac:dyDescent="0.25">
      <c r="A972" s="8"/>
    </row>
    <row r="973" spans="1:1" x14ac:dyDescent="0.25">
      <c r="A973" s="8"/>
    </row>
    <row r="974" spans="1:1" x14ac:dyDescent="0.25">
      <c r="A974" s="8"/>
    </row>
    <row r="975" spans="1:1" x14ac:dyDescent="0.25">
      <c r="A975" s="8"/>
    </row>
    <row r="976" spans="1:1" x14ac:dyDescent="0.25">
      <c r="A976" s="8"/>
    </row>
    <row r="977" spans="1:1" x14ac:dyDescent="0.25">
      <c r="A977" s="8"/>
    </row>
    <row r="978" spans="1:1" x14ac:dyDescent="0.25">
      <c r="A978" s="8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8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6" spans="1:1" x14ac:dyDescent="0.25">
      <c r="A986" s="8"/>
    </row>
    <row r="987" spans="1:1" x14ac:dyDescent="0.25">
      <c r="A987" s="8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1" spans="1:1" x14ac:dyDescent="0.25">
      <c r="A991" s="8"/>
    </row>
    <row r="992" spans="1:1" x14ac:dyDescent="0.25">
      <c r="A992" s="8"/>
    </row>
    <row r="993" spans="1:1" x14ac:dyDescent="0.25">
      <c r="A993" s="8"/>
    </row>
    <row r="994" spans="1:1" x14ac:dyDescent="0.25">
      <c r="A994" s="8"/>
    </row>
    <row r="995" spans="1:1" x14ac:dyDescent="0.25">
      <c r="A995" s="8"/>
    </row>
    <row r="996" spans="1:1" x14ac:dyDescent="0.25">
      <c r="A996" s="8"/>
    </row>
    <row r="997" spans="1:1" x14ac:dyDescent="0.25">
      <c r="A997" s="8"/>
    </row>
    <row r="998" spans="1:1" x14ac:dyDescent="0.25">
      <c r="A998" s="8"/>
    </row>
    <row r="999" spans="1:1" x14ac:dyDescent="0.25">
      <c r="A999" s="8"/>
    </row>
    <row r="1000" spans="1:1" x14ac:dyDescent="0.25">
      <c r="A1000" s="8"/>
    </row>
    <row r="1001" spans="1:1" x14ac:dyDescent="0.25">
      <c r="A1001" s="8"/>
    </row>
    <row r="1002" spans="1:1" x14ac:dyDescent="0.25">
      <c r="A1002" s="8"/>
    </row>
    <row r="1003" spans="1:1" x14ac:dyDescent="0.25">
      <c r="A1003" s="8"/>
    </row>
    <row r="1004" spans="1:1" x14ac:dyDescent="0.25">
      <c r="A1004" s="8"/>
    </row>
    <row r="1005" spans="1:1" x14ac:dyDescent="0.25">
      <c r="A1005" s="8"/>
    </row>
    <row r="1006" spans="1:1" x14ac:dyDescent="0.25">
      <c r="A1006" s="8"/>
    </row>
    <row r="1007" spans="1:1" x14ac:dyDescent="0.25">
      <c r="A1007" s="8"/>
    </row>
    <row r="1008" spans="1:1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pageSetUpPr autoPageBreaks="0"/>
  </sheetPr>
  <dimension ref="A1:AD2000"/>
  <sheetViews>
    <sheetView topLeftCell="K173" workbookViewId="0">
      <selection activeCell="A2" sqref="A2:A2000"/>
    </sheetView>
  </sheetViews>
  <sheetFormatPr defaultRowHeight="15" x14ac:dyDescent="0.25"/>
  <cols>
    <col min="1" max="1" width="10.7109375" style="2" bestFit="1" customWidth="1"/>
    <col min="2" max="2" width="16.85546875" bestFit="1" customWidth="1"/>
    <col min="3" max="3" width="7.5703125" bestFit="1" customWidth="1"/>
    <col min="4" max="4" width="6.85546875" bestFit="1" customWidth="1"/>
    <col min="5" max="5" width="6.140625" bestFit="1" customWidth="1"/>
    <col min="6" max="6" width="7.28515625" bestFit="1" customWidth="1"/>
    <col min="7" max="7" width="10.7109375" bestFit="1" customWidth="1"/>
    <col min="8" max="8" width="11" bestFit="1" customWidth="1"/>
    <col min="9" max="9" width="17" bestFit="1" customWidth="1"/>
    <col min="10" max="10" width="19.5703125" bestFit="1" customWidth="1"/>
    <col min="11" max="11" width="14.28515625" bestFit="1" customWidth="1"/>
    <col min="12" max="12" width="16.7109375" bestFit="1" customWidth="1"/>
    <col min="13" max="13" width="10.85546875" style="2" bestFit="1" customWidth="1"/>
    <col min="14" max="14" width="11" bestFit="1" customWidth="1"/>
    <col min="15" max="15" width="12.5703125" bestFit="1" customWidth="1"/>
    <col min="16" max="16" width="20" customWidth="1"/>
    <col min="17" max="17" width="33.5703125" customWidth="1"/>
    <col min="18" max="18" width="9.85546875" bestFit="1" customWidth="1"/>
    <col min="19" max="19" width="10.140625" bestFit="1" customWidth="1"/>
    <col min="20" max="20" width="9.85546875" bestFit="1" customWidth="1"/>
    <col min="21" max="21" width="8.28515625" bestFit="1" customWidth="1"/>
    <col min="22" max="22" width="8.5703125" bestFit="1" customWidth="1"/>
    <col min="23" max="23" width="6.5703125" bestFit="1" customWidth="1"/>
    <col min="24" max="24" width="27" bestFit="1" customWidth="1"/>
    <col min="25" max="25" width="18" bestFit="1" customWidth="1"/>
    <col min="26" max="26" width="20.7109375" customWidth="1"/>
    <col min="27" max="27" width="7.7109375" bestFit="1" customWidth="1"/>
    <col min="28" max="28" width="15.5703125" bestFit="1" customWidth="1"/>
    <col min="29" max="29" width="18.85546875" bestFit="1" customWidth="1"/>
    <col min="30" max="30" width="21.28515625" bestFit="1" customWidth="1"/>
  </cols>
  <sheetData>
    <row r="1" spans="1:30" x14ac:dyDescent="0.25">
      <c r="A1" s="10" t="s">
        <v>430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  <c r="K1" t="s">
        <v>140</v>
      </c>
      <c r="L1" t="s">
        <v>141</v>
      </c>
      <c r="M1" s="2" t="s">
        <v>142</v>
      </c>
      <c r="N1" t="s">
        <v>143</v>
      </c>
      <c r="O1" t="s">
        <v>144</v>
      </c>
      <c r="P1" t="s">
        <v>145</v>
      </c>
      <c r="Q1" t="s">
        <v>146</v>
      </c>
      <c r="R1" t="s">
        <v>147</v>
      </c>
      <c r="S1" t="s">
        <v>148</v>
      </c>
      <c r="T1" t="s">
        <v>127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</row>
    <row r="2" spans="1:30" x14ac:dyDescent="0.25">
      <c r="A2" s="9">
        <f>IF(M2="","",DATEVALUE(M2))</f>
        <v>42185</v>
      </c>
      <c r="B2">
        <v>50172176</v>
      </c>
      <c r="C2" s="6" t="s">
        <v>159</v>
      </c>
      <c r="D2">
        <v>1</v>
      </c>
      <c r="E2">
        <v>1</v>
      </c>
      <c r="F2">
        <v>1</v>
      </c>
      <c r="G2">
        <v>1</v>
      </c>
      <c r="H2">
        <v>1</v>
      </c>
      <c r="I2" s="6"/>
      <c r="J2" s="6"/>
      <c r="K2" s="6"/>
      <c r="L2" s="6"/>
      <c r="M2" s="2" t="s">
        <v>160</v>
      </c>
      <c r="N2" s="6" t="s">
        <v>216</v>
      </c>
      <c r="O2" s="6" t="s">
        <v>259</v>
      </c>
      <c r="P2" s="6" t="s">
        <v>287</v>
      </c>
      <c r="Q2" s="6" t="s">
        <v>291</v>
      </c>
      <c r="R2" s="6" t="s">
        <v>339</v>
      </c>
      <c r="S2" s="6" t="s">
        <v>340</v>
      </c>
      <c r="T2" s="6"/>
      <c r="U2" s="6" t="s">
        <v>343</v>
      </c>
      <c r="V2" s="6" t="s">
        <v>348</v>
      </c>
      <c r="W2" s="6"/>
      <c r="X2" s="6" t="s">
        <v>367</v>
      </c>
      <c r="Y2" s="6"/>
      <c r="Z2" s="6"/>
      <c r="AA2" s="6"/>
      <c r="AB2" s="6"/>
      <c r="AC2" s="6"/>
      <c r="AD2">
        <v>1</v>
      </c>
    </row>
    <row r="3" spans="1:30" x14ac:dyDescent="0.25">
      <c r="A3" s="9">
        <f t="shared" ref="A3:A66" si="0">IF(M3="","",DATEVALUE(M3))</f>
        <v>42271</v>
      </c>
      <c r="B3">
        <v>50171565</v>
      </c>
      <c r="C3" s="6" t="s">
        <v>159</v>
      </c>
      <c r="D3">
        <v>1</v>
      </c>
      <c r="E3">
        <v>1</v>
      </c>
      <c r="F3">
        <v>1</v>
      </c>
      <c r="G3">
        <v>1</v>
      </c>
      <c r="H3">
        <v>1</v>
      </c>
      <c r="I3" s="6"/>
      <c r="J3" s="6"/>
      <c r="K3" s="6"/>
      <c r="L3" s="6"/>
      <c r="M3" s="2" t="s">
        <v>161</v>
      </c>
      <c r="N3" s="6" t="s">
        <v>161</v>
      </c>
      <c r="O3" s="6" t="s">
        <v>260</v>
      </c>
      <c r="P3" s="6" t="s">
        <v>287</v>
      </c>
      <c r="Q3" s="6" t="s">
        <v>291</v>
      </c>
      <c r="R3" s="6" t="s">
        <v>339</v>
      </c>
      <c r="S3" s="6" t="s">
        <v>340</v>
      </c>
      <c r="T3" s="6"/>
      <c r="U3" s="6" t="s">
        <v>344</v>
      </c>
      <c r="V3" s="6" t="s">
        <v>348</v>
      </c>
      <c r="W3" s="6"/>
      <c r="X3" s="6" t="s">
        <v>368</v>
      </c>
      <c r="Y3" s="6"/>
      <c r="Z3" s="6"/>
      <c r="AA3" s="6"/>
      <c r="AB3" s="6"/>
      <c r="AC3" s="6"/>
      <c r="AD3">
        <v>2</v>
      </c>
    </row>
    <row r="4" spans="1:30" x14ac:dyDescent="0.25">
      <c r="A4" s="9">
        <f t="shared" si="0"/>
        <v>42688</v>
      </c>
      <c r="B4">
        <v>50179441</v>
      </c>
      <c r="C4" s="6" t="s">
        <v>159</v>
      </c>
      <c r="D4">
        <v>1</v>
      </c>
      <c r="E4">
        <v>1</v>
      </c>
      <c r="F4">
        <v>0</v>
      </c>
      <c r="G4">
        <v>5</v>
      </c>
      <c r="H4">
        <v>3</v>
      </c>
      <c r="I4" s="6"/>
      <c r="J4" s="6"/>
      <c r="K4" s="6"/>
      <c r="L4" s="6"/>
      <c r="M4" s="2" t="s">
        <v>162</v>
      </c>
      <c r="N4" s="6" t="s">
        <v>176</v>
      </c>
      <c r="O4" s="6" t="s">
        <v>180</v>
      </c>
      <c r="P4" s="6" t="s">
        <v>10</v>
      </c>
      <c r="Q4" s="6" t="s">
        <v>292</v>
      </c>
      <c r="R4" s="6" t="s">
        <v>562</v>
      </c>
      <c r="S4" s="6" t="s">
        <v>340</v>
      </c>
      <c r="T4" s="6"/>
      <c r="U4" s="6" t="s">
        <v>345</v>
      </c>
      <c r="V4" s="6" t="s">
        <v>348</v>
      </c>
      <c r="W4" s="6" t="s">
        <v>348</v>
      </c>
      <c r="X4" s="6"/>
      <c r="Y4" s="6" t="s">
        <v>640</v>
      </c>
      <c r="Z4" s="6"/>
      <c r="AA4" s="6"/>
      <c r="AB4" s="6"/>
      <c r="AC4" s="6"/>
      <c r="AD4">
        <v>5</v>
      </c>
    </row>
    <row r="5" spans="1:30" x14ac:dyDescent="0.25">
      <c r="A5" s="9">
        <f t="shared" si="0"/>
        <v>42597</v>
      </c>
      <c r="B5">
        <v>50180217</v>
      </c>
      <c r="C5" s="6" t="s">
        <v>159</v>
      </c>
      <c r="D5">
        <v>1</v>
      </c>
      <c r="E5">
        <v>1</v>
      </c>
      <c r="F5">
        <v>1</v>
      </c>
      <c r="G5">
        <v>10</v>
      </c>
      <c r="H5">
        <v>10</v>
      </c>
      <c r="I5" s="6"/>
      <c r="J5" s="6"/>
      <c r="K5" s="6"/>
      <c r="L5" s="6"/>
      <c r="M5" s="2" t="s">
        <v>163</v>
      </c>
      <c r="N5" s="6" t="s">
        <v>163</v>
      </c>
      <c r="O5" s="6" t="s">
        <v>261</v>
      </c>
      <c r="P5" s="6" t="s">
        <v>11</v>
      </c>
      <c r="Q5" s="6" t="s">
        <v>293</v>
      </c>
      <c r="R5" s="6" t="s">
        <v>529</v>
      </c>
      <c r="S5" s="6" t="s">
        <v>340</v>
      </c>
      <c r="T5" s="6"/>
      <c r="U5" s="6" t="s">
        <v>345</v>
      </c>
      <c r="V5" s="6" t="s">
        <v>348</v>
      </c>
      <c r="W5" s="6" t="s">
        <v>350</v>
      </c>
      <c r="X5" s="6"/>
      <c r="Y5" s="6" t="s">
        <v>641</v>
      </c>
      <c r="Z5" s="6"/>
      <c r="AA5" s="6"/>
      <c r="AB5" s="6"/>
      <c r="AC5" s="6"/>
      <c r="AD5">
        <v>6</v>
      </c>
    </row>
    <row r="6" spans="1:30" x14ac:dyDescent="0.25">
      <c r="A6" s="9">
        <f t="shared" si="0"/>
        <v>42625</v>
      </c>
      <c r="B6">
        <v>50180223</v>
      </c>
      <c r="C6" s="6" t="s">
        <v>159</v>
      </c>
      <c r="D6">
        <v>1</v>
      </c>
      <c r="E6">
        <v>1</v>
      </c>
      <c r="F6">
        <v>0</v>
      </c>
      <c r="G6">
        <v>2</v>
      </c>
      <c r="H6">
        <v>2</v>
      </c>
      <c r="I6" s="6"/>
      <c r="J6" s="6"/>
      <c r="K6" s="6"/>
      <c r="L6" s="6"/>
      <c r="M6" s="2" t="s">
        <v>166</v>
      </c>
      <c r="N6" s="6" t="s">
        <v>217</v>
      </c>
      <c r="O6" s="6" t="s">
        <v>192</v>
      </c>
      <c r="P6" s="6" t="s">
        <v>12</v>
      </c>
      <c r="Q6" s="6" t="s">
        <v>292</v>
      </c>
      <c r="R6" s="6"/>
      <c r="S6" s="6" t="s">
        <v>340</v>
      </c>
      <c r="T6" s="6"/>
      <c r="U6" s="6" t="s">
        <v>345</v>
      </c>
      <c r="V6" s="6" t="s">
        <v>348</v>
      </c>
      <c r="W6" s="6" t="s">
        <v>350</v>
      </c>
      <c r="X6" s="6" t="s">
        <v>631</v>
      </c>
      <c r="Y6" s="6"/>
      <c r="Z6" s="6"/>
      <c r="AA6" s="6"/>
      <c r="AB6" s="6"/>
      <c r="AC6" s="6"/>
      <c r="AD6">
        <v>9</v>
      </c>
    </row>
    <row r="7" spans="1:30" x14ac:dyDescent="0.25">
      <c r="A7" s="9">
        <f t="shared" si="0"/>
        <v>42625</v>
      </c>
      <c r="B7">
        <v>50181267</v>
      </c>
      <c r="C7" s="6" t="s">
        <v>159</v>
      </c>
      <c r="D7">
        <v>1</v>
      </c>
      <c r="E7">
        <v>1</v>
      </c>
      <c r="F7">
        <v>1</v>
      </c>
      <c r="G7">
        <v>25</v>
      </c>
      <c r="H7">
        <v>25</v>
      </c>
      <c r="I7" s="6"/>
      <c r="J7" s="6"/>
      <c r="K7" s="6"/>
      <c r="L7" s="6"/>
      <c r="M7" s="2" t="s">
        <v>166</v>
      </c>
      <c r="N7" s="6" t="s">
        <v>166</v>
      </c>
      <c r="O7" s="6" t="s">
        <v>192</v>
      </c>
      <c r="P7" s="6" t="s">
        <v>12</v>
      </c>
      <c r="Q7" s="6" t="s">
        <v>292</v>
      </c>
      <c r="R7" s="6" t="s">
        <v>563</v>
      </c>
      <c r="S7" s="6" t="s">
        <v>340</v>
      </c>
      <c r="T7" s="6"/>
      <c r="U7" s="6" t="s">
        <v>345</v>
      </c>
      <c r="V7" s="6" t="s">
        <v>348</v>
      </c>
      <c r="W7" s="6" t="s">
        <v>350</v>
      </c>
      <c r="X7" s="6"/>
      <c r="Y7" s="6" t="s">
        <v>394</v>
      </c>
      <c r="Z7" s="6"/>
      <c r="AA7" s="6"/>
      <c r="AB7" s="6"/>
      <c r="AC7" s="6"/>
      <c r="AD7">
        <v>10</v>
      </c>
    </row>
    <row r="8" spans="1:30" x14ac:dyDescent="0.25">
      <c r="A8" s="9">
        <f t="shared" si="0"/>
        <v>42597</v>
      </c>
      <c r="B8">
        <v>50180219</v>
      </c>
      <c r="C8" s="6" t="s">
        <v>159</v>
      </c>
      <c r="D8">
        <v>1</v>
      </c>
      <c r="E8">
        <v>1</v>
      </c>
      <c r="F8">
        <v>0</v>
      </c>
      <c r="G8">
        <v>5</v>
      </c>
      <c r="H8">
        <v>5</v>
      </c>
      <c r="I8" s="6"/>
      <c r="J8" s="6"/>
      <c r="K8" s="6"/>
      <c r="L8" s="6"/>
      <c r="M8" s="2" t="s">
        <v>163</v>
      </c>
      <c r="N8" s="6" t="s">
        <v>163</v>
      </c>
      <c r="O8" s="6" t="s">
        <v>261</v>
      </c>
      <c r="P8" s="6" t="s">
        <v>13</v>
      </c>
      <c r="Q8" s="6" t="s">
        <v>292</v>
      </c>
      <c r="R8" s="6" t="s">
        <v>564</v>
      </c>
      <c r="S8" s="6" t="s">
        <v>340</v>
      </c>
      <c r="T8" s="6"/>
      <c r="U8" s="6" t="s">
        <v>345</v>
      </c>
      <c r="V8" s="6" t="s">
        <v>348</v>
      </c>
      <c r="W8" s="6" t="s">
        <v>351</v>
      </c>
      <c r="X8" s="6"/>
      <c r="Y8" s="6" t="s">
        <v>642</v>
      </c>
      <c r="Z8" s="6"/>
      <c r="AA8" s="6"/>
      <c r="AB8" s="6"/>
      <c r="AC8" s="6"/>
      <c r="AD8">
        <v>12</v>
      </c>
    </row>
    <row r="9" spans="1:30" x14ac:dyDescent="0.25">
      <c r="A9" s="9">
        <f t="shared" si="0"/>
        <v>42583</v>
      </c>
      <c r="B9">
        <v>50180850</v>
      </c>
      <c r="C9" s="6" t="s">
        <v>159</v>
      </c>
      <c r="D9">
        <v>1</v>
      </c>
      <c r="E9">
        <v>1</v>
      </c>
      <c r="F9">
        <v>1</v>
      </c>
      <c r="G9">
        <v>10</v>
      </c>
      <c r="H9">
        <v>10</v>
      </c>
      <c r="I9" s="6"/>
      <c r="J9" s="6"/>
      <c r="K9" s="6"/>
      <c r="L9" s="6"/>
      <c r="M9" s="2" t="s">
        <v>167</v>
      </c>
      <c r="N9" s="6" t="s">
        <v>178</v>
      </c>
      <c r="O9" s="6" t="s">
        <v>237</v>
      </c>
      <c r="P9" s="6" t="s">
        <v>14</v>
      </c>
      <c r="Q9" s="6" t="s">
        <v>292</v>
      </c>
      <c r="R9" s="6" t="s">
        <v>565</v>
      </c>
      <c r="S9" s="6" t="s">
        <v>340</v>
      </c>
      <c r="T9" s="6"/>
      <c r="U9" s="6" t="s">
        <v>345</v>
      </c>
      <c r="V9" s="6" t="s">
        <v>348</v>
      </c>
      <c r="W9" s="6" t="s">
        <v>351</v>
      </c>
      <c r="X9" s="6"/>
      <c r="Y9" s="6" t="s">
        <v>643</v>
      </c>
      <c r="Z9" s="6"/>
      <c r="AA9" s="6"/>
      <c r="AB9" s="6"/>
      <c r="AC9" s="6"/>
      <c r="AD9">
        <v>13</v>
      </c>
    </row>
    <row r="10" spans="1:30" x14ac:dyDescent="0.25">
      <c r="A10" s="9">
        <f t="shared" si="0"/>
        <v>42657</v>
      </c>
      <c r="B10">
        <v>50177336</v>
      </c>
      <c r="C10" s="6" t="s">
        <v>159</v>
      </c>
      <c r="D10">
        <v>1</v>
      </c>
      <c r="E10">
        <v>1</v>
      </c>
      <c r="F10">
        <v>1</v>
      </c>
      <c r="G10">
        <v>3</v>
      </c>
      <c r="H10">
        <v>3</v>
      </c>
      <c r="I10" s="6"/>
      <c r="J10" s="6"/>
      <c r="K10" s="6"/>
      <c r="L10" s="6"/>
      <c r="M10" s="2" t="s">
        <v>168</v>
      </c>
      <c r="N10" s="6" t="s">
        <v>218</v>
      </c>
      <c r="O10" s="6" t="s">
        <v>199</v>
      </c>
      <c r="P10" s="6" t="s">
        <v>14</v>
      </c>
      <c r="Q10" s="6" t="s">
        <v>292</v>
      </c>
      <c r="R10" s="6"/>
      <c r="S10" s="6" t="s">
        <v>340</v>
      </c>
      <c r="T10" s="6"/>
      <c r="U10" s="6" t="s">
        <v>345</v>
      </c>
      <c r="V10" s="6" t="s">
        <v>348</v>
      </c>
      <c r="W10" s="6" t="s">
        <v>351</v>
      </c>
      <c r="X10" s="6" t="s">
        <v>369</v>
      </c>
      <c r="Y10" s="6"/>
      <c r="Z10" s="6"/>
      <c r="AA10" s="6"/>
      <c r="AB10" s="6"/>
      <c r="AC10" s="6"/>
      <c r="AD10">
        <v>14</v>
      </c>
    </row>
    <row r="11" spans="1:30" x14ac:dyDescent="0.25">
      <c r="A11" s="9">
        <f t="shared" si="0"/>
        <v>42674</v>
      </c>
      <c r="B11">
        <v>50177698</v>
      </c>
      <c r="C11" s="6" t="s">
        <v>159</v>
      </c>
      <c r="D11">
        <v>1</v>
      </c>
      <c r="E11">
        <v>1</v>
      </c>
      <c r="F11">
        <v>1</v>
      </c>
      <c r="G11">
        <v>1</v>
      </c>
      <c r="H11">
        <v>1</v>
      </c>
      <c r="I11" s="6"/>
      <c r="J11" s="6"/>
      <c r="K11" s="6"/>
      <c r="L11" s="6"/>
      <c r="M11" s="2" t="s">
        <v>169</v>
      </c>
      <c r="N11" s="6" t="s">
        <v>218</v>
      </c>
      <c r="O11" s="6" t="s">
        <v>183</v>
      </c>
      <c r="P11" s="6" t="s">
        <v>15</v>
      </c>
      <c r="Q11" s="6" t="s">
        <v>292</v>
      </c>
      <c r="R11" s="6"/>
      <c r="S11" s="6" t="s">
        <v>340</v>
      </c>
      <c r="T11" s="6"/>
      <c r="U11" s="6" t="s">
        <v>345</v>
      </c>
      <c r="V11" s="6" t="s">
        <v>348</v>
      </c>
      <c r="W11" s="6" t="s">
        <v>348</v>
      </c>
      <c r="X11" s="6" t="s">
        <v>369</v>
      </c>
      <c r="Y11" s="6"/>
      <c r="Z11" s="6"/>
      <c r="AA11" s="6"/>
      <c r="AB11" s="6"/>
      <c r="AC11" s="6"/>
      <c r="AD11">
        <v>17</v>
      </c>
    </row>
    <row r="12" spans="1:30" x14ac:dyDescent="0.25">
      <c r="A12" s="9">
        <f t="shared" si="0"/>
        <v>42604</v>
      </c>
      <c r="B12">
        <v>50181038</v>
      </c>
      <c r="C12" s="6" t="s">
        <v>159</v>
      </c>
      <c r="D12">
        <v>1</v>
      </c>
      <c r="E12">
        <v>1</v>
      </c>
      <c r="F12">
        <v>1</v>
      </c>
      <c r="G12">
        <v>6</v>
      </c>
      <c r="H12">
        <v>6</v>
      </c>
      <c r="I12" s="6"/>
      <c r="J12" s="6"/>
      <c r="K12" s="6"/>
      <c r="L12" s="6"/>
      <c r="M12" s="2" t="s">
        <v>179</v>
      </c>
      <c r="N12" s="6" t="s">
        <v>189</v>
      </c>
      <c r="O12" s="6" t="s">
        <v>211</v>
      </c>
      <c r="P12" s="6" t="s">
        <v>16</v>
      </c>
      <c r="Q12" s="6" t="s">
        <v>292</v>
      </c>
      <c r="R12" s="6" t="s">
        <v>566</v>
      </c>
      <c r="S12" s="6" t="s">
        <v>340</v>
      </c>
      <c r="T12" s="6"/>
      <c r="U12" s="6" t="s">
        <v>345</v>
      </c>
      <c r="V12" s="6" t="s">
        <v>348</v>
      </c>
      <c r="W12" s="6" t="s">
        <v>352</v>
      </c>
      <c r="X12" s="6"/>
      <c r="Y12" s="6" t="s">
        <v>644</v>
      </c>
      <c r="Z12" s="6"/>
      <c r="AA12" s="6"/>
      <c r="AB12" s="6"/>
      <c r="AC12" s="6"/>
      <c r="AD12">
        <v>18</v>
      </c>
    </row>
    <row r="13" spans="1:30" x14ac:dyDescent="0.25">
      <c r="A13" s="9">
        <f t="shared" si="0"/>
        <v>42639</v>
      </c>
      <c r="B13">
        <v>50181948</v>
      </c>
      <c r="C13" s="6" t="s">
        <v>159</v>
      </c>
      <c r="D13">
        <v>1</v>
      </c>
      <c r="E13">
        <v>1</v>
      </c>
      <c r="F13">
        <v>1</v>
      </c>
      <c r="G13">
        <v>10</v>
      </c>
      <c r="H13">
        <v>10</v>
      </c>
      <c r="I13" s="6"/>
      <c r="J13" s="6"/>
      <c r="K13" s="6"/>
      <c r="L13" s="6"/>
      <c r="M13" s="2" t="s">
        <v>173</v>
      </c>
      <c r="N13" s="6" t="s">
        <v>173</v>
      </c>
      <c r="O13" s="6" t="s">
        <v>206</v>
      </c>
      <c r="P13" s="6" t="s">
        <v>16</v>
      </c>
      <c r="Q13" s="6" t="s">
        <v>292</v>
      </c>
      <c r="R13" s="6" t="s">
        <v>339</v>
      </c>
      <c r="S13" s="6" t="s">
        <v>340</v>
      </c>
      <c r="T13" s="6"/>
      <c r="U13" s="6" t="s">
        <v>345</v>
      </c>
      <c r="V13" s="6" t="s">
        <v>348</v>
      </c>
      <c r="W13" s="6" t="s">
        <v>352</v>
      </c>
      <c r="X13" s="6"/>
      <c r="Y13" s="6" t="s">
        <v>394</v>
      </c>
      <c r="Z13" s="6"/>
      <c r="AA13" s="6"/>
      <c r="AB13" s="6"/>
      <c r="AC13" s="6"/>
      <c r="AD13">
        <v>19</v>
      </c>
    </row>
    <row r="14" spans="1:30" x14ac:dyDescent="0.25">
      <c r="A14" s="9">
        <f t="shared" si="0"/>
        <v>42674</v>
      </c>
      <c r="B14">
        <v>50173720</v>
      </c>
      <c r="C14" s="6" t="s">
        <v>159</v>
      </c>
      <c r="D14">
        <v>1</v>
      </c>
      <c r="E14">
        <v>1</v>
      </c>
      <c r="F14">
        <v>1</v>
      </c>
      <c r="G14">
        <v>1</v>
      </c>
      <c r="H14">
        <v>1</v>
      </c>
      <c r="I14" s="6"/>
      <c r="J14" s="6"/>
      <c r="K14" s="6"/>
      <c r="L14" s="6"/>
      <c r="M14" s="2" t="s">
        <v>169</v>
      </c>
      <c r="N14" s="6" t="s">
        <v>214</v>
      </c>
      <c r="O14" s="6" t="s">
        <v>183</v>
      </c>
      <c r="P14" s="6" t="s">
        <v>16</v>
      </c>
      <c r="Q14" s="6" t="s">
        <v>292</v>
      </c>
      <c r="R14" s="6"/>
      <c r="S14" s="6" t="s">
        <v>340</v>
      </c>
      <c r="T14" s="6"/>
      <c r="U14" s="6" t="s">
        <v>345</v>
      </c>
      <c r="V14" s="6" t="s">
        <v>348</v>
      </c>
      <c r="W14" s="6" t="s">
        <v>352</v>
      </c>
      <c r="X14" s="6" t="s">
        <v>370</v>
      </c>
      <c r="Y14" s="6"/>
      <c r="Z14" s="6"/>
      <c r="AA14" s="6"/>
      <c r="AB14" s="6"/>
      <c r="AC14" s="6"/>
      <c r="AD14">
        <v>21</v>
      </c>
    </row>
    <row r="15" spans="1:30" x14ac:dyDescent="0.25">
      <c r="A15" s="9">
        <f t="shared" si="0"/>
        <v>42639</v>
      </c>
      <c r="B15">
        <v>50180148</v>
      </c>
      <c r="C15" s="6" t="s">
        <v>159</v>
      </c>
      <c r="D15">
        <v>1</v>
      </c>
      <c r="E15">
        <v>1</v>
      </c>
      <c r="F15">
        <v>1</v>
      </c>
      <c r="G15">
        <v>8</v>
      </c>
      <c r="H15">
        <v>8</v>
      </c>
      <c r="I15" s="6"/>
      <c r="J15" s="6"/>
      <c r="K15" s="6"/>
      <c r="L15" s="6"/>
      <c r="M15" s="2" t="s">
        <v>173</v>
      </c>
      <c r="N15" s="6" t="s">
        <v>195</v>
      </c>
      <c r="O15" s="6" t="s">
        <v>206</v>
      </c>
      <c r="P15" s="6" t="s">
        <v>17</v>
      </c>
      <c r="Q15" s="6" t="s">
        <v>292</v>
      </c>
      <c r="R15" s="6" t="s">
        <v>567</v>
      </c>
      <c r="S15" s="6" t="s">
        <v>340</v>
      </c>
      <c r="T15" s="6"/>
      <c r="U15" s="6" t="s">
        <v>345</v>
      </c>
      <c r="V15" s="6" t="s">
        <v>348</v>
      </c>
      <c r="W15" s="6" t="s">
        <v>353</v>
      </c>
      <c r="X15" s="6"/>
      <c r="Y15" s="6" t="s">
        <v>641</v>
      </c>
      <c r="Z15" s="6"/>
      <c r="AA15" s="6"/>
      <c r="AB15" s="6"/>
      <c r="AC15" s="6"/>
      <c r="AD15">
        <v>28</v>
      </c>
    </row>
    <row r="16" spans="1:30" x14ac:dyDescent="0.25">
      <c r="A16" s="9">
        <f t="shared" si="0"/>
        <v>42639</v>
      </c>
      <c r="B16">
        <v>50181556</v>
      </c>
      <c r="C16" s="6" t="s">
        <v>159</v>
      </c>
      <c r="D16">
        <v>1</v>
      </c>
      <c r="E16">
        <v>1</v>
      </c>
      <c r="F16">
        <v>1</v>
      </c>
      <c r="G16">
        <v>7</v>
      </c>
      <c r="H16">
        <v>7</v>
      </c>
      <c r="I16" s="6"/>
      <c r="J16" s="6"/>
      <c r="K16" s="6"/>
      <c r="L16" s="6"/>
      <c r="M16" s="2" t="s">
        <v>173</v>
      </c>
      <c r="N16" s="6" t="s">
        <v>173</v>
      </c>
      <c r="O16" s="6" t="s">
        <v>206</v>
      </c>
      <c r="P16" s="6" t="s">
        <v>17</v>
      </c>
      <c r="Q16" s="6" t="s">
        <v>292</v>
      </c>
      <c r="R16" s="6" t="s">
        <v>567</v>
      </c>
      <c r="S16" s="6" t="s">
        <v>340</v>
      </c>
      <c r="T16" s="6"/>
      <c r="U16" s="6" t="s">
        <v>345</v>
      </c>
      <c r="V16" s="6" t="s">
        <v>348</v>
      </c>
      <c r="W16" s="6" t="s">
        <v>353</v>
      </c>
      <c r="X16" s="6"/>
      <c r="Y16" s="6" t="s">
        <v>394</v>
      </c>
      <c r="Z16" s="6"/>
      <c r="AA16" s="6"/>
      <c r="AB16" s="6"/>
      <c r="AC16" s="6"/>
      <c r="AD16">
        <v>29</v>
      </c>
    </row>
    <row r="17" spans="1:30" x14ac:dyDescent="0.25">
      <c r="A17" s="9">
        <f t="shared" si="0"/>
        <v>42597</v>
      </c>
      <c r="B17">
        <v>50180220</v>
      </c>
      <c r="C17" s="6" t="s">
        <v>159</v>
      </c>
      <c r="D17">
        <v>1</v>
      </c>
      <c r="E17">
        <v>1</v>
      </c>
      <c r="F17">
        <v>0</v>
      </c>
      <c r="G17">
        <v>15</v>
      </c>
      <c r="H17">
        <v>15</v>
      </c>
      <c r="I17" s="6"/>
      <c r="J17" s="6"/>
      <c r="K17" s="6"/>
      <c r="L17" s="6"/>
      <c r="M17" s="2" t="s">
        <v>163</v>
      </c>
      <c r="N17" s="6" t="s">
        <v>163</v>
      </c>
      <c r="O17" s="6" t="s">
        <v>261</v>
      </c>
      <c r="P17" s="6" t="s">
        <v>18</v>
      </c>
      <c r="Q17" s="6" t="s">
        <v>292</v>
      </c>
      <c r="R17" s="6" t="s">
        <v>568</v>
      </c>
      <c r="S17" s="6" t="s">
        <v>340</v>
      </c>
      <c r="T17" s="6"/>
      <c r="U17" s="6" t="s">
        <v>345</v>
      </c>
      <c r="V17" s="6" t="s">
        <v>348</v>
      </c>
      <c r="W17" s="6" t="s">
        <v>354</v>
      </c>
      <c r="X17" s="6"/>
      <c r="Y17" s="6" t="s">
        <v>641</v>
      </c>
      <c r="Z17" s="6"/>
      <c r="AA17" s="6"/>
      <c r="AB17" s="6"/>
      <c r="AC17" s="6"/>
      <c r="AD17">
        <v>31</v>
      </c>
    </row>
    <row r="18" spans="1:30" x14ac:dyDescent="0.25">
      <c r="A18" s="9">
        <f t="shared" si="0"/>
        <v>42660</v>
      </c>
      <c r="B18">
        <v>50173714</v>
      </c>
      <c r="C18" s="6" t="s">
        <v>159</v>
      </c>
      <c r="D18">
        <v>1</v>
      </c>
      <c r="E18">
        <v>1</v>
      </c>
      <c r="F18">
        <v>0</v>
      </c>
      <c r="G18">
        <v>1</v>
      </c>
      <c r="H18">
        <v>1</v>
      </c>
      <c r="I18" s="6"/>
      <c r="J18" s="6"/>
      <c r="K18" s="6"/>
      <c r="L18" s="6"/>
      <c r="M18" s="2" t="s">
        <v>175</v>
      </c>
      <c r="N18" s="6" t="s">
        <v>214</v>
      </c>
      <c r="O18" s="6" t="s">
        <v>178</v>
      </c>
      <c r="P18" s="6" t="s">
        <v>19</v>
      </c>
      <c r="Q18" s="6" t="s">
        <v>292</v>
      </c>
      <c r="R18" s="6"/>
      <c r="S18" s="6" t="s">
        <v>340</v>
      </c>
      <c r="T18" s="6"/>
      <c r="U18" s="6" t="s">
        <v>345</v>
      </c>
      <c r="V18" s="6" t="s">
        <v>348</v>
      </c>
      <c r="W18" s="6" t="s">
        <v>352</v>
      </c>
      <c r="X18" s="6" t="s">
        <v>370</v>
      </c>
      <c r="Y18" s="6"/>
      <c r="Z18" s="6"/>
      <c r="AA18" s="6"/>
      <c r="AB18" s="6"/>
      <c r="AC18" s="6"/>
      <c r="AD18">
        <v>34</v>
      </c>
    </row>
    <row r="19" spans="1:30" x14ac:dyDescent="0.25">
      <c r="A19" s="9">
        <f t="shared" si="0"/>
        <v>42625</v>
      </c>
      <c r="B19">
        <v>50181268</v>
      </c>
      <c r="C19" s="6" t="s">
        <v>159</v>
      </c>
      <c r="D19">
        <v>1</v>
      </c>
      <c r="E19">
        <v>1</v>
      </c>
      <c r="F19">
        <v>1</v>
      </c>
      <c r="G19">
        <v>8</v>
      </c>
      <c r="H19">
        <v>8</v>
      </c>
      <c r="I19" s="6"/>
      <c r="J19" s="6"/>
      <c r="K19" s="6"/>
      <c r="L19" s="6"/>
      <c r="M19" s="2" t="s">
        <v>166</v>
      </c>
      <c r="N19" s="6" t="s">
        <v>166</v>
      </c>
      <c r="O19" s="6" t="s">
        <v>192</v>
      </c>
      <c r="P19" s="6" t="s">
        <v>22</v>
      </c>
      <c r="Q19" s="6" t="s">
        <v>292</v>
      </c>
      <c r="R19" s="6"/>
      <c r="S19" s="6" t="s">
        <v>340</v>
      </c>
      <c r="T19" s="6"/>
      <c r="U19" s="6" t="s">
        <v>345</v>
      </c>
      <c r="V19" s="6" t="s">
        <v>348</v>
      </c>
      <c r="W19" s="6" t="s">
        <v>353</v>
      </c>
      <c r="X19" s="6"/>
      <c r="Y19" s="6" t="s">
        <v>394</v>
      </c>
      <c r="Z19" s="6"/>
      <c r="AA19" s="6"/>
      <c r="AB19" s="6"/>
      <c r="AC19" s="6"/>
      <c r="AD19">
        <v>36</v>
      </c>
    </row>
    <row r="20" spans="1:30" x14ac:dyDescent="0.25">
      <c r="A20" s="9">
        <f t="shared" si="0"/>
        <v>42579</v>
      </c>
      <c r="B20">
        <v>50180758</v>
      </c>
      <c r="C20" s="6" t="s">
        <v>159</v>
      </c>
      <c r="D20">
        <v>1</v>
      </c>
      <c r="E20">
        <v>1</v>
      </c>
      <c r="F20">
        <v>1</v>
      </c>
      <c r="G20">
        <v>5</v>
      </c>
      <c r="H20">
        <v>5</v>
      </c>
      <c r="I20" s="6"/>
      <c r="J20" s="6"/>
      <c r="K20" s="6"/>
      <c r="L20" s="6"/>
      <c r="M20" s="2" t="s">
        <v>186</v>
      </c>
      <c r="N20" s="6" t="s">
        <v>170</v>
      </c>
      <c r="O20" s="6" t="s">
        <v>265</v>
      </c>
      <c r="P20" s="6" t="s">
        <v>23</v>
      </c>
      <c r="Q20" s="6" t="s">
        <v>292</v>
      </c>
      <c r="R20" s="6"/>
      <c r="S20" s="6" t="s">
        <v>340</v>
      </c>
      <c r="T20" s="6"/>
      <c r="U20" s="6" t="s">
        <v>345</v>
      </c>
      <c r="V20" s="6" t="s">
        <v>348</v>
      </c>
      <c r="W20" s="6" t="s">
        <v>353</v>
      </c>
      <c r="X20" s="6"/>
      <c r="Y20" s="6" t="s">
        <v>396</v>
      </c>
      <c r="Z20" s="6"/>
      <c r="AA20" s="6"/>
      <c r="AB20" s="6"/>
      <c r="AC20" s="6"/>
      <c r="AD20">
        <v>37</v>
      </c>
    </row>
    <row r="21" spans="1:30" x14ac:dyDescent="0.25">
      <c r="A21" s="9">
        <f t="shared" si="0"/>
        <v>42632</v>
      </c>
      <c r="B21">
        <v>50181545</v>
      </c>
      <c r="C21" s="6" t="s">
        <v>159</v>
      </c>
      <c r="D21">
        <v>1</v>
      </c>
      <c r="E21">
        <v>1</v>
      </c>
      <c r="F21">
        <v>1</v>
      </c>
      <c r="G21">
        <v>10</v>
      </c>
      <c r="H21">
        <v>10</v>
      </c>
      <c r="I21" s="6"/>
      <c r="J21" s="6"/>
      <c r="K21" s="6"/>
      <c r="L21" s="6"/>
      <c r="M21" s="2" t="s">
        <v>177</v>
      </c>
      <c r="N21" s="6" t="s">
        <v>177</v>
      </c>
      <c r="O21" s="6" t="s">
        <v>167</v>
      </c>
      <c r="P21" s="6" t="s">
        <v>23</v>
      </c>
      <c r="Q21" s="6" t="s">
        <v>292</v>
      </c>
      <c r="R21" s="6"/>
      <c r="S21" s="6" t="s">
        <v>340</v>
      </c>
      <c r="T21" s="6"/>
      <c r="U21" s="6" t="s">
        <v>345</v>
      </c>
      <c r="V21" s="6" t="s">
        <v>348</v>
      </c>
      <c r="W21" s="6" t="s">
        <v>353</v>
      </c>
      <c r="X21" s="6"/>
      <c r="Y21" s="6" t="s">
        <v>394</v>
      </c>
      <c r="Z21" s="6"/>
      <c r="AA21" s="6"/>
      <c r="AB21" s="6"/>
      <c r="AC21" s="6"/>
      <c r="AD21">
        <v>38</v>
      </c>
    </row>
    <row r="22" spans="1:30" x14ac:dyDescent="0.25">
      <c r="A22" s="9">
        <f t="shared" si="0"/>
        <v>42611</v>
      </c>
      <c r="B22">
        <v>50181307</v>
      </c>
      <c r="C22" s="6" t="s">
        <v>159</v>
      </c>
      <c r="D22">
        <v>1</v>
      </c>
      <c r="E22">
        <v>1</v>
      </c>
      <c r="F22">
        <v>1</v>
      </c>
      <c r="G22">
        <v>6</v>
      </c>
      <c r="H22">
        <v>6</v>
      </c>
      <c r="I22" s="6"/>
      <c r="J22" s="6"/>
      <c r="K22" s="6"/>
      <c r="L22" s="6"/>
      <c r="M22" s="2" t="s">
        <v>178</v>
      </c>
      <c r="N22" s="6" t="s">
        <v>201</v>
      </c>
      <c r="O22" s="6" t="s">
        <v>210</v>
      </c>
      <c r="P22" s="6" t="s">
        <v>128</v>
      </c>
      <c r="Q22" s="6" t="s">
        <v>294</v>
      </c>
      <c r="R22" s="6"/>
      <c r="S22" s="6" t="s">
        <v>340</v>
      </c>
      <c r="T22" s="6"/>
      <c r="U22" s="6" t="s">
        <v>345</v>
      </c>
      <c r="V22" s="6" t="s">
        <v>348</v>
      </c>
      <c r="W22" s="6" t="s">
        <v>356</v>
      </c>
      <c r="X22" s="6" t="s">
        <v>371</v>
      </c>
      <c r="Y22" s="6" t="s">
        <v>397</v>
      </c>
      <c r="Z22" s="6"/>
      <c r="AA22" s="6"/>
      <c r="AB22" s="6"/>
      <c r="AC22" s="6"/>
      <c r="AD22">
        <v>43</v>
      </c>
    </row>
    <row r="23" spans="1:30" x14ac:dyDescent="0.25">
      <c r="A23" s="9">
        <f t="shared" si="0"/>
        <v>42601</v>
      </c>
      <c r="B23">
        <v>50180719</v>
      </c>
      <c r="C23" s="6" t="s">
        <v>159</v>
      </c>
      <c r="D23">
        <v>1</v>
      </c>
      <c r="E23">
        <v>1</v>
      </c>
      <c r="F23">
        <v>1</v>
      </c>
      <c r="G23">
        <v>50</v>
      </c>
      <c r="H23">
        <v>50</v>
      </c>
      <c r="I23" s="6"/>
      <c r="J23" s="6"/>
      <c r="K23" s="6"/>
      <c r="L23" s="6"/>
      <c r="M23" s="2" t="s">
        <v>262</v>
      </c>
      <c r="N23" s="6" t="s">
        <v>173</v>
      </c>
      <c r="O23" s="6" t="s">
        <v>198</v>
      </c>
      <c r="P23" s="6" t="s">
        <v>38</v>
      </c>
      <c r="Q23" s="6" t="s">
        <v>291</v>
      </c>
      <c r="R23" s="6" t="s">
        <v>569</v>
      </c>
      <c r="S23" s="6" t="s">
        <v>340</v>
      </c>
      <c r="T23" s="6"/>
      <c r="U23" s="6" t="s">
        <v>345</v>
      </c>
      <c r="V23" s="6" t="s">
        <v>348</v>
      </c>
      <c r="W23" s="6" t="s">
        <v>351</v>
      </c>
      <c r="X23" s="6" t="s">
        <v>452</v>
      </c>
      <c r="Y23" s="6" t="s">
        <v>445</v>
      </c>
      <c r="Z23" s="6"/>
      <c r="AA23" s="6"/>
      <c r="AB23" s="6"/>
      <c r="AC23" s="6"/>
      <c r="AD23">
        <v>44</v>
      </c>
    </row>
    <row r="24" spans="1:30" x14ac:dyDescent="0.25">
      <c r="A24" s="9">
        <f t="shared" si="0"/>
        <v>42604</v>
      </c>
      <c r="B24">
        <v>50180720</v>
      </c>
      <c r="C24" s="6" t="s">
        <v>159</v>
      </c>
      <c r="D24">
        <v>1</v>
      </c>
      <c r="E24">
        <v>1</v>
      </c>
      <c r="F24">
        <v>1</v>
      </c>
      <c r="G24">
        <v>50</v>
      </c>
      <c r="H24">
        <v>50</v>
      </c>
      <c r="I24" s="6"/>
      <c r="J24" s="6"/>
      <c r="K24" s="6"/>
      <c r="L24" s="6"/>
      <c r="M24" s="2" t="s">
        <v>179</v>
      </c>
      <c r="N24" s="6" t="s">
        <v>173</v>
      </c>
      <c r="O24" s="6" t="s">
        <v>206</v>
      </c>
      <c r="P24" s="6" t="s">
        <v>38</v>
      </c>
      <c r="Q24" s="6" t="s">
        <v>291</v>
      </c>
      <c r="R24" s="6" t="s">
        <v>532</v>
      </c>
      <c r="S24" s="6" t="s">
        <v>340</v>
      </c>
      <c r="T24" s="6"/>
      <c r="U24" s="6" t="s">
        <v>345</v>
      </c>
      <c r="V24" s="6" t="s">
        <v>348</v>
      </c>
      <c r="W24" s="6" t="s">
        <v>351</v>
      </c>
      <c r="X24" s="6"/>
      <c r="Y24" s="6" t="s">
        <v>394</v>
      </c>
      <c r="Z24" s="6"/>
      <c r="AA24" s="6"/>
      <c r="AB24" s="6"/>
      <c r="AC24" s="6"/>
      <c r="AD24">
        <v>45</v>
      </c>
    </row>
    <row r="25" spans="1:30" x14ac:dyDescent="0.25">
      <c r="A25" s="9">
        <f t="shared" si="0"/>
        <v>42632</v>
      </c>
      <c r="B25">
        <v>50181671</v>
      </c>
      <c r="C25" s="6" t="s">
        <v>159</v>
      </c>
      <c r="D25">
        <v>1</v>
      </c>
      <c r="E25">
        <v>1</v>
      </c>
      <c r="F25">
        <v>1</v>
      </c>
      <c r="G25">
        <v>40</v>
      </c>
      <c r="H25">
        <v>40</v>
      </c>
      <c r="I25" s="6"/>
      <c r="J25" s="6"/>
      <c r="K25" s="6"/>
      <c r="L25" s="6"/>
      <c r="M25" s="2" t="s">
        <v>177</v>
      </c>
      <c r="N25" s="6" t="s">
        <v>164</v>
      </c>
      <c r="O25" s="6" t="s">
        <v>280</v>
      </c>
      <c r="P25" s="6" t="s">
        <v>38</v>
      </c>
      <c r="Q25" s="6" t="s">
        <v>291</v>
      </c>
      <c r="R25" s="6" t="s">
        <v>570</v>
      </c>
      <c r="S25" s="6" t="s">
        <v>340</v>
      </c>
      <c r="T25" s="6"/>
      <c r="U25" s="6" t="s">
        <v>345</v>
      </c>
      <c r="V25" s="6" t="s">
        <v>348</v>
      </c>
      <c r="W25" s="6" t="s">
        <v>351</v>
      </c>
      <c r="X25" s="6" t="s">
        <v>452</v>
      </c>
      <c r="Y25" s="6" t="s">
        <v>456</v>
      </c>
      <c r="Z25" s="6"/>
      <c r="AA25" s="6"/>
      <c r="AB25" s="6"/>
      <c r="AC25" s="6"/>
      <c r="AD25">
        <v>46</v>
      </c>
    </row>
    <row r="26" spans="1:30" x14ac:dyDescent="0.25">
      <c r="A26" s="9">
        <f t="shared" si="0"/>
        <v>42640</v>
      </c>
      <c r="B26">
        <v>50178967</v>
      </c>
      <c r="C26" s="6" t="s">
        <v>159</v>
      </c>
      <c r="D26">
        <v>1</v>
      </c>
      <c r="E26">
        <v>1</v>
      </c>
      <c r="F26">
        <v>1</v>
      </c>
      <c r="G26">
        <v>20</v>
      </c>
      <c r="H26">
        <v>20</v>
      </c>
      <c r="I26" s="6"/>
      <c r="J26" s="6"/>
      <c r="K26" s="6"/>
      <c r="L26" s="6"/>
      <c r="M26" s="2" t="s">
        <v>180</v>
      </c>
      <c r="N26" s="6" t="s">
        <v>182</v>
      </c>
      <c r="O26" s="6" t="s">
        <v>166</v>
      </c>
      <c r="P26" s="6" t="s">
        <v>38</v>
      </c>
      <c r="Q26" s="6" t="s">
        <v>291</v>
      </c>
      <c r="R26" s="6"/>
      <c r="S26" s="6" t="s">
        <v>340</v>
      </c>
      <c r="T26" s="6"/>
      <c r="U26" s="6" t="s">
        <v>345</v>
      </c>
      <c r="V26" s="6" t="s">
        <v>348</v>
      </c>
      <c r="W26" s="6" t="s">
        <v>351</v>
      </c>
      <c r="X26" s="6" t="s">
        <v>372</v>
      </c>
      <c r="Y26" s="6" t="s">
        <v>398</v>
      </c>
      <c r="Z26" s="6" t="s">
        <v>426</v>
      </c>
      <c r="AA26" s="6"/>
      <c r="AB26" s="6"/>
      <c r="AC26" s="6"/>
      <c r="AD26">
        <v>47</v>
      </c>
    </row>
    <row r="27" spans="1:30" x14ac:dyDescent="0.25">
      <c r="A27" s="9">
        <f t="shared" si="0"/>
        <v>42642</v>
      </c>
      <c r="B27">
        <v>50180657</v>
      </c>
      <c r="C27" s="6" t="s">
        <v>159</v>
      </c>
      <c r="D27">
        <v>1</v>
      </c>
      <c r="E27">
        <v>1</v>
      </c>
      <c r="F27">
        <v>1</v>
      </c>
      <c r="G27">
        <v>50</v>
      </c>
      <c r="H27">
        <v>50</v>
      </c>
      <c r="I27" s="6"/>
      <c r="J27" s="6"/>
      <c r="K27" s="6"/>
      <c r="L27" s="6"/>
      <c r="M27" s="2" t="s">
        <v>181</v>
      </c>
      <c r="N27" s="6" t="s">
        <v>179</v>
      </c>
      <c r="O27" s="6" t="s">
        <v>207</v>
      </c>
      <c r="P27" s="6" t="s">
        <v>38</v>
      </c>
      <c r="Q27" s="6" t="s">
        <v>291</v>
      </c>
      <c r="R27" s="6" t="s">
        <v>536</v>
      </c>
      <c r="S27" s="6" t="s">
        <v>340</v>
      </c>
      <c r="T27" s="6"/>
      <c r="U27" s="6" t="s">
        <v>345</v>
      </c>
      <c r="V27" s="6" t="s">
        <v>348</v>
      </c>
      <c r="W27" s="6" t="s">
        <v>351</v>
      </c>
      <c r="X27" s="6"/>
      <c r="Y27" s="6" t="s">
        <v>394</v>
      </c>
      <c r="Z27" s="6"/>
      <c r="AA27" s="6"/>
      <c r="AB27" s="6"/>
      <c r="AC27" s="6"/>
      <c r="AD27">
        <v>48</v>
      </c>
    </row>
    <row r="28" spans="1:30" x14ac:dyDescent="0.25">
      <c r="A28" s="9">
        <f t="shared" si="0"/>
        <v>42583</v>
      </c>
      <c r="B28">
        <v>50180278</v>
      </c>
      <c r="C28" s="6" t="s">
        <v>159</v>
      </c>
      <c r="D28">
        <v>1</v>
      </c>
      <c r="E28">
        <v>1</v>
      </c>
      <c r="F28">
        <v>1</v>
      </c>
      <c r="G28">
        <v>10</v>
      </c>
      <c r="H28">
        <v>10</v>
      </c>
      <c r="I28" s="6"/>
      <c r="J28" s="6"/>
      <c r="K28" s="6"/>
      <c r="L28" s="6"/>
      <c r="M28" s="2" t="s">
        <v>167</v>
      </c>
      <c r="N28" s="6" t="s">
        <v>167</v>
      </c>
      <c r="O28" s="6" t="s">
        <v>237</v>
      </c>
      <c r="P28" s="6" t="s">
        <v>39</v>
      </c>
      <c r="Q28" s="6" t="s">
        <v>291</v>
      </c>
      <c r="R28" s="6" t="s">
        <v>571</v>
      </c>
      <c r="S28" s="6" t="s">
        <v>340</v>
      </c>
      <c r="T28" s="6"/>
      <c r="U28" s="6" t="s">
        <v>345</v>
      </c>
      <c r="V28" s="6" t="s">
        <v>348</v>
      </c>
      <c r="W28" s="6" t="s">
        <v>357</v>
      </c>
      <c r="X28" s="6"/>
      <c r="Y28" s="6" t="s">
        <v>400</v>
      </c>
      <c r="Z28" s="6"/>
      <c r="AA28" s="6"/>
      <c r="AB28" s="6"/>
      <c r="AC28" s="6"/>
      <c r="AD28">
        <v>53</v>
      </c>
    </row>
    <row r="29" spans="1:30" x14ac:dyDescent="0.25">
      <c r="A29" s="9">
        <f t="shared" si="0"/>
        <v>42583</v>
      </c>
      <c r="B29">
        <v>50179647</v>
      </c>
      <c r="C29" s="6" t="s">
        <v>159</v>
      </c>
      <c r="D29">
        <v>1</v>
      </c>
      <c r="E29">
        <v>1</v>
      </c>
      <c r="F29">
        <v>1</v>
      </c>
      <c r="G29">
        <v>10</v>
      </c>
      <c r="H29">
        <v>10</v>
      </c>
      <c r="I29" s="6"/>
      <c r="J29" s="6"/>
      <c r="K29" s="6"/>
      <c r="L29" s="6"/>
      <c r="M29" s="2" t="s">
        <v>167</v>
      </c>
      <c r="N29" s="6" t="s">
        <v>167</v>
      </c>
      <c r="O29" s="6" t="s">
        <v>237</v>
      </c>
      <c r="P29" s="6" t="s">
        <v>39</v>
      </c>
      <c r="Q29" s="6" t="s">
        <v>291</v>
      </c>
      <c r="R29" s="6" t="s">
        <v>519</v>
      </c>
      <c r="S29" s="6" t="s">
        <v>340</v>
      </c>
      <c r="T29" s="6"/>
      <c r="U29" s="6" t="s">
        <v>345</v>
      </c>
      <c r="V29" s="6" t="s">
        <v>348</v>
      </c>
      <c r="W29" s="6" t="s">
        <v>357</v>
      </c>
      <c r="X29" s="6"/>
      <c r="Y29" s="6" t="s">
        <v>400</v>
      </c>
      <c r="Z29" s="6"/>
      <c r="AA29" s="6"/>
      <c r="AB29" s="6"/>
      <c r="AC29" s="6"/>
      <c r="AD29">
        <v>54</v>
      </c>
    </row>
    <row r="30" spans="1:30" x14ac:dyDescent="0.25">
      <c r="A30" s="9">
        <f t="shared" si="0"/>
        <v>42583</v>
      </c>
      <c r="B30">
        <v>50179480</v>
      </c>
      <c r="C30" s="6" t="s">
        <v>159</v>
      </c>
      <c r="D30">
        <v>1</v>
      </c>
      <c r="E30">
        <v>1</v>
      </c>
      <c r="F30">
        <v>1</v>
      </c>
      <c r="G30">
        <v>30</v>
      </c>
      <c r="H30">
        <v>30</v>
      </c>
      <c r="I30" s="6"/>
      <c r="J30" s="6"/>
      <c r="K30" s="6"/>
      <c r="L30" s="6"/>
      <c r="M30" s="2" t="s">
        <v>167</v>
      </c>
      <c r="N30" s="6" t="s">
        <v>195</v>
      </c>
      <c r="O30" s="6" t="s">
        <v>237</v>
      </c>
      <c r="P30" s="6" t="s">
        <v>39</v>
      </c>
      <c r="Q30" s="6" t="s">
        <v>291</v>
      </c>
      <c r="R30" s="6" t="s">
        <v>528</v>
      </c>
      <c r="S30" s="6" t="s">
        <v>340</v>
      </c>
      <c r="T30" s="6"/>
      <c r="U30" s="6" t="s">
        <v>345</v>
      </c>
      <c r="V30" s="6" t="s">
        <v>348</v>
      </c>
      <c r="W30" s="6" t="s">
        <v>357</v>
      </c>
      <c r="X30" s="6"/>
      <c r="Y30" s="6" t="s">
        <v>399</v>
      </c>
      <c r="Z30" s="6"/>
      <c r="AA30" s="6"/>
      <c r="AB30" s="6"/>
      <c r="AC30" s="6"/>
      <c r="AD30">
        <v>55</v>
      </c>
    </row>
    <row r="31" spans="1:30" x14ac:dyDescent="0.25">
      <c r="A31" s="9">
        <f t="shared" si="0"/>
        <v>42583</v>
      </c>
      <c r="B31">
        <v>50180933</v>
      </c>
      <c r="C31" s="6" t="s">
        <v>159</v>
      </c>
      <c r="D31">
        <v>1</v>
      </c>
      <c r="E31">
        <v>1</v>
      </c>
      <c r="F31">
        <v>1</v>
      </c>
      <c r="G31">
        <v>25</v>
      </c>
      <c r="H31">
        <v>25</v>
      </c>
      <c r="I31" s="6"/>
      <c r="J31" s="6"/>
      <c r="K31" s="6"/>
      <c r="L31" s="6"/>
      <c r="M31" s="2" t="s">
        <v>167</v>
      </c>
      <c r="N31" s="6" t="s">
        <v>166</v>
      </c>
      <c r="O31" s="6" t="s">
        <v>237</v>
      </c>
      <c r="P31" s="6" t="s">
        <v>39</v>
      </c>
      <c r="Q31" s="6" t="s">
        <v>291</v>
      </c>
      <c r="R31" s="6" t="s">
        <v>565</v>
      </c>
      <c r="S31" s="6" t="s">
        <v>340</v>
      </c>
      <c r="T31" s="6"/>
      <c r="U31" s="6" t="s">
        <v>345</v>
      </c>
      <c r="V31" s="6" t="s">
        <v>348</v>
      </c>
      <c r="W31" s="6" t="s">
        <v>357</v>
      </c>
      <c r="X31" s="6"/>
      <c r="Y31" s="6" t="s">
        <v>645</v>
      </c>
      <c r="Z31" s="6"/>
      <c r="AA31" s="6"/>
      <c r="AB31" s="6"/>
      <c r="AC31" s="6"/>
      <c r="AD31">
        <v>56</v>
      </c>
    </row>
    <row r="32" spans="1:30" x14ac:dyDescent="0.25">
      <c r="A32" s="9">
        <f t="shared" si="0"/>
        <v>42583</v>
      </c>
      <c r="B32">
        <v>50180934</v>
      </c>
      <c r="C32" s="6" t="s">
        <v>159</v>
      </c>
      <c r="D32">
        <v>1</v>
      </c>
      <c r="E32">
        <v>1</v>
      </c>
      <c r="F32">
        <v>1</v>
      </c>
      <c r="G32">
        <v>25</v>
      </c>
      <c r="H32">
        <v>25</v>
      </c>
      <c r="I32" s="6"/>
      <c r="J32" s="6"/>
      <c r="K32" s="6"/>
      <c r="L32" s="6"/>
      <c r="M32" s="2" t="s">
        <v>167</v>
      </c>
      <c r="N32" s="6" t="s">
        <v>177</v>
      </c>
      <c r="O32" s="6" t="s">
        <v>237</v>
      </c>
      <c r="P32" s="6" t="s">
        <v>39</v>
      </c>
      <c r="Q32" s="6" t="s">
        <v>291</v>
      </c>
      <c r="R32" s="6" t="s">
        <v>565</v>
      </c>
      <c r="S32" s="6" t="s">
        <v>340</v>
      </c>
      <c r="T32" s="6"/>
      <c r="U32" s="6" t="s">
        <v>345</v>
      </c>
      <c r="V32" s="6" t="s">
        <v>348</v>
      </c>
      <c r="W32" s="6" t="s">
        <v>357</v>
      </c>
      <c r="X32" s="6"/>
      <c r="Y32" s="6" t="s">
        <v>434</v>
      </c>
      <c r="Z32" s="6"/>
      <c r="AA32" s="6"/>
      <c r="AB32" s="6"/>
      <c r="AC32" s="6"/>
      <c r="AD32">
        <v>57</v>
      </c>
    </row>
    <row r="33" spans="1:30" x14ac:dyDescent="0.25">
      <c r="A33" s="9">
        <f t="shared" si="0"/>
        <v>42614</v>
      </c>
      <c r="B33">
        <v>50181370</v>
      </c>
      <c r="C33" s="6" t="s">
        <v>159</v>
      </c>
      <c r="D33">
        <v>1</v>
      </c>
      <c r="E33">
        <v>1</v>
      </c>
      <c r="F33">
        <v>1</v>
      </c>
      <c r="G33">
        <v>25</v>
      </c>
      <c r="H33">
        <v>25</v>
      </c>
      <c r="I33" s="6"/>
      <c r="J33" s="6"/>
      <c r="K33" s="6"/>
      <c r="L33" s="6"/>
      <c r="M33" s="2" t="s">
        <v>280</v>
      </c>
      <c r="N33" s="6" t="s">
        <v>173</v>
      </c>
      <c r="O33" s="6" t="s">
        <v>176</v>
      </c>
      <c r="P33" s="6" t="s">
        <v>39</v>
      </c>
      <c r="Q33" s="6" t="s">
        <v>291</v>
      </c>
      <c r="R33" s="6" t="s">
        <v>572</v>
      </c>
      <c r="S33" s="6" t="s">
        <v>340</v>
      </c>
      <c r="T33" s="6"/>
      <c r="U33" s="6" t="s">
        <v>345</v>
      </c>
      <c r="V33" s="6" t="s">
        <v>348</v>
      </c>
      <c r="W33" s="6" t="s">
        <v>357</v>
      </c>
      <c r="X33" s="6"/>
      <c r="Y33" s="6" t="s">
        <v>394</v>
      </c>
      <c r="Z33" s="6"/>
      <c r="AA33" s="6"/>
      <c r="AB33" s="6"/>
      <c r="AC33" s="6"/>
      <c r="AD33">
        <v>58</v>
      </c>
    </row>
    <row r="34" spans="1:30" x14ac:dyDescent="0.25">
      <c r="A34" s="9">
        <f t="shared" si="0"/>
        <v>42614</v>
      </c>
      <c r="B34">
        <v>50181415</v>
      </c>
      <c r="C34" s="6" t="s">
        <v>159</v>
      </c>
      <c r="D34">
        <v>1</v>
      </c>
      <c r="E34">
        <v>1</v>
      </c>
      <c r="F34">
        <v>1</v>
      </c>
      <c r="G34">
        <v>25</v>
      </c>
      <c r="H34">
        <v>25</v>
      </c>
      <c r="I34" s="6"/>
      <c r="J34" s="6"/>
      <c r="K34" s="6"/>
      <c r="L34" s="6"/>
      <c r="M34" s="2" t="s">
        <v>280</v>
      </c>
      <c r="N34" s="6" t="s">
        <v>166</v>
      </c>
      <c r="O34" s="6" t="s">
        <v>176</v>
      </c>
      <c r="P34" s="6" t="s">
        <v>39</v>
      </c>
      <c r="Q34" s="6" t="s">
        <v>291</v>
      </c>
      <c r="R34" s="6" t="s">
        <v>572</v>
      </c>
      <c r="S34" s="6" t="s">
        <v>340</v>
      </c>
      <c r="T34" s="6"/>
      <c r="U34" s="6" t="s">
        <v>345</v>
      </c>
      <c r="V34" s="6" t="s">
        <v>348</v>
      </c>
      <c r="W34" s="6" t="s">
        <v>357</v>
      </c>
      <c r="X34" s="6"/>
      <c r="Y34" s="6" t="s">
        <v>394</v>
      </c>
      <c r="Z34" s="6"/>
      <c r="AA34" s="6"/>
      <c r="AB34" s="6"/>
      <c r="AC34" s="6"/>
      <c r="AD34">
        <v>59</v>
      </c>
    </row>
    <row r="35" spans="1:30" x14ac:dyDescent="0.25">
      <c r="A35" s="9">
        <f t="shared" si="0"/>
        <v>42614</v>
      </c>
      <c r="B35">
        <v>50181534</v>
      </c>
      <c r="C35" s="6" t="s">
        <v>159</v>
      </c>
      <c r="D35">
        <v>1</v>
      </c>
      <c r="E35">
        <v>1</v>
      </c>
      <c r="F35">
        <v>1</v>
      </c>
      <c r="G35">
        <v>25</v>
      </c>
      <c r="H35">
        <v>25</v>
      </c>
      <c r="I35" s="6"/>
      <c r="J35" s="6"/>
      <c r="K35" s="6"/>
      <c r="L35" s="6"/>
      <c r="M35" s="2" t="s">
        <v>280</v>
      </c>
      <c r="N35" s="6" t="s">
        <v>166</v>
      </c>
      <c r="O35" s="6" t="s">
        <v>176</v>
      </c>
      <c r="P35" s="6" t="s">
        <v>39</v>
      </c>
      <c r="Q35" s="6" t="s">
        <v>291</v>
      </c>
      <c r="R35" s="6" t="s">
        <v>572</v>
      </c>
      <c r="S35" s="6" t="s">
        <v>340</v>
      </c>
      <c r="T35" s="6"/>
      <c r="U35" s="6" t="s">
        <v>345</v>
      </c>
      <c r="V35" s="6" t="s">
        <v>348</v>
      </c>
      <c r="W35" s="6" t="s">
        <v>357</v>
      </c>
      <c r="X35" s="6"/>
      <c r="Y35" s="6" t="s">
        <v>394</v>
      </c>
      <c r="Z35" s="6"/>
      <c r="AA35" s="6"/>
      <c r="AB35" s="6"/>
      <c r="AC35" s="6"/>
      <c r="AD35">
        <v>60</v>
      </c>
    </row>
    <row r="36" spans="1:30" x14ac:dyDescent="0.25">
      <c r="A36" s="9">
        <f t="shared" si="0"/>
        <v>42626</v>
      </c>
      <c r="B36">
        <v>50180671</v>
      </c>
      <c r="C36" s="6" t="s">
        <v>159</v>
      </c>
      <c r="D36">
        <v>1</v>
      </c>
      <c r="E36">
        <v>1</v>
      </c>
      <c r="F36">
        <v>1</v>
      </c>
      <c r="G36">
        <v>25</v>
      </c>
      <c r="H36">
        <v>25</v>
      </c>
      <c r="I36" s="6"/>
      <c r="J36" s="6"/>
      <c r="K36" s="6"/>
      <c r="L36" s="6"/>
      <c r="M36" s="2" t="s">
        <v>183</v>
      </c>
      <c r="N36" s="6" t="s">
        <v>178</v>
      </c>
      <c r="O36" s="6" t="s">
        <v>201</v>
      </c>
      <c r="P36" s="6" t="s">
        <v>39</v>
      </c>
      <c r="Q36" s="6" t="s">
        <v>291</v>
      </c>
      <c r="R36" s="6" t="s">
        <v>573</v>
      </c>
      <c r="S36" s="6" t="s">
        <v>340</v>
      </c>
      <c r="T36" s="6"/>
      <c r="U36" s="6" t="s">
        <v>345</v>
      </c>
      <c r="V36" s="6" t="s">
        <v>348</v>
      </c>
      <c r="W36" s="6" t="s">
        <v>357</v>
      </c>
      <c r="X36" s="6" t="s">
        <v>476</v>
      </c>
      <c r="Y36" s="6" t="s">
        <v>478</v>
      </c>
      <c r="Z36" s="6"/>
      <c r="AA36" s="6"/>
      <c r="AB36" s="6"/>
      <c r="AC36" s="6"/>
      <c r="AD36">
        <v>61</v>
      </c>
    </row>
    <row r="37" spans="1:30" x14ac:dyDescent="0.25">
      <c r="A37" s="9">
        <f t="shared" si="0"/>
        <v>42626</v>
      </c>
      <c r="B37">
        <v>50180672</v>
      </c>
      <c r="C37" s="6" t="s">
        <v>159</v>
      </c>
      <c r="D37">
        <v>1</v>
      </c>
      <c r="E37">
        <v>1</v>
      </c>
      <c r="F37">
        <v>1</v>
      </c>
      <c r="G37">
        <v>25</v>
      </c>
      <c r="H37">
        <v>25</v>
      </c>
      <c r="I37" s="6"/>
      <c r="J37" s="6"/>
      <c r="K37" s="6"/>
      <c r="L37" s="6"/>
      <c r="M37" s="2" t="s">
        <v>183</v>
      </c>
      <c r="N37" s="6" t="s">
        <v>189</v>
      </c>
      <c r="O37" s="6" t="s">
        <v>201</v>
      </c>
      <c r="P37" s="6" t="s">
        <v>39</v>
      </c>
      <c r="Q37" s="6" t="s">
        <v>291</v>
      </c>
      <c r="R37" s="6" t="s">
        <v>573</v>
      </c>
      <c r="S37" s="6" t="s">
        <v>340</v>
      </c>
      <c r="T37" s="6"/>
      <c r="U37" s="6" t="s">
        <v>345</v>
      </c>
      <c r="V37" s="6" t="s">
        <v>348</v>
      </c>
      <c r="W37" s="6" t="s">
        <v>357</v>
      </c>
      <c r="X37" s="6" t="s">
        <v>477</v>
      </c>
      <c r="Y37" s="6" t="s">
        <v>479</v>
      </c>
      <c r="Z37" s="6"/>
      <c r="AA37" s="6"/>
      <c r="AB37" s="6"/>
      <c r="AC37" s="6"/>
      <c r="AD37">
        <v>62</v>
      </c>
    </row>
    <row r="38" spans="1:30" x14ac:dyDescent="0.25">
      <c r="A38" s="9">
        <f t="shared" si="0"/>
        <v>42632</v>
      </c>
      <c r="B38">
        <v>50181535</v>
      </c>
      <c r="C38" s="6" t="s">
        <v>159</v>
      </c>
      <c r="D38">
        <v>1</v>
      </c>
      <c r="E38">
        <v>1</v>
      </c>
      <c r="F38">
        <v>1</v>
      </c>
      <c r="G38">
        <v>25</v>
      </c>
      <c r="H38">
        <v>25</v>
      </c>
      <c r="I38" s="6"/>
      <c r="J38" s="6"/>
      <c r="K38" s="6"/>
      <c r="L38" s="6"/>
      <c r="M38" s="2" t="s">
        <v>177</v>
      </c>
      <c r="N38" s="6" t="s">
        <v>177</v>
      </c>
      <c r="O38" s="6" t="s">
        <v>167</v>
      </c>
      <c r="P38" s="6" t="s">
        <v>39</v>
      </c>
      <c r="Q38" s="6" t="s">
        <v>291</v>
      </c>
      <c r="R38" s="6" t="s">
        <v>574</v>
      </c>
      <c r="S38" s="6" t="s">
        <v>340</v>
      </c>
      <c r="T38" s="6"/>
      <c r="U38" s="6" t="s">
        <v>345</v>
      </c>
      <c r="V38" s="6" t="s">
        <v>348</v>
      </c>
      <c r="W38" s="6" t="s">
        <v>357</v>
      </c>
      <c r="X38" s="6"/>
      <c r="Y38" s="6" t="s">
        <v>394</v>
      </c>
      <c r="Z38" s="6"/>
      <c r="AA38" s="6"/>
      <c r="AB38" s="6"/>
      <c r="AC38" s="6"/>
      <c r="AD38">
        <v>63</v>
      </c>
    </row>
    <row r="39" spans="1:30" x14ac:dyDescent="0.25">
      <c r="A39" s="9">
        <f t="shared" si="0"/>
        <v>42674</v>
      </c>
      <c r="B39">
        <v>50177979</v>
      </c>
      <c r="C39" s="6" t="s">
        <v>159</v>
      </c>
      <c r="D39">
        <v>1</v>
      </c>
      <c r="E39">
        <v>1</v>
      </c>
      <c r="F39">
        <v>1</v>
      </c>
      <c r="G39">
        <v>5</v>
      </c>
      <c r="H39">
        <v>5</v>
      </c>
      <c r="I39" s="6"/>
      <c r="J39" s="6"/>
      <c r="K39" s="6"/>
      <c r="L39" s="6"/>
      <c r="M39" s="2" t="s">
        <v>169</v>
      </c>
      <c r="N39" s="6" t="s">
        <v>200</v>
      </c>
      <c r="O39" s="6" t="s">
        <v>183</v>
      </c>
      <c r="P39" s="6" t="s">
        <v>39</v>
      </c>
      <c r="Q39" s="6" t="s">
        <v>291</v>
      </c>
      <c r="R39" s="6"/>
      <c r="S39" s="6" t="s">
        <v>340</v>
      </c>
      <c r="T39" s="6"/>
      <c r="U39" s="6" t="s">
        <v>345</v>
      </c>
      <c r="V39" s="6" t="s">
        <v>348</v>
      </c>
      <c r="W39" s="6" t="s">
        <v>357</v>
      </c>
      <c r="X39" s="6" t="s">
        <v>369</v>
      </c>
      <c r="Y39" s="6"/>
      <c r="Z39" s="6"/>
      <c r="AA39" s="6"/>
      <c r="AB39" s="6"/>
      <c r="AC39" s="6"/>
      <c r="AD39">
        <v>64</v>
      </c>
    </row>
    <row r="40" spans="1:30" x14ac:dyDescent="0.25">
      <c r="A40" s="9">
        <f t="shared" si="0"/>
        <v>42674</v>
      </c>
      <c r="B40">
        <v>50173131</v>
      </c>
      <c r="C40" s="6" t="s">
        <v>159</v>
      </c>
      <c r="D40">
        <v>1</v>
      </c>
      <c r="E40">
        <v>1</v>
      </c>
      <c r="F40">
        <v>1</v>
      </c>
      <c r="G40">
        <v>11</v>
      </c>
      <c r="H40">
        <v>6</v>
      </c>
      <c r="I40" s="6"/>
      <c r="J40" s="6"/>
      <c r="K40" s="6"/>
      <c r="L40" s="6"/>
      <c r="M40" s="2" t="s">
        <v>169</v>
      </c>
      <c r="N40" s="6" t="s">
        <v>219</v>
      </c>
      <c r="O40" s="6" t="s">
        <v>183</v>
      </c>
      <c r="P40" s="6" t="s">
        <v>39</v>
      </c>
      <c r="Q40" s="6" t="s">
        <v>291</v>
      </c>
      <c r="R40" s="6" t="s">
        <v>339</v>
      </c>
      <c r="S40" s="6" t="s">
        <v>340</v>
      </c>
      <c r="T40" s="6"/>
      <c r="U40" s="6" t="s">
        <v>345</v>
      </c>
      <c r="V40" s="6" t="s">
        <v>348</v>
      </c>
      <c r="W40" s="6" t="s">
        <v>357</v>
      </c>
      <c r="X40" s="6" t="s">
        <v>374</v>
      </c>
      <c r="Y40" s="6"/>
      <c r="Z40" s="6" t="s">
        <v>427</v>
      </c>
      <c r="AA40" s="6"/>
      <c r="AB40" s="6"/>
      <c r="AC40" s="6"/>
      <c r="AD40">
        <v>65</v>
      </c>
    </row>
    <row r="41" spans="1:30" x14ac:dyDescent="0.25">
      <c r="A41" s="9">
        <f t="shared" si="0"/>
        <v>42611</v>
      </c>
      <c r="B41">
        <v>50180851</v>
      </c>
      <c r="C41" s="6" t="s">
        <v>159</v>
      </c>
      <c r="D41">
        <v>1</v>
      </c>
      <c r="E41">
        <v>1</v>
      </c>
      <c r="F41">
        <v>0</v>
      </c>
      <c r="G41">
        <v>5</v>
      </c>
      <c r="H41">
        <v>5</v>
      </c>
      <c r="I41" s="6"/>
      <c r="J41" s="6"/>
      <c r="K41" s="6"/>
      <c r="L41" s="6"/>
      <c r="M41" s="2" t="s">
        <v>178</v>
      </c>
      <c r="N41" s="6" t="s">
        <v>178</v>
      </c>
      <c r="O41" s="6" t="s">
        <v>210</v>
      </c>
      <c r="P41" s="6" t="s">
        <v>40</v>
      </c>
      <c r="Q41" s="6" t="s">
        <v>291</v>
      </c>
      <c r="R41" s="6"/>
      <c r="S41" s="6" t="s">
        <v>340</v>
      </c>
      <c r="T41" s="6"/>
      <c r="U41" s="6" t="s">
        <v>345</v>
      </c>
      <c r="V41" s="6" t="s">
        <v>348</v>
      </c>
      <c r="W41" s="6" t="s">
        <v>354</v>
      </c>
      <c r="X41" s="6"/>
      <c r="Y41" s="6" t="s">
        <v>646</v>
      </c>
      <c r="Z41" s="6"/>
      <c r="AA41" s="6"/>
      <c r="AB41" s="6"/>
      <c r="AC41" s="6"/>
      <c r="AD41">
        <v>75</v>
      </c>
    </row>
    <row r="42" spans="1:30" x14ac:dyDescent="0.25">
      <c r="A42" s="9">
        <f t="shared" si="0"/>
        <v>42635</v>
      </c>
      <c r="B42">
        <v>50181367</v>
      </c>
      <c r="C42" s="6" t="s">
        <v>159</v>
      </c>
      <c r="D42">
        <v>1</v>
      </c>
      <c r="E42">
        <v>1</v>
      </c>
      <c r="F42">
        <v>1</v>
      </c>
      <c r="G42">
        <v>25</v>
      </c>
      <c r="H42">
        <v>25</v>
      </c>
      <c r="I42" s="6"/>
      <c r="J42" s="6"/>
      <c r="K42" s="6"/>
      <c r="L42" s="6"/>
      <c r="M42" s="2" t="s">
        <v>204</v>
      </c>
      <c r="N42" s="6" t="s">
        <v>166</v>
      </c>
      <c r="O42" s="6" t="s">
        <v>198</v>
      </c>
      <c r="P42" s="6" t="s">
        <v>41</v>
      </c>
      <c r="Q42" s="6" t="s">
        <v>295</v>
      </c>
      <c r="R42" s="6" t="s">
        <v>533</v>
      </c>
      <c r="S42" s="6" t="s">
        <v>340</v>
      </c>
      <c r="T42" s="6"/>
      <c r="U42" s="6" t="s">
        <v>345</v>
      </c>
      <c r="V42" s="6" t="s">
        <v>348</v>
      </c>
      <c r="W42" s="6" t="s">
        <v>355</v>
      </c>
      <c r="X42" s="6"/>
      <c r="Y42" s="6" t="s">
        <v>394</v>
      </c>
      <c r="Z42" s="6"/>
      <c r="AA42" s="6"/>
      <c r="AB42" s="6"/>
      <c r="AC42" s="6"/>
      <c r="AD42">
        <v>76</v>
      </c>
    </row>
    <row r="43" spans="1:30" x14ac:dyDescent="0.25">
      <c r="A43" s="9">
        <f t="shared" si="0"/>
        <v>42635</v>
      </c>
      <c r="B43">
        <v>50181368</v>
      </c>
      <c r="C43" s="6" t="s">
        <v>159</v>
      </c>
      <c r="D43">
        <v>1</v>
      </c>
      <c r="E43">
        <v>1</v>
      </c>
      <c r="F43">
        <v>1</v>
      </c>
      <c r="G43">
        <v>25</v>
      </c>
      <c r="H43">
        <v>25</v>
      </c>
      <c r="I43" s="6"/>
      <c r="J43" s="6"/>
      <c r="K43" s="6"/>
      <c r="L43" s="6"/>
      <c r="M43" s="2" t="s">
        <v>204</v>
      </c>
      <c r="N43" s="6" t="s">
        <v>171</v>
      </c>
      <c r="O43" s="6" t="s">
        <v>198</v>
      </c>
      <c r="P43" s="6" t="s">
        <v>41</v>
      </c>
      <c r="Q43" s="6" t="s">
        <v>295</v>
      </c>
      <c r="R43" s="6" t="s">
        <v>533</v>
      </c>
      <c r="S43" s="6" t="s">
        <v>340</v>
      </c>
      <c r="T43" s="6"/>
      <c r="U43" s="6" t="s">
        <v>345</v>
      </c>
      <c r="V43" s="6" t="s">
        <v>348</v>
      </c>
      <c r="W43" s="6" t="s">
        <v>355</v>
      </c>
      <c r="X43" s="6"/>
      <c r="Y43" s="6" t="s">
        <v>394</v>
      </c>
      <c r="Z43" s="6"/>
      <c r="AA43" s="6"/>
      <c r="AB43" s="6"/>
      <c r="AC43" s="6"/>
      <c r="AD43">
        <v>77</v>
      </c>
    </row>
    <row r="44" spans="1:30" x14ac:dyDescent="0.25">
      <c r="A44" s="9">
        <f t="shared" si="0"/>
        <v>42674</v>
      </c>
      <c r="B44">
        <v>50180189</v>
      </c>
      <c r="C44" s="6" t="s">
        <v>159</v>
      </c>
      <c r="D44">
        <v>1</v>
      </c>
      <c r="E44">
        <v>1</v>
      </c>
      <c r="F44">
        <v>1</v>
      </c>
      <c r="G44">
        <v>3</v>
      </c>
      <c r="H44">
        <v>3</v>
      </c>
      <c r="I44" s="6"/>
      <c r="J44" s="6"/>
      <c r="K44" s="6"/>
      <c r="L44" s="6"/>
      <c r="M44" s="2" t="s">
        <v>169</v>
      </c>
      <c r="N44" s="6" t="s">
        <v>186</v>
      </c>
      <c r="O44" s="6" t="s">
        <v>183</v>
      </c>
      <c r="P44" s="6" t="s">
        <v>41</v>
      </c>
      <c r="Q44" s="6" t="s">
        <v>295</v>
      </c>
      <c r="R44" s="6"/>
      <c r="S44" s="6" t="s">
        <v>340</v>
      </c>
      <c r="T44" s="6"/>
      <c r="U44" s="6" t="s">
        <v>345</v>
      </c>
      <c r="V44" s="6" t="s">
        <v>348</v>
      </c>
      <c r="W44" s="6" t="s">
        <v>355</v>
      </c>
      <c r="X44" s="6" t="s">
        <v>375</v>
      </c>
      <c r="Y44" s="6"/>
      <c r="Z44" s="6"/>
      <c r="AA44" s="6"/>
      <c r="AB44" s="6"/>
      <c r="AC44" s="6"/>
      <c r="AD44">
        <v>81</v>
      </c>
    </row>
    <row r="45" spans="1:30" x14ac:dyDescent="0.25">
      <c r="A45" s="9">
        <f t="shared" si="0"/>
        <v>42587</v>
      </c>
      <c r="B45">
        <v>50180208</v>
      </c>
      <c r="C45" s="6" t="s">
        <v>159</v>
      </c>
      <c r="D45">
        <v>1</v>
      </c>
      <c r="E45">
        <v>1</v>
      </c>
      <c r="F45">
        <v>1</v>
      </c>
      <c r="G45">
        <v>25</v>
      </c>
      <c r="H45">
        <v>25</v>
      </c>
      <c r="I45" s="6"/>
      <c r="J45" s="6"/>
      <c r="K45" s="6"/>
      <c r="L45" s="6"/>
      <c r="M45" s="2" t="s">
        <v>206</v>
      </c>
      <c r="N45" s="6" t="s">
        <v>179</v>
      </c>
      <c r="O45" s="6" t="s">
        <v>548</v>
      </c>
      <c r="P45" s="6" t="s">
        <v>24</v>
      </c>
      <c r="Q45" s="6" t="s">
        <v>291</v>
      </c>
      <c r="R45" s="6" t="s">
        <v>565</v>
      </c>
      <c r="S45" s="6" t="s">
        <v>340</v>
      </c>
      <c r="T45" s="6"/>
      <c r="U45" s="6" t="s">
        <v>345</v>
      </c>
      <c r="V45" s="6" t="s">
        <v>348</v>
      </c>
      <c r="W45" s="6" t="s">
        <v>351</v>
      </c>
      <c r="X45" s="6"/>
      <c r="Y45" s="6" t="s">
        <v>401</v>
      </c>
      <c r="Z45" s="6"/>
      <c r="AA45" s="6"/>
      <c r="AB45" s="6"/>
      <c r="AC45" s="6"/>
      <c r="AD45">
        <v>89</v>
      </c>
    </row>
    <row r="46" spans="1:30" x14ac:dyDescent="0.25">
      <c r="A46" s="9">
        <f t="shared" si="0"/>
        <v>42587</v>
      </c>
      <c r="B46">
        <v>50179606</v>
      </c>
      <c r="C46" s="6" t="s">
        <v>159</v>
      </c>
      <c r="D46">
        <v>1</v>
      </c>
      <c r="E46">
        <v>1</v>
      </c>
      <c r="F46">
        <v>1</v>
      </c>
      <c r="G46">
        <v>15</v>
      </c>
      <c r="H46">
        <v>15</v>
      </c>
      <c r="I46" s="6"/>
      <c r="J46" s="6"/>
      <c r="K46" s="6"/>
      <c r="L46" s="6"/>
      <c r="M46" s="2" t="s">
        <v>206</v>
      </c>
      <c r="N46" s="6" t="s">
        <v>167</v>
      </c>
      <c r="O46" s="6" t="s">
        <v>548</v>
      </c>
      <c r="P46" s="6" t="s">
        <v>24</v>
      </c>
      <c r="Q46" s="6" t="s">
        <v>291</v>
      </c>
      <c r="R46" s="6" t="s">
        <v>519</v>
      </c>
      <c r="S46" s="6" t="s">
        <v>340</v>
      </c>
      <c r="T46" s="6"/>
      <c r="U46" s="6" t="s">
        <v>345</v>
      </c>
      <c r="V46" s="6" t="s">
        <v>348</v>
      </c>
      <c r="W46" s="6" t="s">
        <v>351</v>
      </c>
      <c r="X46" s="6"/>
      <c r="Y46" s="6" t="s">
        <v>647</v>
      </c>
      <c r="Z46" s="6"/>
      <c r="AA46" s="6"/>
      <c r="AB46" s="6"/>
      <c r="AC46" s="6"/>
      <c r="AD46">
        <v>90</v>
      </c>
    </row>
    <row r="47" spans="1:30" x14ac:dyDescent="0.25">
      <c r="A47" s="9">
        <f t="shared" si="0"/>
        <v>42601</v>
      </c>
      <c r="B47">
        <v>50181182</v>
      </c>
      <c r="C47" s="6" t="s">
        <v>159</v>
      </c>
      <c r="D47">
        <v>1</v>
      </c>
      <c r="E47">
        <v>1</v>
      </c>
      <c r="F47">
        <v>1</v>
      </c>
      <c r="G47">
        <v>25</v>
      </c>
      <c r="H47">
        <v>25</v>
      </c>
      <c r="I47" s="6"/>
      <c r="J47" s="6"/>
      <c r="K47" s="6"/>
      <c r="L47" s="6"/>
      <c r="M47" s="2" t="s">
        <v>262</v>
      </c>
      <c r="N47" s="6" t="s">
        <v>179</v>
      </c>
      <c r="O47" s="6" t="s">
        <v>191</v>
      </c>
      <c r="P47" s="6" t="s">
        <v>24</v>
      </c>
      <c r="Q47" s="6" t="s">
        <v>291</v>
      </c>
      <c r="R47" s="6" t="s">
        <v>569</v>
      </c>
      <c r="S47" s="6" t="s">
        <v>340</v>
      </c>
      <c r="T47" s="6"/>
      <c r="U47" s="6" t="s">
        <v>345</v>
      </c>
      <c r="V47" s="6" t="s">
        <v>348</v>
      </c>
      <c r="W47" s="6" t="s">
        <v>351</v>
      </c>
      <c r="X47" s="6"/>
      <c r="Y47" s="6" t="s">
        <v>401</v>
      </c>
      <c r="Z47" s="6"/>
      <c r="AA47" s="6"/>
      <c r="AB47" s="6"/>
      <c r="AC47" s="6"/>
      <c r="AD47">
        <v>91</v>
      </c>
    </row>
    <row r="48" spans="1:30" x14ac:dyDescent="0.25">
      <c r="A48" s="9">
        <f t="shared" si="0"/>
        <v>42615</v>
      </c>
      <c r="B48">
        <v>50181215</v>
      </c>
      <c r="C48" s="6" t="s">
        <v>159</v>
      </c>
      <c r="D48">
        <v>1</v>
      </c>
      <c r="E48">
        <v>1</v>
      </c>
      <c r="F48">
        <v>1</v>
      </c>
      <c r="G48">
        <v>35</v>
      </c>
      <c r="H48">
        <v>35</v>
      </c>
      <c r="I48" s="6"/>
      <c r="J48" s="6"/>
      <c r="K48" s="6"/>
      <c r="L48" s="6"/>
      <c r="M48" s="2" t="s">
        <v>189</v>
      </c>
      <c r="N48" s="6" t="s">
        <v>189</v>
      </c>
      <c r="O48" s="6" t="s">
        <v>195</v>
      </c>
      <c r="P48" s="6" t="s">
        <v>24</v>
      </c>
      <c r="Q48" s="6" t="s">
        <v>291</v>
      </c>
      <c r="R48" s="6" t="s">
        <v>506</v>
      </c>
      <c r="S48" s="6" t="s">
        <v>340</v>
      </c>
      <c r="T48" s="6"/>
      <c r="U48" s="6" t="s">
        <v>345</v>
      </c>
      <c r="V48" s="6" t="s">
        <v>348</v>
      </c>
      <c r="W48" s="6" t="s">
        <v>351</v>
      </c>
      <c r="X48" s="6"/>
      <c r="Y48" s="6" t="s">
        <v>648</v>
      </c>
      <c r="Z48" s="6"/>
      <c r="AA48" s="6"/>
      <c r="AB48" s="6"/>
      <c r="AC48" s="6"/>
      <c r="AD48">
        <v>92</v>
      </c>
    </row>
    <row r="49" spans="1:30" x14ac:dyDescent="0.25">
      <c r="A49" s="9">
        <f t="shared" si="0"/>
        <v>42619</v>
      </c>
      <c r="B49">
        <v>50181216</v>
      </c>
      <c r="C49" s="6" t="s">
        <v>159</v>
      </c>
      <c r="D49">
        <v>1</v>
      </c>
      <c r="E49">
        <v>1</v>
      </c>
      <c r="F49">
        <v>1</v>
      </c>
      <c r="G49">
        <v>25</v>
      </c>
      <c r="H49">
        <v>25</v>
      </c>
      <c r="I49" s="6"/>
      <c r="J49" s="6"/>
      <c r="K49" s="6"/>
      <c r="L49" s="6"/>
      <c r="M49" s="2" t="s">
        <v>273</v>
      </c>
      <c r="N49" s="6" t="s">
        <v>166</v>
      </c>
      <c r="O49" s="6" t="s">
        <v>447</v>
      </c>
      <c r="P49" s="6" t="s">
        <v>24</v>
      </c>
      <c r="Q49" s="6" t="s">
        <v>291</v>
      </c>
      <c r="R49" s="6" t="s">
        <v>575</v>
      </c>
      <c r="S49" s="6" t="s">
        <v>340</v>
      </c>
      <c r="T49" s="6"/>
      <c r="U49" s="6" t="s">
        <v>345</v>
      </c>
      <c r="V49" s="6" t="s">
        <v>348</v>
      </c>
      <c r="W49" s="6" t="s">
        <v>351</v>
      </c>
      <c r="X49" s="6"/>
      <c r="Y49" s="6" t="s">
        <v>394</v>
      </c>
      <c r="Z49" s="6"/>
      <c r="AA49" s="6"/>
      <c r="AB49" s="6"/>
      <c r="AC49" s="6"/>
      <c r="AD49">
        <v>93</v>
      </c>
    </row>
    <row r="50" spans="1:30" x14ac:dyDescent="0.25">
      <c r="A50" s="9">
        <f t="shared" si="0"/>
        <v>42632</v>
      </c>
      <c r="B50">
        <v>50181217</v>
      </c>
      <c r="C50" s="6" t="s">
        <v>159</v>
      </c>
      <c r="D50">
        <v>1</v>
      </c>
      <c r="E50">
        <v>1</v>
      </c>
      <c r="F50">
        <v>1</v>
      </c>
      <c r="G50">
        <v>10</v>
      </c>
      <c r="H50">
        <v>10</v>
      </c>
      <c r="I50" s="6"/>
      <c r="J50" s="6"/>
      <c r="K50" s="6"/>
      <c r="L50" s="6"/>
      <c r="M50" s="2" t="s">
        <v>177</v>
      </c>
      <c r="N50" s="6" t="s">
        <v>177</v>
      </c>
      <c r="O50" s="6" t="s">
        <v>167</v>
      </c>
      <c r="P50" s="6" t="s">
        <v>24</v>
      </c>
      <c r="Q50" s="6" t="s">
        <v>291</v>
      </c>
      <c r="R50" s="6" t="s">
        <v>576</v>
      </c>
      <c r="S50" s="6" t="s">
        <v>340</v>
      </c>
      <c r="T50" s="6"/>
      <c r="U50" s="6" t="s">
        <v>345</v>
      </c>
      <c r="V50" s="6" t="s">
        <v>348</v>
      </c>
      <c r="W50" s="6" t="s">
        <v>351</v>
      </c>
      <c r="X50" s="6"/>
      <c r="Y50" s="6" t="s">
        <v>394</v>
      </c>
      <c r="Z50" s="6"/>
      <c r="AA50" s="6"/>
      <c r="AB50" s="6"/>
      <c r="AC50" s="6"/>
      <c r="AD50">
        <v>94</v>
      </c>
    </row>
    <row r="51" spans="1:30" x14ac:dyDescent="0.25">
      <c r="A51" s="9">
        <f t="shared" si="0"/>
        <v>42639</v>
      </c>
      <c r="B51">
        <v>50181218</v>
      </c>
      <c r="C51" s="6" t="s">
        <v>159</v>
      </c>
      <c r="D51">
        <v>1</v>
      </c>
      <c r="E51">
        <v>1</v>
      </c>
      <c r="F51">
        <v>1</v>
      </c>
      <c r="G51">
        <v>15</v>
      </c>
      <c r="H51">
        <v>15</v>
      </c>
      <c r="I51" s="6"/>
      <c r="J51" s="6"/>
      <c r="K51" s="6"/>
      <c r="L51" s="6"/>
      <c r="M51" s="2" t="s">
        <v>173</v>
      </c>
      <c r="N51" s="6" t="s">
        <v>173</v>
      </c>
      <c r="O51" s="6" t="s">
        <v>206</v>
      </c>
      <c r="P51" s="6" t="s">
        <v>24</v>
      </c>
      <c r="Q51" s="6" t="s">
        <v>291</v>
      </c>
      <c r="R51" s="6" t="s">
        <v>567</v>
      </c>
      <c r="S51" s="6" t="s">
        <v>340</v>
      </c>
      <c r="T51" s="6"/>
      <c r="U51" s="6" t="s">
        <v>345</v>
      </c>
      <c r="V51" s="6" t="s">
        <v>348</v>
      </c>
      <c r="W51" s="6" t="s">
        <v>351</v>
      </c>
      <c r="X51" s="6"/>
      <c r="Y51" s="6" t="s">
        <v>394</v>
      </c>
      <c r="Z51" s="6"/>
      <c r="AA51" s="6"/>
      <c r="AB51" s="6"/>
      <c r="AC51" s="6"/>
      <c r="AD51">
        <v>95</v>
      </c>
    </row>
    <row r="52" spans="1:30" x14ac:dyDescent="0.25">
      <c r="A52" s="9">
        <f t="shared" si="0"/>
        <v>42639</v>
      </c>
      <c r="B52">
        <v>50181725</v>
      </c>
      <c r="C52" s="6" t="s">
        <v>159</v>
      </c>
      <c r="D52">
        <v>1</v>
      </c>
      <c r="E52">
        <v>1</v>
      </c>
      <c r="F52">
        <v>0</v>
      </c>
      <c r="G52">
        <v>4</v>
      </c>
      <c r="H52">
        <v>4</v>
      </c>
      <c r="I52" s="6"/>
      <c r="J52" s="6"/>
      <c r="K52" s="6"/>
      <c r="L52" s="6"/>
      <c r="M52" s="2" t="s">
        <v>173</v>
      </c>
      <c r="N52" s="6" t="s">
        <v>177</v>
      </c>
      <c r="O52" s="6" t="s">
        <v>206</v>
      </c>
      <c r="P52" s="6" t="s">
        <v>24</v>
      </c>
      <c r="Q52" s="6" t="s">
        <v>291</v>
      </c>
      <c r="R52" s="6"/>
      <c r="S52" s="6" t="s">
        <v>340</v>
      </c>
      <c r="T52" s="6"/>
      <c r="U52" s="6" t="s">
        <v>345</v>
      </c>
      <c r="V52" s="6" t="s">
        <v>348</v>
      </c>
      <c r="W52" s="6" t="s">
        <v>351</v>
      </c>
      <c r="X52" s="6" t="s">
        <v>632</v>
      </c>
      <c r="Y52" s="6"/>
      <c r="Z52" s="6"/>
      <c r="AA52" s="6"/>
      <c r="AB52" s="6"/>
      <c r="AC52" s="6"/>
      <c r="AD52">
        <v>96</v>
      </c>
    </row>
    <row r="53" spans="1:30" x14ac:dyDescent="0.25">
      <c r="A53" s="9">
        <f t="shared" si="0"/>
        <v>42643</v>
      </c>
      <c r="B53">
        <v>50179607</v>
      </c>
      <c r="C53" s="6" t="s">
        <v>159</v>
      </c>
      <c r="D53">
        <v>1</v>
      </c>
      <c r="E53">
        <v>1</v>
      </c>
      <c r="F53">
        <v>1</v>
      </c>
      <c r="G53">
        <v>25</v>
      </c>
      <c r="H53">
        <v>2</v>
      </c>
      <c r="I53" s="6"/>
      <c r="J53" s="6"/>
      <c r="K53" s="6"/>
      <c r="L53" s="6"/>
      <c r="M53" s="2" t="s">
        <v>190</v>
      </c>
      <c r="N53" s="6" t="s">
        <v>170</v>
      </c>
      <c r="O53" s="6" t="s">
        <v>187</v>
      </c>
      <c r="P53" s="6" t="s">
        <v>24</v>
      </c>
      <c r="Q53" s="6" t="s">
        <v>291</v>
      </c>
      <c r="R53" s="6" t="s">
        <v>577</v>
      </c>
      <c r="S53" s="6" t="s">
        <v>340</v>
      </c>
      <c r="T53" s="6"/>
      <c r="U53" s="6" t="s">
        <v>345</v>
      </c>
      <c r="V53" s="6" t="s">
        <v>348</v>
      </c>
      <c r="W53" s="6" t="s">
        <v>351</v>
      </c>
      <c r="X53" s="6"/>
      <c r="Y53" s="6" t="s">
        <v>402</v>
      </c>
      <c r="Z53" s="6"/>
      <c r="AA53" s="6"/>
      <c r="AB53" s="6"/>
      <c r="AC53" s="6"/>
      <c r="AD53">
        <v>97</v>
      </c>
    </row>
    <row r="54" spans="1:30" x14ac:dyDescent="0.25">
      <c r="A54" s="9">
        <f t="shared" si="0"/>
        <v>42643</v>
      </c>
      <c r="B54">
        <v>50180207</v>
      </c>
      <c r="C54" s="6" t="s">
        <v>159</v>
      </c>
      <c r="D54">
        <v>1</v>
      </c>
      <c r="E54">
        <v>1</v>
      </c>
      <c r="F54">
        <v>1</v>
      </c>
      <c r="G54">
        <v>15</v>
      </c>
      <c r="H54">
        <v>1</v>
      </c>
      <c r="I54" s="6"/>
      <c r="J54" s="6"/>
      <c r="K54" s="6"/>
      <c r="L54" s="6"/>
      <c r="M54" s="2" t="s">
        <v>190</v>
      </c>
      <c r="N54" s="6" t="s">
        <v>163</v>
      </c>
      <c r="O54" s="6" t="s">
        <v>187</v>
      </c>
      <c r="P54" s="6" t="s">
        <v>24</v>
      </c>
      <c r="Q54" s="6" t="s">
        <v>291</v>
      </c>
      <c r="R54" s="6" t="s">
        <v>578</v>
      </c>
      <c r="S54" s="6" t="s">
        <v>340</v>
      </c>
      <c r="T54" s="6"/>
      <c r="U54" s="6" t="s">
        <v>345</v>
      </c>
      <c r="V54" s="6" t="s">
        <v>348</v>
      </c>
      <c r="W54" s="6" t="s">
        <v>351</v>
      </c>
      <c r="X54" s="6"/>
      <c r="Y54" s="6" t="s">
        <v>649</v>
      </c>
      <c r="Z54" s="6"/>
      <c r="AA54" s="6"/>
      <c r="AB54" s="6"/>
      <c r="AC54" s="6"/>
      <c r="AD54">
        <v>98</v>
      </c>
    </row>
    <row r="55" spans="1:30" x14ac:dyDescent="0.25">
      <c r="A55" s="9">
        <f t="shared" si="0"/>
        <v>42646</v>
      </c>
      <c r="B55">
        <v>50180282</v>
      </c>
      <c r="C55" s="6" t="s">
        <v>159</v>
      </c>
      <c r="D55">
        <v>1</v>
      </c>
      <c r="E55">
        <v>1</v>
      </c>
      <c r="F55">
        <v>0</v>
      </c>
      <c r="G55">
        <v>3</v>
      </c>
      <c r="H55">
        <v>3</v>
      </c>
      <c r="I55" s="6"/>
      <c r="J55" s="6"/>
      <c r="K55" s="6"/>
      <c r="L55" s="6"/>
      <c r="M55" s="2" t="s">
        <v>164</v>
      </c>
      <c r="N55" s="6" t="s">
        <v>188</v>
      </c>
      <c r="O55" s="6" t="s">
        <v>163</v>
      </c>
      <c r="P55" s="6" t="s">
        <v>24</v>
      </c>
      <c r="Q55" s="6" t="s">
        <v>291</v>
      </c>
      <c r="R55" s="6"/>
      <c r="S55" s="6" t="s">
        <v>340</v>
      </c>
      <c r="T55" s="6"/>
      <c r="U55" s="6" t="s">
        <v>345</v>
      </c>
      <c r="V55" s="6" t="s">
        <v>348</v>
      </c>
      <c r="W55" s="6" t="s">
        <v>351</v>
      </c>
      <c r="X55" s="6" t="s">
        <v>376</v>
      </c>
      <c r="Y55" s="6"/>
      <c r="Z55" s="6"/>
      <c r="AA55" s="6"/>
      <c r="AB55" s="6"/>
      <c r="AC55" s="6"/>
      <c r="AD55">
        <v>99</v>
      </c>
    </row>
    <row r="56" spans="1:30" x14ac:dyDescent="0.25">
      <c r="A56" s="9">
        <f t="shared" si="0"/>
        <v>42674</v>
      </c>
      <c r="B56">
        <v>50172750</v>
      </c>
      <c r="C56" s="6" t="s">
        <v>159</v>
      </c>
      <c r="D56">
        <v>1</v>
      </c>
      <c r="E56">
        <v>1</v>
      </c>
      <c r="F56">
        <v>1</v>
      </c>
      <c r="G56">
        <v>6</v>
      </c>
      <c r="H56">
        <v>1</v>
      </c>
      <c r="I56" s="6"/>
      <c r="J56" s="6"/>
      <c r="K56" s="6"/>
      <c r="L56" s="6"/>
      <c r="M56" s="2" t="s">
        <v>169</v>
      </c>
      <c r="N56" s="6" t="s">
        <v>542</v>
      </c>
      <c r="O56" s="6" t="s">
        <v>183</v>
      </c>
      <c r="P56" s="6" t="s">
        <v>24</v>
      </c>
      <c r="Q56" s="6" t="s">
        <v>291</v>
      </c>
      <c r="R56" s="6"/>
      <c r="S56" s="6" t="s">
        <v>340</v>
      </c>
      <c r="T56" s="6"/>
      <c r="U56" s="6" t="s">
        <v>345</v>
      </c>
      <c r="V56" s="6" t="s">
        <v>348</v>
      </c>
      <c r="W56" s="6" t="s">
        <v>351</v>
      </c>
      <c r="X56" s="6" t="s">
        <v>633</v>
      </c>
      <c r="Y56" s="6"/>
      <c r="Z56" s="6"/>
      <c r="AA56" s="6"/>
      <c r="AB56" s="6"/>
      <c r="AC56" s="6"/>
      <c r="AD56">
        <v>103</v>
      </c>
    </row>
    <row r="57" spans="1:30" x14ac:dyDescent="0.25">
      <c r="A57" s="9">
        <f t="shared" si="0"/>
        <v>42674</v>
      </c>
      <c r="B57">
        <v>50173421</v>
      </c>
      <c r="C57" s="6" t="s">
        <v>159</v>
      </c>
      <c r="D57">
        <v>1</v>
      </c>
      <c r="E57">
        <v>1</v>
      </c>
      <c r="F57">
        <v>1</v>
      </c>
      <c r="G57">
        <v>4</v>
      </c>
      <c r="H57">
        <v>4</v>
      </c>
      <c r="I57" s="6"/>
      <c r="J57" s="6"/>
      <c r="K57" s="6"/>
      <c r="L57" s="6"/>
      <c r="M57" s="2" t="s">
        <v>169</v>
      </c>
      <c r="N57" s="6" t="s">
        <v>220</v>
      </c>
      <c r="O57" s="6" t="s">
        <v>183</v>
      </c>
      <c r="P57" s="6" t="s">
        <v>24</v>
      </c>
      <c r="Q57" s="6" t="s">
        <v>291</v>
      </c>
      <c r="R57" s="6"/>
      <c r="S57" s="6" t="s">
        <v>340</v>
      </c>
      <c r="T57" s="6"/>
      <c r="U57" s="6" t="s">
        <v>345</v>
      </c>
      <c r="V57" s="6" t="s">
        <v>348</v>
      </c>
      <c r="W57" s="6" t="s">
        <v>351</v>
      </c>
      <c r="X57" s="6" t="s">
        <v>369</v>
      </c>
      <c r="Y57" s="6"/>
      <c r="Z57" s="6"/>
      <c r="AA57" s="6"/>
      <c r="AB57" s="6"/>
      <c r="AC57" s="6"/>
      <c r="AD57">
        <v>104</v>
      </c>
    </row>
    <row r="58" spans="1:30" x14ac:dyDescent="0.25">
      <c r="A58" s="9">
        <f t="shared" si="0"/>
        <v>42674</v>
      </c>
      <c r="B58">
        <v>50177323</v>
      </c>
      <c r="C58" s="6" t="s">
        <v>159</v>
      </c>
      <c r="D58">
        <v>1</v>
      </c>
      <c r="E58">
        <v>1</v>
      </c>
      <c r="F58">
        <v>1</v>
      </c>
      <c r="G58">
        <v>3</v>
      </c>
      <c r="H58">
        <v>1</v>
      </c>
      <c r="I58" s="6"/>
      <c r="J58" s="6"/>
      <c r="K58" s="6"/>
      <c r="L58" s="6"/>
      <c r="M58" s="2" t="s">
        <v>169</v>
      </c>
      <c r="N58" s="6" t="s">
        <v>218</v>
      </c>
      <c r="O58" s="6" t="s">
        <v>183</v>
      </c>
      <c r="P58" s="6" t="s">
        <v>24</v>
      </c>
      <c r="Q58" s="6" t="s">
        <v>291</v>
      </c>
      <c r="R58" s="6" t="s">
        <v>579</v>
      </c>
      <c r="S58" s="6" t="s">
        <v>340</v>
      </c>
      <c r="T58" s="6"/>
      <c r="U58" s="6" t="s">
        <v>345</v>
      </c>
      <c r="V58" s="6" t="s">
        <v>348</v>
      </c>
      <c r="W58" s="6" t="s">
        <v>351</v>
      </c>
      <c r="X58" s="6" t="s">
        <v>369</v>
      </c>
      <c r="Y58" s="6"/>
      <c r="Z58" s="6"/>
      <c r="AA58" s="6"/>
      <c r="AB58" s="6"/>
      <c r="AC58" s="6"/>
      <c r="AD58">
        <v>105</v>
      </c>
    </row>
    <row r="59" spans="1:30" x14ac:dyDescent="0.25">
      <c r="A59" s="9">
        <f t="shared" si="0"/>
        <v>42604</v>
      </c>
      <c r="B59">
        <v>50180198</v>
      </c>
      <c r="C59" s="6" t="s">
        <v>159</v>
      </c>
      <c r="D59">
        <v>1</v>
      </c>
      <c r="E59">
        <v>1</v>
      </c>
      <c r="F59">
        <v>1</v>
      </c>
      <c r="G59">
        <v>30</v>
      </c>
      <c r="H59">
        <v>2</v>
      </c>
      <c r="I59" s="6"/>
      <c r="J59" s="6"/>
      <c r="K59" s="6"/>
      <c r="L59" s="6"/>
      <c r="M59" s="2" t="s">
        <v>179</v>
      </c>
      <c r="N59" s="6" t="s">
        <v>179</v>
      </c>
      <c r="O59" s="6" t="s">
        <v>211</v>
      </c>
      <c r="P59" s="6" t="s">
        <v>25</v>
      </c>
      <c r="Q59" s="6" t="s">
        <v>291</v>
      </c>
      <c r="R59" s="6" t="s">
        <v>532</v>
      </c>
      <c r="S59" s="6" t="s">
        <v>340</v>
      </c>
      <c r="T59" s="6"/>
      <c r="U59" s="6" t="s">
        <v>346</v>
      </c>
      <c r="V59" s="6" t="s">
        <v>348</v>
      </c>
      <c r="W59" s="6" t="s">
        <v>348</v>
      </c>
      <c r="X59" s="6"/>
      <c r="Y59" s="6" t="s">
        <v>650</v>
      </c>
      <c r="Z59" s="6"/>
      <c r="AA59" s="6"/>
      <c r="AB59" s="6"/>
      <c r="AC59" s="6"/>
      <c r="AD59">
        <v>117</v>
      </c>
    </row>
    <row r="60" spans="1:30" x14ac:dyDescent="0.25">
      <c r="A60" s="9">
        <f t="shared" si="0"/>
        <v>42615</v>
      </c>
      <c r="B60">
        <v>50181557</v>
      </c>
      <c r="C60" s="6" t="s">
        <v>159</v>
      </c>
      <c r="D60">
        <v>1</v>
      </c>
      <c r="E60">
        <v>1</v>
      </c>
      <c r="F60">
        <v>1</v>
      </c>
      <c r="G60">
        <v>15</v>
      </c>
      <c r="H60">
        <v>15</v>
      </c>
      <c r="I60" s="6"/>
      <c r="J60" s="6"/>
      <c r="K60" s="6"/>
      <c r="L60" s="6"/>
      <c r="M60" s="2" t="s">
        <v>189</v>
      </c>
      <c r="N60" s="6" t="s">
        <v>173</v>
      </c>
      <c r="O60" s="6" t="s">
        <v>195</v>
      </c>
      <c r="P60" s="6" t="s">
        <v>25</v>
      </c>
      <c r="Q60" s="6" t="s">
        <v>291</v>
      </c>
      <c r="R60" s="6" t="s">
        <v>564</v>
      </c>
      <c r="S60" s="6" t="s">
        <v>340</v>
      </c>
      <c r="T60" s="6"/>
      <c r="U60" s="6" t="s">
        <v>346</v>
      </c>
      <c r="V60" s="6" t="s">
        <v>348</v>
      </c>
      <c r="W60" s="6" t="s">
        <v>348</v>
      </c>
      <c r="X60" s="6"/>
      <c r="Y60" s="6" t="s">
        <v>445</v>
      </c>
      <c r="Z60" s="6"/>
      <c r="AA60" s="6"/>
      <c r="AB60" s="6"/>
      <c r="AC60" s="6"/>
      <c r="AD60">
        <v>118</v>
      </c>
    </row>
    <row r="61" spans="1:30" x14ac:dyDescent="0.25">
      <c r="A61" s="9">
        <f t="shared" si="0"/>
        <v>42639</v>
      </c>
      <c r="B61">
        <v>50181637</v>
      </c>
      <c r="C61" s="6" t="s">
        <v>159</v>
      </c>
      <c r="D61">
        <v>1</v>
      </c>
      <c r="E61">
        <v>1</v>
      </c>
      <c r="F61">
        <v>1</v>
      </c>
      <c r="G61">
        <v>15</v>
      </c>
      <c r="H61">
        <v>15</v>
      </c>
      <c r="I61" s="6"/>
      <c r="J61" s="6"/>
      <c r="K61" s="6"/>
      <c r="L61" s="6"/>
      <c r="M61" s="2" t="s">
        <v>173</v>
      </c>
      <c r="N61" s="6" t="s">
        <v>173</v>
      </c>
      <c r="O61" s="6" t="s">
        <v>206</v>
      </c>
      <c r="P61" s="6" t="s">
        <v>25</v>
      </c>
      <c r="Q61" s="6" t="s">
        <v>291</v>
      </c>
      <c r="R61" s="6" t="s">
        <v>567</v>
      </c>
      <c r="S61" s="6" t="s">
        <v>340</v>
      </c>
      <c r="T61" s="6"/>
      <c r="U61" s="6" t="s">
        <v>346</v>
      </c>
      <c r="V61" s="6" t="s">
        <v>348</v>
      </c>
      <c r="W61" s="6" t="s">
        <v>348</v>
      </c>
      <c r="X61" s="6"/>
      <c r="Y61" s="6" t="s">
        <v>394</v>
      </c>
      <c r="Z61" s="6"/>
      <c r="AA61" s="6"/>
      <c r="AB61" s="6"/>
      <c r="AC61" s="6"/>
      <c r="AD61">
        <v>119</v>
      </c>
    </row>
    <row r="62" spans="1:30" x14ac:dyDescent="0.25">
      <c r="A62" s="9">
        <f t="shared" si="0"/>
        <v>42642</v>
      </c>
      <c r="B62">
        <v>50180663</v>
      </c>
      <c r="C62" s="6" t="s">
        <v>159</v>
      </c>
      <c r="D62">
        <v>1</v>
      </c>
      <c r="E62">
        <v>1</v>
      </c>
      <c r="F62">
        <v>1</v>
      </c>
      <c r="G62">
        <v>25</v>
      </c>
      <c r="H62">
        <v>25</v>
      </c>
      <c r="I62" s="6"/>
      <c r="J62" s="6"/>
      <c r="K62" s="6"/>
      <c r="L62" s="6"/>
      <c r="M62" s="2" t="s">
        <v>181</v>
      </c>
      <c r="N62" s="6" t="s">
        <v>173</v>
      </c>
      <c r="O62" s="6" t="s">
        <v>266</v>
      </c>
      <c r="P62" s="6" t="s">
        <v>25</v>
      </c>
      <c r="Q62" s="6" t="s">
        <v>291</v>
      </c>
      <c r="R62" s="6" t="s">
        <v>527</v>
      </c>
      <c r="S62" s="6" t="s">
        <v>340</v>
      </c>
      <c r="T62" s="6"/>
      <c r="U62" s="6" t="s">
        <v>346</v>
      </c>
      <c r="V62" s="6" t="s">
        <v>348</v>
      </c>
      <c r="W62" s="6" t="s">
        <v>348</v>
      </c>
      <c r="X62" s="6" t="s">
        <v>634</v>
      </c>
      <c r="Y62" s="6" t="s">
        <v>394</v>
      </c>
      <c r="Z62" s="6"/>
      <c r="AA62" s="6"/>
      <c r="AB62" s="6"/>
      <c r="AC62" s="6"/>
      <c r="AD62">
        <v>120</v>
      </c>
    </row>
    <row r="63" spans="1:30" x14ac:dyDescent="0.25">
      <c r="A63" s="9">
        <f t="shared" si="0"/>
        <v>42642</v>
      </c>
      <c r="B63">
        <v>50180664</v>
      </c>
      <c r="C63" s="6" t="s">
        <v>159</v>
      </c>
      <c r="D63">
        <v>1</v>
      </c>
      <c r="E63">
        <v>1</v>
      </c>
      <c r="F63">
        <v>1</v>
      </c>
      <c r="G63">
        <v>25</v>
      </c>
      <c r="H63">
        <v>25</v>
      </c>
      <c r="I63" s="6"/>
      <c r="J63" s="6"/>
      <c r="K63" s="6"/>
      <c r="L63" s="6"/>
      <c r="M63" s="2" t="s">
        <v>181</v>
      </c>
      <c r="N63" s="6" t="s">
        <v>173</v>
      </c>
      <c r="O63" s="6" t="s">
        <v>266</v>
      </c>
      <c r="P63" s="6" t="s">
        <v>25</v>
      </c>
      <c r="Q63" s="6" t="s">
        <v>291</v>
      </c>
      <c r="R63" s="6" t="s">
        <v>527</v>
      </c>
      <c r="S63" s="6" t="s">
        <v>340</v>
      </c>
      <c r="T63" s="6"/>
      <c r="U63" s="6" t="s">
        <v>346</v>
      </c>
      <c r="V63" s="6" t="s">
        <v>348</v>
      </c>
      <c r="W63" s="6" t="s">
        <v>348</v>
      </c>
      <c r="X63" s="6" t="s">
        <v>634</v>
      </c>
      <c r="Y63" s="6" t="s">
        <v>394</v>
      </c>
      <c r="Z63" s="6"/>
      <c r="AA63" s="6"/>
      <c r="AB63" s="6"/>
      <c r="AC63" s="6"/>
      <c r="AD63">
        <v>121</v>
      </c>
    </row>
    <row r="64" spans="1:30" x14ac:dyDescent="0.25">
      <c r="A64" s="9">
        <f t="shared" si="0"/>
        <v>42642</v>
      </c>
      <c r="B64">
        <v>50180665</v>
      </c>
      <c r="C64" s="6" t="s">
        <v>159</v>
      </c>
      <c r="D64">
        <v>1</v>
      </c>
      <c r="E64">
        <v>1</v>
      </c>
      <c r="F64">
        <v>1</v>
      </c>
      <c r="G64">
        <v>25</v>
      </c>
      <c r="H64">
        <v>24</v>
      </c>
      <c r="I64" s="6"/>
      <c r="J64" s="6"/>
      <c r="K64" s="6"/>
      <c r="L64" s="6"/>
      <c r="M64" s="2" t="s">
        <v>181</v>
      </c>
      <c r="N64" s="6" t="s">
        <v>173</v>
      </c>
      <c r="O64" s="6" t="s">
        <v>266</v>
      </c>
      <c r="P64" s="6" t="s">
        <v>25</v>
      </c>
      <c r="Q64" s="6" t="s">
        <v>291</v>
      </c>
      <c r="R64" s="6" t="s">
        <v>536</v>
      </c>
      <c r="S64" s="6" t="s">
        <v>340</v>
      </c>
      <c r="T64" s="6"/>
      <c r="U64" s="6" t="s">
        <v>346</v>
      </c>
      <c r="V64" s="6" t="s">
        <v>348</v>
      </c>
      <c r="W64" s="6" t="s">
        <v>348</v>
      </c>
      <c r="X64" s="6" t="s">
        <v>634</v>
      </c>
      <c r="Y64" s="6" t="s">
        <v>403</v>
      </c>
      <c r="Z64" s="6"/>
      <c r="AA64" s="6"/>
      <c r="AB64" s="6"/>
      <c r="AC64" s="6"/>
      <c r="AD64">
        <v>122</v>
      </c>
    </row>
    <row r="65" spans="1:30" x14ac:dyDescent="0.25">
      <c r="A65" s="9">
        <f t="shared" si="0"/>
        <v>42642</v>
      </c>
      <c r="B65">
        <v>50180666</v>
      </c>
      <c r="C65" s="6" t="s">
        <v>159</v>
      </c>
      <c r="D65">
        <v>1</v>
      </c>
      <c r="E65">
        <v>1</v>
      </c>
      <c r="F65">
        <v>1</v>
      </c>
      <c r="G65">
        <v>25</v>
      </c>
      <c r="H65">
        <v>25</v>
      </c>
      <c r="I65" s="6"/>
      <c r="J65" s="6"/>
      <c r="K65" s="6"/>
      <c r="L65" s="6"/>
      <c r="M65" s="2" t="s">
        <v>181</v>
      </c>
      <c r="N65" s="6" t="s">
        <v>173</v>
      </c>
      <c r="O65" s="6" t="s">
        <v>266</v>
      </c>
      <c r="P65" s="6" t="s">
        <v>25</v>
      </c>
      <c r="Q65" s="6" t="s">
        <v>291</v>
      </c>
      <c r="R65" s="6" t="s">
        <v>527</v>
      </c>
      <c r="S65" s="6" t="s">
        <v>340</v>
      </c>
      <c r="T65" s="6"/>
      <c r="U65" s="6" t="s">
        <v>346</v>
      </c>
      <c r="V65" s="6" t="s">
        <v>348</v>
      </c>
      <c r="W65" s="6" t="s">
        <v>348</v>
      </c>
      <c r="X65" s="6" t="s">
        <v>634</v>
      </c>
      <c r="Y65" s="6" t="s">
        <v>403</v>
      </c>
      <c r="Z65" s="6"/>
      <c r="AA65" s="6"/>
      <c r="AB65" s="6"/>
      <c r="AC65" s="6"/>
      <c r="AD65">
        <v>123</v>
      </c>
    </row>
    <row r="66" spans="1:30" x14ac:dyDescent="0.25">
      <c r="A66" s="9">
        <f t="shared" si="0"/>
        <v>42642</v>
      </c>
      <c r="B66">
        <v>50180667</v>
      </c>
      <c r="C66" s="6" t="s">
        <v>159</v>
      </c>
      <c r="D66">
        <v>1</v>
      </c>
      <c r="E66">
        <v>1</v>
      </c>
      <c r="F66">
        <v>1</v>
      </c>
      <c r="G66">
        <v>20</v>
      </c>
      <c r="H66">
        <v>20</v>
      </c>
      <c r="I66" s="6"/>
      <c r="J66" s="6"/>
      <c r="K66" s="6"/>
      <c r="L66" s="6"/>
      <c r="M66" s="2" t="s">
        <v>181</v>
      </c>
      <c r="N66" s="6" t="s">
        <v>173</v>
      </c>
      <c r="O66" s="6" t="s">
        <v>266</v>
      </c>
      <c r="P66" s="6" t="s">
        <v>25</v>
      </c>
      <c r="Q66" s="6" t="s">
        <v>291</v>
      </c>
      <c r="R66" s="6" t="s">
        <v>580</v>
      </c>
      <c r="S66" s="6" t="s">
        <v>340</v>
      </c>
      <c r="T66" s="6"/>
      <c r="U66" s="6" t="s">
        <v>346</v>
      </c>
      <c r="V66" s="6" t="s">
        <v>348</v>
      </c>
      <c r="W66" s="6" t="s">
        <v>348</v>
      </c>
      <c r="X66" s="6" t="s">
        <v>634</v>
      </c>
      <c r="Y66" s="6" t="s">
        <v>394</v>
      </c>
      <c r="Z66" s="6"/>
      <c r="AA66" s="6"/>
      <c r="AB66" s="6"/>
      <c r="AC66" s="6"/>
      <c r="AD66">
        <v>124</v>
      </c>
    </row>
    <row r="67" spans="1:30" x14ac:dyDescent="0.25">
      <c r="A67" s="9">
        <f t="shared" ref="A67:A130" si="1">IF(M67="","",DATEVALUE(M67))</f>
        <v>42593</v>
      </c>
      <c r="B67">
        <v>50178976</v>
      </c>
      <c r="C67" s="6" t="s">
        <v>159</v>
      </c>
      <c r="D67">
        <v>1</v>
      </c>
      <c r="E67">
        <v>1</v>
      </c>
      <c r="F67">
        <v>1</v>
      </c>
      <c r="G67">
        <v>10</v>
      </c>
      <c r="H67">
        <v>10</v>
      </c>
      <c r="I67" s="6"/>
      <c r="J67" s="6"/>
      <c r="K67" s="6"/>
      <c r="L67" s="6"/>
      <c r="M67" s="2" t="s">
        <v>187</v>
      </c>
      <c r="N67" s="6" t="s">
        <v>174</v>
      </c>
      <c r="O67" s="6" t="s">
        <v>230</v>
      </c>
      <c r="P67" s="6" t="s">
        <v>26</v>
      </c>
      <c r="Q67" s="6" t="s">
        <v>291</v>
      </c>
      <c r="R67" s="6" t="s">
        <v>537</v>
      </c>
      <c r="S67" s="6" t="s">
        <v>340</v>
      </c>
      <c r="T67" s="6"/>
      <c r="U67" s="6" t="s">
        <v>345</v>
      </c>
      <c r="V67" s="6" t="s">
        <v>348</v>
      </c>
      <c r="W67" s="6" t="s">
        <v>354</v>
      </c>
      <c r="X67" s="6" t="s">
        <v>372</v>
      </c>
      <c r="Y67" s="6" t="s">
        <v>399</v>
      </c>
      <c r="Z67" s="6"/>
      <c r="AA67" s="6"/>
      <c r="AB67" s="6"/>
      <c r="AC67" s="6"/>
      <c r="AD67">
        <v>125</v>
      </c>
    </row>
    <row r="68" spans="1:30" x14ac:dyDescent="0.25">
      <c r="A68" s="9">
        <f t="shared" si="1"/>
        <v>42632</v>
      </c>
      <c r="B68">
        <v>50181675</v>
      </c>
      <c r="C68" s="6" t="s">
        <v>159</v>
      </c>
      <c r="D68">
        <v>1</v>
      </c>
      <c r="E68">
        <v>1</v>
      </c>
      <c r="F68">
        <v>1</v>
      </c>
      <c r="G68">
        <v>15</v>
      </c>
      <c r="H68">
        <v>15</v>
      </c>
      <c r="I68" s="6"/>
      <c r="J68" s="6"/>
      <c r="K68" s="6"/>
      <c r="L68" s="6"/>
      <c r="M68" s="2" t="s">
        <v>177</v>
      </c>
      <c r="N68" s="6" t="s">
        <v>193</v>
      </c>
      <c r="O68" s="6" t="s">
        <v>167</v>
      </c>
      <c r="P68" s="6" t="s">
        <v>26</v>
      </c>
      <c r="Q68" s="6" t="s">
        <v>291</v>
      </c>
      <c r="R68" s="6" t="s">
        <v>574</v>
      </c>
      <c r="S68" s="6" t="s">
        <v>340</v>
      </c>
      <c r="T68" s="6"/>
      <c r="U68" s="6" t="s">
        <v>345</v>
      </c>
      <c r="V68" s="6" t="s">
        <v>348</v>
      </c>
      <c r="W68" s="6" t="s">
        <v>354</v>
      </c>
      <c r="X68" s="6" t="s">
        <v>452</v>
      </c>
      <c r="Y68" s="6" t="s">
        <v>651</v>
      </c>
      <c r="Z68" s="6"/>
      <c r="AA68" s="6"/>
      <c r="AB68" s="6"/>
      <c r="AC68" s="6"/>
      <c r="AD68">
        <v>126</v>
      </c>
    </row>
    <row r="69" spans="1:30" x14ac:dyDescent="0.25">
      <c r="A69" s="9">
        <f t="shared" si="1"/>
        <v>42583</v>
      </c>
      <c r="B69">
        <v>50181377</v>
      </c>
      <c r="C69" s="6" t="s">
        <v>159</v>
      </c>
      <c r="D69">
        <v>1</v>
      </c>
      <c r="E69">
        <v>1</v>
      </c>
      <c r="F69">
        <v>1</v>
      </c>
      <c r="G69">
        <v>15</v>
      </c>
      <c r="H69">
        <v>15</v>
      </c>
      <c r="I69" s="6"/>
      <c r="J69" s="6"/>
      <c r="K69" s="6"/>
      <c r="L69" s="6"/>
      <c r="M69" s="2" t="s">
        <v>167</v>
      </c>
      <c r="N69" s="6" t="s">
        <v>275</v>
      </c>
      <c r="O69" s="6" t="s">
        <v>237</v>
      </c>
      <c r="P69" s="6" t="s">
        <v>27</v>
      </c>
      <c r="Q69" s="6" t="s">
        <v>560</v>
      </c>
      <c r="R69" s="6" t="s">
        <v>565</v>
      </c>
      <c r="S69" s="6" t="s">
        <v>340</v>
      </c>
      <c r="T69" s="6"/>
      <c r="U69" s="6"/>
      <c r="V69" s="6" t="s">
        <v>348</v>
      </c>
      <c r="W69" s="6" t="s">
        <v>350</v>
      </c>
      <c r="X69" s="6"/>
      <c r="Y69" s="6"/>
      <c r="Z69" s="6"/>
      <c r="AA69" s="6"/>
      <c r="AB69" s="6"/>
      <c r="AC69" s="6"/>
      <c r="AD69">
        <v>127</v>
      </c>
    </row>
    <row r="70" spans="1:30" x14ac:dyDescent="0.25">
      <c r="A70" s="9">
        <f t="shared" si="1"/>
        <v>42615</v>
      </c>
      <c r="B70">
        <v>50181219</v>
      </c>
      <c r="C70" s="6" t="s">
        <v>159</v>
      </c>
      <c r="D70">
        <v>1</v>
      </c>
      <c r="E70">
        <v>1</v>
      </c>
      <c r="F70">
        <v>1</v>
      </c>
      <c r="G70">
        <v>25</v>
      </c>
      <c r="H70">
        <v>25</v>
      </c>
      <c r="I70" s="6"/>
      <c r="J70" s="6"/>
      <c r="K70" s="6"/>
      <c r="L70" s="6"/>
      <c r="M70" s="2" t="s">
        <v>189</v>
      </c>
      <c r="N70" s="6" t="s">
        <v>189</v>
      </c>
      <c r="O70" s="6" t="s">
        <v>195</v>
      </c>
      <c r="P70" s="6" t="s">
        <v>29</v>
      </c>
      <c r="Q70" s="6" t="s">
        <v>291</v>
      </c>
      <c r="R70" s="6" t="s">
        <v>581</v>
      </c>
      <c r="S70" s="6" t="s">
        <v>340</v>
      </c>
      <c r="T70" s="6"/>
      <c r="U70" s="6" t="s">
        <v>345</v>
      </c>
      <c r="V70" s="6" t="s">
        <v>348</v>
      </c>
      <c r="W70" s="6" t="s">
        <v>357</v>
      </c>
      <c r="X70" s="6"/>
      <c r="Y70" s="6" t="s">
        <v>652</v>
      </c>
      <c r="Z70" s="6"/>
      <c r="AA70" s="6"/>
      <c r="AB70" s="6"/>
      <c r="AC70" s="6"/>
      <c r="AD70">
        <v>128</v>
      </c>
    </row>
    <row r="71" spans="1:30" x14ac:dyDescent="0.25">
      <c r="A71" s="9">
        <f t="shared" si="1"/>
        <v>42615</v>
      </c>
      <c r="B71">
        <v>50181220</v>
      </c>
      <c r="C71" s="6" t="s">
        <v>159</v>
      </c>
      <c r="D71">
        <v>1</v>
      </c>
      <c r="E71">
        <v>1</v>
      </c>
      <c r="F71">
        <v>1</v>
      </c>
      <c r="G71">
        <v>15</v>
      </c>
      <c r="H71">
        <v>15</v>
      </c>
      <c r="I71" s="6"/>
      <c r="J71" s="6"/>
      <c r="K71" s="6"/>
      <c r="L71" s="6"/>
      <c r="M71" s="2" t="s">
        <v>189</v>
      </c>
      <c r="N71" s="6" t="s">
        <v>189</v>
      </c>
      <c r="O71" s="6" t="s">
        <v>195</v>
      </c>
      <c r="P71" s="6" t="s">
        <v>29</v>
      </c>
      <c r="Q71" s="6" t="s">
        <v>291</v>
      </c>
      <c r="R71" s="6" t="s">
        <v>564</v>
      </c>
      <c r="S71" s="6" t="s">
        <v>340</v>
      </c>
      <c r="T71" s="6"/>
      <c r="U71" s="6" t="s">
        <v>345</v>
      </c>
      <c r="V71" s="6" t="s">
        <v>348</v>
      </c>
      <c r="W71" s="6" t="s">
        <v>357</v>
      </c>
      <c r="X71" s="6"/>
      <c r="Y71" s="6" t="s">
        <v>652</v>
      </c>
      <c r="Z71" s="6"/>
      <c r="AA71" s="6"/>
      <c r="AB71" s="6"/>
      <c r="AC71" s="6"/>
      <c r="AD71">
        <v>129</v>
      </c>
    </row>
    <row r="72" spans="1:30" x14ac:dyDescent="0.25">
      <c r="A72" s="9">
        <f t="shared" si="1"/>
        <v>42615</v>
      </c>
      <c r="B72">
        <v>50181221</v>
      </c>
      <c r="C72" s="6" t="s">
        <v>159</v>
      </c>
      <c r="D72">
        <v>1</v>
      </c>
      <c r="E72">
        <v>1</v>
      </c>
      <c r="F72">
        <v>1</v>
      </c>
      <c r="G72">
        <v>10</v>
      </c>
      <c r="H72">
        <v>10</v>
      </c>
      <c r="I72" s="6"/>
      <c r="J72" s="6"/>
      <c r="K72" s="6"/>
      <c r="L72" s="6"/>
      <c r="M72" s="2" t="s">
        <v>189</v>
      </c>
      <c r="N72" s="6" t="s">
        <v>189</v>
      </c>
      <c r="O72" s="6" t="s">
        <v>195</v>
      </c>
      <c r="P72" s="6" t="s">
        <v>30</v>
      </c>
      <c r="Q72" s="6" t="s">
        <v>291</v>
      </c>
      <c r="R72" s="6" t="s">
        <v>582</v>
      </c>
      <c r="S72" s="6" t="s">
        <v>340</v>
      </c>
      <c r="T72" s="6"/>
      <c r="U72" s="6" t="s">
        <v>346</v>
      </c>
      <c r="V72" s="6" t="s">
        <v>348</v>
      </c>
      <c r="W72" s="6" t="s">
        <v>351</v>
      </c>
      <c r="X72" s="6"/>
      <c r="Y72" s="6" t="s">
        <v>445</v>
      </c>
      <c r="Z72" s="6"/>
      <c r="AA72" s="6"/>
      <c r="AB72" s="6"/>
      <c r="AC72" s="6"/>
      <c r="AD72">
        <v>130</v>
      </c>
    </row>
    <row r="73" spans="1:30" x14ac:dyDescent="0.25">
      <c r="A73" s="9">
        <f t="shared" si="1"/>
        <v>42635</v>
      </c>
      <c r="B73">
        <v>50181890</v>
      </c>
      <c r="C73" s="6" t="s">
        <v>159</v>
      </c>
      <c r="D73">
        <v>1</v>
      </c>
      <c r="E73">
        <v>1</v>
      </c>
      <c r="F73">
        <v>1</v>
      </c>
      <c r="G73">
        <v>10</v>
      </c>
      <c r="H73">
        <v>10</v>
      </c>
      <c r="I73" s="6"/>
      <c r="J73" s="6"/>
      <c r="K73" s="6"/>
      <c r="L73" s="6"/>
      <c r="M73" s="2" t="s">
        <v>204</v>
      </c>
      <c r="N73" s="6" t="s">
        <v>177</v>
      </c>
      <c r="O73" s="6" t="s">
        <v>198</v>
      </c>
      <c r="P73" s="6" t="s">
        <v>30</v>
      </c>
      <c r="Q73" s="6" t="s">
        <v>291</v>
      </c>
      <c r="R73" s="6" t="s">
        <v>583</v>
      </c>
      <c r="S73" s="6" t="s">
        <v>340</v>
      </c>
      <c r="T73" s="6"/>
      <c r="U73" s="6" t="s">
        <v>346</v>
      </c>
      <c r="V73" s="6" t="s">
        <v>348</v>
      </c>
      <c r="W73" s="6" t="s">
        <v>351</v>
      </c>
      <c r="X73" s="6"/>
      <c r="Y73" s="6" t="s">
        <v>394</v>
      </c>
      <c r="Z73" s="6"/>
      <c r="AA73" s="6"/>
      <c r="AB73" s="6"/>
      <c r="AC73" s="6"/>
      <c r="AD73">
        <v>131</v>
      </c>
    </row>
    <row r="74" spans="1:30" x14ac:dyDescent="0.25">
      <c r="A74" s="9">
        <f t="shared" si="1"/>
        <v>42674</v>
      </c>
      <c r="B74">
        <v>50178051</v>
      </c>
      <c r="C74" s="6" t="s">
        <v>159</v>
      </c>
      <c r="D74">
        <v>1</v>
      </c>
      <c r="E74">
        <v>1</v>
      </c>
      <c r="F74">
        <v>1</v>
      </c>
      <c r="G74">
        <v>1</v>
      </c>
      <c r="H74">
        <v>1</v>
      </c>
      <c r="I74" s="6"/>
      <c r="J74" s="6"/>
      <c r="K74" s="6"/>
      <c r="L74" s="6"/>
      <c r="M74" s="2" t="s">
        <v>169</v>
      </c>
      <c r="N74" s="6" t="s">
        <v>200</v>
      </c>
      <c r="O74" s="6" t="s">
        <v>183</v>
      </c>
      <c r="P74" s="6" t="s">
        <v>30</v>
      </c>
      <c r="Q74" s="6" t="s">
        <v>291</v>
      </c>
      <c r="R74" s="6"/>
      <c r="S74" s="6" t="s">
        <v>340</v>
      </c>
      <c r="T74" s="6"/>
      <c r="U74" s="6" t="s">
        <v>346</v>
      </c>
      <c r="V74" s="6" t="s">
        <v>348</v>
      </c>
      <c r="W74" s="6" t="s">
        <v>351</v>
      </c>
      <c r="X74" s="6" t="s">
        <v>369</v>
      </c>
      <c r="Y74" s="6"/>
      <c r="Z74" s="6"/>
      <c r="AA74" s="6"/>
      <c r="AB74" s="6"/>
      <c r="AC74" s="6"/>
      <c r="AD74">
        <v>134</v>
      </c>
    </row>
    <row r="75" spans="1:30" x14ac:dyDescent="0.25">
      <c r="A75" s="9">
        <f t="shared" si="1"/>
        <v>42688</v>
      </c>
      <c r="B75">
        <v>50177916</v>
      </c>
      <c r="C75" s="6" t="s">
        <v>159</v>
      </c>
      <c r="D75">
        <v>1</v>
      </c>
      <c r="E75">
        <v>1</v>
      </c>
      <c r="F75">
        <v>0</v>
      </c>
      <c r="G75">
        <v>10</v>
      </c>
      <c r="H75">
        <v>10</v>
      </c>
      <c r="I75" s="6"/>
      <c r="J75" s="6"/>
      <c r="K75" s="6"/>
      <c r="L75" s="6"/>
      <c r="M75" s="2" t="s">
        <v>162</v>
      </c>
      <c r="N75" s="6" t="s">
        <v>543</v>
      </c>
      <c r="O75" s="6" t="s">
        <v>180</v>
      </c>
      <c r="P75" s="6" t="s">
        <v>31</v>
      </c>
      <c r="Q75" s="6" t="s">
        <v>291</v>
      </c>
      <c r="R75" s="6" t="s">
        <v>584</v>
      </c>
      <c r="S75" s="6" t="s">
        <v>340</v>
      </c>
      <c r="T75" s="6"/>
      <c r="U75" s="6" t="s">
        <v>346</v>
      </c>
      <c r="V75" s="6" t="s">
        <v>348</v>
      </c>
      <c r="W75" s="6" t="s">
        <v>351</v>
      </c>
      <c r="X75" s="6"/>
      <c r="Y75" s="6" t="s">
        <v>404</v>
      </c>
      <c r="Z75" s="6"/>
      <c r="AA75" s="6"/>
      <c r="AB75" s="6"/>
      <c r="AC75" s="6"/>
      <c r="AD75">
        <v>139</v>
      </c>
    </row>
    <row r="76" spans="1:30" x14ac:dyDescent="0.25">
      <c r="A76" s="9">
        <f t="shared" si="1"/>
        <v>42688</v>
      </c>
      <c r="B76">
        <v>50169159</v>
      </c>
      <c r="C76" s="6" t="s">
        <v>159</v>
      </c>
      <c r="D76">
        <v>1</v>
      </c>
      <c r="E76">
        <v>1</v>
      </c>
      <c r="F76">
        <v>0</v>
      </c>
      <c r="G76">
        <v>2</v>
      </c>
      <c r="H76">
        <v>2</v>
      </c>
      <c r="I76" s="6"/>
      <c r="J76" s="6"/>
      <c r="K76" s="6"/>
      <c r="L76" s="6"/>
      <c r="M76" s="2" t="s">
        <v>162</v>
      </c>
      <c r="N76" s="6" t="s">
        <v>223</v>
      </c>
      <c r="O76" s="6" t="s">
        <v>180</v>
      </c>
      <c r="P76" s="6" t="s">
        <v>31</v>
      </c>
      <c r="Q76" s="6" t="s">
        <v>291</v>
      </c>
      <c r="R76" s="6" t="s">
        <v>584</v>
      </c>
      <c r="S76" s="6" t="s">
        <v>340</v>
      </c>
      <c r="T76" s="6"/>
      <c r="U76" s="6" t="s">
        <v>345</v>
      </c>
      <c r="V76" s="6" t="s">
        <v>348</v>
      </c>
      <c r="W76" s="6" t="s">
        <v>357</v>
      </c>
      <c r="X76" s="6" t="s">
        <v>377</v>
      </c>
      <c r="Y76" s="6"/>
      <c r="Z76" s="6"/>
      <c r="AA76" s="6"/>
      <c r="AB76" s="6"/>
      <c r="AC76" s="6"/>
      <c r="AD76">
        <v>140</v>
      </c>
    </row>
    <row r="77" spans="1:30" x14ac:dyDescent="0.25">
      <c r="A77" s="9">
        <f t="shared" si="1"/>
        <v>42579</v>
      </c>
      <c r="B77">
        <v>50181530</v>
      </c>
      <c r="C77" s="6" t="s">
        <v>159</v>
      </c>
      <c r="D77">
        <v>1</v>
      </c>
      <c r="E77">
        <v>1</v>
      </c>
      <c r="F77">
        <v>1</v>
      </c>
      <c r="G77">
        <v>5</v>
      </c>
      <c r="H77">
        <v>5</v>
      </c>
      <c r="I77" s="6"/>
      <c r="J77" s="6"/>
      <c r="K77" s="6"/>
      <c r="L77" s="6"/>
      <c r="M77" s="2" t="s">
        <v>186</v>
      </c>
      <c r="N77" s="6" t="s">
        <v>188</v>
      </c>
      <c r="O77" s="6" t="s">
        <v>265</v>
      </c>
      <c r="P77" s="6" t="s">
        <v>32</v>
      </c>
      <c r="Q77" s="6" t="s">
        <v>291</v>
      </c>
      <c r="R77" s="6"/>
      <c r="S77" s="6" t="s">
        <v>340</v>
      </c>
      <c r="T77" s="6"/>
      <c r="U77" s="6" t="s">
        <v>345</v>
      </c>
      <c r="V77" s="6" t="s">
        <v>348</v>
      </c>
      <c r="W77" s="6" t="s">
        <v>350</v>
      </c>
      <c r="X77" s="6"/>
      <c r="Y77" s="6"/>
      <c r="Z77" s="6"/>
      <c r="AA77" s="6"/>
      <c r="AB77" s="6"/>
      <c r="AC77" s="6"/>
      <c r="AD77">
        <v>143</v>
      </c>
    </row>
    <row r="78" spans="1:30" x14ac:dyDescent="0.25">
      <c r="A78" s="9">
        <f t="shared" si="1"/>
        <v>42621</v>
      </c>
      <c r="B78">
        <v>50181439</v>
      </c>
      <c r="C78" s="6" t="s">
        <v>159</v>
      </c>
      <c r="D78">
        <v>1</v>
      </c>
      <c r="E78">
        <v>1</v>
      </c>
      <c r="F78">
        <v>1</v>
      </c>
      <c r="G78">
        <v>10</v>
      </c>
      <c r="H78">
        <v>1</v>
      </c>
      <c r="I78" s="6"/>
      <c r="J78" s="6"/>
      <c r="K78" s="6"/>
      <c r="L78" s="6"/>
      <c r="M78" s="2" t="s">
        <v>196</v>
      </c>
      <c r="N78" s="6" t="s">
        <v>175</v>
      </c>
      <c r="O78" s="6" t="s">
        <v>212</v>
      </c>
      <c r="P78" s="6" t="s">
        <v>32</v>
      </c>
      <c r="Q78" s="6" t="s">
        <v>291</v>
      </c>
      <c r="R78" s="6"/>
      <c r="S78" s="6" t="s">
        <v>340</v>
      </c>
      <c r="T78" s="6"/>
      <c r="U78" s="6" t="s">
        <v>345</v>
      </c>
      <c r="V78" s="6" t="s">
        <v>348</v>
      </c>
      <c r="W78" s="6" t="s">
        <v>350</v>
      </c>
      <c r="X78" s="6"/>
      <c r="Y78" s="6" t="s">
        <v>645</v>
      </c>
      <c r="Z78" s="6"/>
      <c r="AA78" s="6"/>
      <c r="AB78" s="6"/>
      <c r="AC78" s="6"/>
      <c r="AD78">
        <v>144</v>
      </c>
    </row>
    <row r="79" spans="1:30" x14ac:dyDescent="0.25">
      <c r="A79" s="9">
        <f t="shared" si="1"/>
        <v>42643</v>
      </c>
      <c r="B79">
        <v>50179253</v>
      </c>
      <c r="C79" s="6" t="s">
        <v>159</v>
      </c>
      <c r="D79">
        <v>1</v>
      </c>
      <c r="E79">
        <v>1</v>
      </c>
      <c r="F79">
        <v>1</v>
      </c>
      <c r="G79">
        <v>9</v>
      </c>
      <c r="H79">
        <v>1</v>
      </c>
      <c r="I79" s="6"/>
      <c r="J79" s="6"/>
      <c r="K79" s="6"/>
      <c r="L79" s="6"/>
      <c r="M79" s="2" t="s">
        <v>190</v>
      </c>
      <c r="N79" s="6" t="s">
        <v>195</v>
      </c>
      <c r="O79" s="6" t="s">
        <v>187</v>
      </c>
      <c r="P79" s="6" t="s">
        <v>32</v>
      </c>
      <c r="Q79" s="6" t="s">
        <v>291</v>
      </c>
      <c r="R79" s="6" t="s">
        <v>585</v>
      </c>
      <c r="S79" s="6" t="s">
        <v>340</v>
      </c>
      <c r="T79" s="6"/>
      <c r="U79" s="6" t="s">
        <v>345</v>
      </c>
      <c r="V79" s="6" t="s">
        <v>348</v>
      </c>
      <c r="W79" s="6" t="s">
        <v>350</v>
      </c>
      <c r="X79" s="6"/>
      <c r="Y79" s="6" t="s">
        <v>640</v>
      </c>
      <c r="Z79" s="6"/>
      <c r="AA79" s="6"/>
      <c r="AB79" s="6"/>
      <c r="AC79" s="6"/>
      <c r="AD79">
        <v>145</v>
      </c>
    </row>
    <row r="80" spans="1:30" x14ac:dyDescent="0.25">
      <c r="A80" s="9">
        <f t="shared" si="1"/>
        <v>42583</v>
      </c>
      <c r="B80">
        <v>50179612</v>
      </c>
      <c r="C80" s="6" t="s">
        <v>159</v>
      </c>
      <c r="D80">
        <v>1</v>
      </c>
      <c r="E80">
        <v>1</v>
      </c>
      <c r="F80">
        <v>1</v>
      </c>
      <c r="G80">
        <v>18</v>
      </c>
      <c r="H80">
        <v>1</v>
      </c>
      <c r="I80" s="6"/>
      <c r="J80" s="6"/>
      <c r="K80" s="6"/>
      <c r="L80" s="6"/>
      <c r="M80" s="2" t="s">
        <v>167</v>
      </c>
      <c r="N80" s="6" t="s">
        <v>167</v>
      </c>
      <c r="O80" s="6" t="s">
        <v>237</v>
      </c>
      <c r="P80" s="6" t="s">
        <v>34</v>
      </c>
      <c r="Q80" s="6" t="s">
        <v>296</v>
      </c>
      <c r="R80" s="6"/>
      <c r="S80" s="6" t="s">
        <v>340</v>
      </c>
      <c r="T80" s="6"/>
      <c r="U80" s="6" t="s">
        <v>345</v>
      </c>
      <c r="V80" s="6" t="s">
        <v>348</v>
      </c>
      <c r="W80" s="6" t="s">
        <v>358</v>
      </c>
      <c r="X80" s="6"/>
      <c r="Y80" s="6" t="s">
        <v>402</v>
      </c>
      <c r="Z80" s="6"/>
      <c r="AA80" s="6"/>
      <c r="AB80" s="6"/>
      <c r="AC80" s="6"/>
      <c r="AD80">
        <v>146</v>
      </c>
    </row>
    <row r="81" spans="1:30" x14ac:dyDescent="0.25">
      <c r="A81" s="9">
        <f t="shared" si="1"/>
        <v>42628</v>
      </c>
      <c r="B81">
        <v>50181369</v>
      </c>
      <c r="C81" s="6" t="s">
        <v>159</v>
      </c>
      <c r="D81">
        <v>1</v>
      </c>
      <c r="E81">
        <v>1</v>
      </c>
      <c r="F81">
        <v>1</v>
      </c>
      <c r="G81">
        <v>20</v>
      </c>
      <c r="H81">
        <v>20</v>
      </c>
      <c r="I81" s="6"/>
      <c r="J81" s="6"/>
      <c r="K81" s="6"/>
      <c r="L81" s="6"/>
      <c r="M81" s="2" t="s">
        <v>197</v>
      </c>
      <c r="N81" s="6" t="s">
        <v>166</v>
      </c>
      <c r="O81" s="6" t="s">
        <v>185</v>
      </c>
      <c r="P81" s="6" t="s">
        <v>34</v>
      </c>
      <c r="Q81" s="6" t="s">
        <v>296</v>
      </c>
      <c r="R81" s="6" t="s">
        <v>586</v>
      </c>
      <c r="S81" s="6" t="s">
        <v>340</v>
      </c>
      <c r="T81" s="6"/>
      <c r="U81" s="6" t="s">
        <v>345</v>
      </c>
      <c r="V81" s="6" t="s">
        <v>348</v>
      </c>
      <c r="W81" s="6" t="s">
        <v>358</v>
      </c>
      <c r="X81" s="6"/>
      <c r="Y81" s="6" t="s">
        <v>394</v>
      </c>
      <c r="Z81" s="6"/>
      <c r="AA81" s="6"/>
      <c r="AB81" s="6"/>
      <c r="AC81" s="6"/>
      <c r="AD81">
        <v>147</v>
      </c>
    </row>
    <row r="82" spans="1:30" x14ac:dyDescent="0.25">
      <c r="A82" s="9">
        <f t="shared" si="1"/>
        <v>42579</v>
      </c>
      <c r="B82">
        <v>50180913</v>
      </c>
      <c r="C82" s="6" t="s">
        <v>159</v>
      </c>
      <c r="D82">
        <v>1</v>
      </c>
      <c r="E82">
        <v>1</v>
      </c>
      <c r="F82">
        <v>1</v>
      </c>
      <c r="G82">
        <v>25</v>
      </c>
      <c r="H82">
        <v>25</v>
      </c>
      <c r="I82" s="6"/>
      <c r="J82" s="6"/>
      <c r="K82" s="6"/>
      <c r="L82" s="6"/>
      <c r="M82" s="2" t="s">
        <v>186</v>
      </c>
      <c r="N82" s="6" t="s">
        <v>172</v>
      </c>
      <c r="O82" s="6" t="s">
        <v>265</v>
      </c>
      <c r="P82" s="6" t="s">
        <v>42</v>
      </c>
      <c r="Q82" s="6" t="s">
        <v>297</v>
      </c>
      <c r="R82" s="6" t="s">
        <v>520</v>
      </c>
      <c r="S82" s="6" t="s">
        <v>340</v>
      </c>
      <c r="T82" s="6"/>
      <c r="U82" s="6" t="s">
        <v>346</v>
      </c>
      <c r="V82" s="6" t="s">
        <v>348</v>
      </c>
      <c r="W82" s="6" t="s">
        <v>350</v>
      </c>
      <c r="X82" s="6"/>
      <c r="Y82" s="6" t="s">
        <v>396</v>
      </c>
      <c r="Z82" s="6"/>
      <c r="AA82" s="6"/>
      <c r="AB82" s="6"/>
      <c r="AC82" s="6"/>
      <c r="AD82">
        <v>148</v>
      </c>
    </row>
    <row r="83" spans="1:30" x14ac:dyDescent="0.25">
      <c r="A83" s="9">
        <f t="shared" si="1"/>
        <v>42642</v>
      </c>
      <c r="B83">
        <v>50178981</v>
      </c>
      <c r="C83" s="6" t="s">
        <v>159</v>
      </c>
      <c r="D83">
        <v>1</v>
      </c>
      <c r="E83">
        <v>1</v>
      </c>
      <c r="F83">
        <v>1</v>
      </c>
      <c r="G83">
        <v>30</v>
      </c>
      <c r="H83">
        <v>30</v>
      </c>
      <c r="I83" s="6"/>
      <c r="J83" s="6"/>
      <c r="K83" s="6"/>
      <c r="L83" s="6"/>
      <c r="M83" s="2" t="s">
        <v>181</v>
      </c>
      <c r="N83" s="6" t="s">
        <v>179</v>
      </c>
      <c r="O83" s="6" t="s">
        <v>266</v>
      </c>
      <c r="P83" s="6" t="s">
        <v>42</v>
      </c>
      <c r="Q83" s="6" t="s">
        <v>297</v>
      </c>
      <c r="R83" s="6" t="s">
        <v>587</v>
      </c>
      <c r="S83" s="6" t="s">
        <v>340</v>
      </c>
      <c r="T83" s="6"/>
      <c r="U83" s="6" t="s">
        <v>346</v>
      </c>
      <c r="V83" s="6" t="s">
        <v>348</v>
      </c>
      <c r="W83" s="6" t="s">
        <v>350</v>
      </c>
      <c r="X83" s="6" t="s">
        <v>372</v>
      </c>
      <c r="Y83" s="6" t="s">
        <v>405</v>
      </c>
      <c r="Z83" s="6" t="s">
        <v>426</v>
      </c>
      <c r="AA83" s="6"/>
      <c r="AB83" s="6"/>
      <c r="AC83" s="6"/>
      <c r="AD83">
        <v>149</v>
      </c>
    </row>
    <row r="84" spans="1:30" x14ac:dyDescent="0.25">
      <c r="A84" s="9">
        <f t="shared" si="1"/>
        <v>42642</v>
      </c>
      <c r="B84">
        <v>50178982</v>
      </c>
      <c r="C84" s="6" t="s">
        <v>159</v>
      </c>
      <c r="D84">
        <v>1</v>
      </c>
      <c r="E84">
        <v>1</v>
      </c>
      <c r="F84">
        <v>1</v>
      </c>
      <c r="G84">
        <v>30</v>
      </c>
      <c r="H84">
        <v>30</v>
      </c>
      <c r="I84" s="6"/>
      <c r="J84" s="6"/>
      <c r="K84" s="6"/>
      <c r="L84" s="6"/>
      <c r="M84" s="2" t="s">
        <v>181</v>
      </c>
      <c r="N84" s="6" t="s">
        <v>172</v>
      </c>
      <c r="O84" s="6" t="s">
        <v>266</v>
      </c>
      <c r="P84" s="6" t="s">
        <v>42</v>
      </c>
      <c r="Q84" s="6" t="s">
        <v>297</v>
      </c>
      <c r="R84" s="6" t="s">
        <v>587</v>
      </c>
      <c r="S84" s="6" t="s">
        <v>340</v>
      </c>
      <c r="T84" s="6"/>
      <c r="U84" s="6" t="s">
        <v>346</v>
      </c>
      <c r="V84" s="6" t="s">
        <v>348</v>
      </c>
      <c r="W84" s="6" t="s">
        <v>350</v>
      </c>
      <c r="X84" s="6" t="s">
        <v>372</v>
      </c>
      <c r="Y84" s="6" t="s">
        <v>405</v>
      </c>
      <c r="Z84" s="6" t="s">
        <v>426</v>
      </c>
      <c r="AA84" s="6"/>
      <c r="AB84" s="6"/>
      <c r="AC84" s="6"/>
      <c r="AD84">
        <v>150</v>
      </c>
    </row>
    <row r="85" spans="1:30" x14ac:dyDescent="0.25">
      <c r="A85" s="9">
        <f t="shared" si="1"/>
        <v>42674</v>
      </c>
      <c r="B85">
        <v>50178814</v>
      </c>
      <c r="C85" s="6" t="s">
        <v>159</v>
      </c>
      <c r="D85">
        <v>1</v>
      </c>
      <c r="E85">
        <v>1</v>
      </c>
      <c r="F85">
        <v>1</v>
      </c>
      <c r="G85">
        <v>10</v>
      </c>
      <c r="H85">
        <v>10</v>
      </c>
      <c r="I85" s="6"/>
      <c r="J85" s="6"/>
      <c r="K85" s="6"/>
      <c r="L85" s="6"/>
      <c r="M85" s="2" t="s">
        <v>169</v>
      </c>
      <c r="N85" s="6" t="s">
        <v>191</v>
      </c>
      <c r="O85" s="6" t="s">
        <v>183</v>
      </c>
      <c r="P85" s="6" t="s">
        <v>42</v>
      </c>
      <c r="Q85" s="6" t="s">
        <v>297</v>
      </c>
      <c r="R85" s="6" t="s">
        <v>588</v>
      </c>
      <c r="S85" s="6" t="s">
        <v>340</v>
      </c>
      <c r="T85" s="6"/>
      <c r="U85" s="6" t="s">
        <v>346</v>
      </c>
      <c r="V85" s="6" t="s">
        <v>348</v>
      </c>
      <c r="W85" s="6" t="s">
        <v>350</v>
      </c>
      <c r="X85" s="6" t="s">
        <v>369</v>
      </c>
      <c r="Y85" s="6"/>
      <c r="Z85" s="6"/>
      <c r="AA85" s="6"/>
      <c r="AB85" s="6"/>
      <c r="AC85" s="6"/>
      <c r="AD85">
        <v>151</v>
      </c>
    </row>
    <row r="86" spans="1:30" x14ac:dyDescent="0.25">
      <c r="A86" s="9">
        <f t="shared" si="1"/>
        <v>42674</v>
      </c>
      <c r="B86">
        <v>50177592</v>
      </c>
      <c r="C86" s="6" t="s">
        <v>159</v>
      </c>
      <c r="D86">
        <v>1</v>
      </c>
      <c r="E86">
        <v>1</v>
      </c>
      <c r="F86">
        <v>1</v>
      </c>
      <c r="G86">
        <v>6</v>
      </c>
      <c r="H86">
        <v>6</v>
      </c>
      <c r="I86" s="6"/>
      <c r="J86" s="6"/>
      <c r="K86" s="6"/>
      <c r="L86" s="6"/>
      <c r="M86" s="2" t="s">
        <v>169</v>
      </c>
      <c r="N86" s="6" t="s">
        <v>218</v>
      </c>
      <c r="O86" s="6" t="s">
        <v>183</v>
      </c>
      <c r="P86" s="6" t="s">
        <v>42</v>
      </c>
      <c r="Q86" s="6" t="s">
        <v>297</v>
      </c>
      <c r="R86" s="6" t="s">
        <v>589</v>
      </c>
      <c r="S86" s="6" t="s">
        <v>340</v>
      </c>
      <c r="T86" s="6"/>
      <c r="U86" s="6" t="s">
        <v>346</v>
      </c>
      <c r="V86" s="6" t="s">
        <v>348</v>
      </c>
      <c r="W86" s="6" t="s">
        <v>350</v>
      </c>
      <c r="X86" s="6" t="s">
        <v>369</v>
      </c>
      <c r="Y86" s="6"/>
      <c r="Z86" s="6"/>
      <c r="AA86" s="6"/>
      <c r="AB86" s="6"/>
      <c r="AC86" s="6"/>
      <c r="AD86">
        <v>152</v>
      </c>
    </row>
    <row r="87" spans="1:30" x14ac:dyDescent="0.25">
      <c r="A87" s="9">
        <f t="shared" si="1"/>
        <v>42583</v>
      </c>
      <c r="B87">
        <v>50179613</v>
      </c>
      <c r="C87" s="6" t="s">
        <v>159</v>
      </c>
      <c r="D87">
        <v>1</v>
      </c>
      <c r="E87">
        <v>1</v>
      </c>
      <c r="F87">
        <v>0</v>
      </c>
      <c r="G87">
        <v>10</v>
      </c>
      <c r="H87">
        <v>10</v>
      </c>
      <c r="I87" s="6"/>
      <c r="J87" s="6"/>
      <c r="K87" s="6"/>
      <c r="L87" s="6"/>
      <c r="M87" s="2" t="s">
        <v>167</v>
      </c>
      <c r="N87" s="6" t="s">
        <v>167</v>
      </c>
      <c r="O87" s="6" t="s">
        <v>237</v>
      </c>
      <c r="P87" s="6" t="s">
        <v>43</v>
      </c>
      <c r="Q87" s="6" t="s">
        <v>297</v>
      </c>
      <c r="R87" s="6" t="s">
        <v>495</v>
      </c>
      <c r="S87" s="6" t="s">
        <v>340</v>
      </c>
      <c r="T87" s="6"/>
      <c r="U87" s="6" t="s">
        <v>346</v>
      </c>
      <c r="V87" s="6" t="s">
        <v>348</v>
      </c>
      <c r="W87" s="6" t="s">
        <v>350</v>
      </c>
      <c r="X87" s="6" t="s">
        <v>452</v>
      </c>
      <c r="Y87" s="6" t="s">
        <v>653</v>
      </c>
      <c r="Z87" s="6"/>
      <c r="AA87" s="6"/>
      <c r="AB87" s="6"/>
      <c r="AC87" s="6"/>
      <c r="AD87">
        <v>155</v>
      </c>
    </row>
    <row r="88" spans="1:30" x14ac:dyDescent="0.25">
      <c r="A88" s="9">
        <f t="shared" si="1"/>
        <v>42583</v>
      </c>
      <c r="B88">
        <v>50180011</v>
      </c>
      <c r="C88" s="6" t="s">
        <v>159</v>
      </c>
      <c r="D88">
        <v>1</v>
      </c>
      <c r="E88">
        <v>1</v>
      </c>
      <c r="F88">
        <v>0</v>
      </c>
      <c r="G88">
        <v>10</v>
      </c>
      <c r="H88">
        <v>10</v>
      </c>
      <c r="I88" s="6"/>
      <c r="J88" s="6"/>
      <c r="K88" s="6"/>
      <c r="L88" s="6"/>
      <c r="M88" s="2" t="s">
        <v>167</v>
      </c>
      <c r="N88" s="6" t="s">
        <v>167</v>
      </c>
      <c r="O88" s="6" t="s">
        <v>237</v>
      </c>
      <c r="P88" s="6" t="s">
        <v>43</v>
      </c>
      <c r="Q88" s="6" t="s">
        <v>297</v>
      </c>
      <c r="R88" s="6" t="s">
        <v>495</v>
      </c>
      <c r="S88" s="6" t="s">
        <v>340</v>
      </c>
      <c r="T88" s="6"/>
      <c r="U88" s="6" t="s">
        <v>346</v>
      </c>
      <c r="V88" s="6" t="s">
        <v>348</v>
      </c>
      <c r="W88" s="6" t="s">
        <v>350</v>
      </c>
      <c r="X88" s="6" t="s">
        <v>452</v>
      </c>
      <c r="Y88" s="6" t="s">
        <v>654</v>
      </c>
      <c r="Z88" s="6" t="s">
        <v>426</v>
      </c>
      <c r="AA88" s="6"/>
      <c r="AB88" s="6"/>
      <c r="AC88" s="6"/>
      <c r="AD88">
        <v>156</v>
      </c>
    </row>
    <row r="89" spans="1:30" x14ac:dyDescent="0.25">
      <c r="A89" s="9">
        <f t="shared" si="1"/>
        <v>42583</v>
      </c>
      <c r="B89">
        <v>50180202</v>
      </c>
      <c r="C89" s="6" t="s">
        <v>159</v>
      </c>
      <c r="D89">
        <v>1</v>
      </c>
      <c r="E89">
        <v>1</v>
      </c>
      <c r="F89">
        <v>0</v>
      </c>
      <c r="G89">
        <v>8</v>
      </c>
      <c r="H89">
        <v>8</v>
      </c>
      <c r="I89" s="6"/>
      <c r="J89" s="6"/>
      <c r="K89" s="6"/>
      <c r="L89" s="6"/>
      <c r="M89" s="2" t="s">
        <v>167</v>
      </c>
      <c r="N89" s="6" t="s">
        <v>167</v>
      </c>
      <c r="O89" s="6" t="s">
        <v>237</v>
      </c>
      <c r="P89" s="6" t="s">
        <v>43</v>
      </c>
      <c r="Q89" s="6" t="s">
        <v>297</v>
      </c>
      <c r="R89" s="6" t="s">
        <v>519</v>
      </c>
      <c r="S89" s="6" t="s">
        <v>340</v>
      </c>
      <c r="T89" s="6"/>
      <c r="U89" s="6" t="s">
        <v>346</v>
      </c>
      <c r="V89" s="6" t="s">
        <v>348</v>
      </c>
      <c r="W89" s="6" t="s">
        <v>350</v>
      </c>
      <c r="X89" s="6"/>
      <c r="Y89" s="6" t="s">
        <v>641</v>
      </c>
      <c r="Z89" s="6"/>
      <c r="AA89" s="6"/>
      <c r="AB89" s="6"/>
      <c r="AC89" s="6"/>
      <c r="AD89">
        <v>157</v>
      </c>
    </row>
    <row r="90" spans="1:30" x14ac:dyDescent="0.25">
      <c r="A90" s="9">
        <f t="shared" si="1"/>
        <v>42674</v>
      </c>
      <c r="B90">
        <v>50181634</v>
      </c>
      <c r="C90" s="6" t="s">
        <v>159</v>
      </c>
      <c r="D90">
        <v>1</v>
      </c>
      <c r="E90">
        <v>1</v>
      </c>
      <c r="F90">
        <v>1</v>
      </c>
      <c r="G90">
        <v>10</v>
      </c>
      <c r="H90">
        <v>10</v>
      </c>
      <c r="I90" s="6"/>
      <c r="J90" s="6"/>
      <c r="K90" s="6"/>
      <c r="L90" s="6"/>
      <c r="M90" s="2" t="s">
        <v>169</v>
      </c>
      <c r="N90" s="6" t="s">
        <v>167</v>
      </c>
      <c r="O90" s="6" t="s">
        <v>183</v>
      </c>
      <c r="P90" s="6" t="s">
        <v>43</v>
      </c>
      <c r="Q90" s="6" t="s">
        <v>297</v>
      </c>
      <c r="R90" s="6" t="s">
        <v>588</v>
      </c>
      <c r="S90" s="6" t="s">
        <v>340</v>
      </c>
      <c r="T90" s="6"/>
      <c r="U90" s="6" t="s">
        <v>346</v>
      </c>
      <c r="V90" s="6" t="s">
        <v>348</v>
      </c>
      <c r="W90" s="6" t="s">
        <v>350</v>
      </c>
      <c r="X90" s="6"/>
      <c r="Y90" s="6" t="s">
        <v>394</v>
      </c>
      <c r="Z90" s="6"/>
      <c r="AA90" s="6"/>
      <c r="AB90" s="6"/>
      <c r="AC90" s="6"/>
      <c r="AD90">
        <v>158</v>
      </c>
    </row>
    <row r="91" spans="1:30" x14ac:dyDescent="0.25">
      <c r="A91" s="9">
        <f t="shared" si="1"/>
        <v>42579</v>
      </c>
      <c r="B91">
        <v>50178838</v>
      </c>
      <c r="C91" s="6" t="s">
        <v>159</v>
      </c>
      <c r="D91">
        <v>1</v>
      </c>
      <c r="E91">
        <v>1</v>
      </c>
      <c r="F91">
        <v>1</v>
      </c>
      <c r="G91">
        <v>10</v>
      </c>
      <c r="H91">
        <v>10</v>
      </c>
      <c r="I91" s="6"/>
      <c r="J91" s="6"/>
      <c r="K91" s="6"/>
      <c r="L91" s="6"/>
      <c r="M91" s="2" t="s">
        <v>186</v>
      </c>
      <c r="N91" s="6" t="s">
        <v>191</v>
      </c>
      <c r="O91" s="6" t="s">
        <v>265</v>
      </c>
      <c r="P91" s="6" t="s">
        <v>76</v>
      </c>
      <c r="Q91" s="6" t="s">
        <v>298</v>
      </c>
      <c r="R91" s="6" t="s">
        <v>520</v>
      </c>
      <c r="S91" s="6" t="s">
        <v>340</v>
      </c>
      <c r="T91" s="6"/>
      <c r="U91" s="6" t="s">
        <v>345</v>
      </c>
      <c r="V91" s="6" t="s">
        <v>348</v>
      </c>
      <c r="W91" s="6" t="s">
        <v>359</v>
      </c>
      <c r="X91" s="6"/>
      <c r="Y91" s="6" t="s">
        <v>655</v>
      </c>
      <c r="Z91" s="6" t="s">
        <v>426</v>
      </c>
      <c r="AA91" s="6"/>
      <c r="AB91" s="6"/>
      <c r="AC91" s="6"/>
      <c r="AD91">
        <v>160</v>
      </c>
    </row>
    <row r="92" spans="1:30" x14ac:dyDescent="0.25">
      <c r="A92" s="9">
        <f t="shared" si="1"/>
        <v>42590</v>
      </c>
      <c r="B92">
        <v>50180013</v>
      </c>
      <c r="C92" s="6" t="s">
        <v>159</v>
      </c>
      <c r="D92">
        <v>1</v>
      </c>
      <c r="E92">
        <v>1</v>
      </c>
      <c r="F92">
        <v>1</v>
      </c>
      <c r="G92">
        <v>10</v>
      </c>
      <c r="H92">
        <v>10</v>
      </c>
      <c r="I92" s="6"/>
      <c r="J92" s="6"/>
      <c r="K92" s="6"/>
      <c r="L92" s="6"/>
      <c r="M92" s="2" t="s">
        <v>170</v>
      </c>
      <c r="N92" s="6" t="s">
        <v>170</v>
      </c>
      <c r="O92" s="6" t="s">
        <v>225</v>
      </c>
      <c r="P92" s="6" t="s">
        <v>76</v>
      </c>
      <c r="Q92" s="6" t="s">
        <v>298</v>
      </c>
      <c r="R92" s="6" t="s">
        <v>590</v>
      </c>
      <c r="S92" s="6" t="s">
        <v>340</v>
      </c>
      <c r="T92" s="6"/>
      <c r="U92" s="6" t="s">
        <v>345</v>
      </c>
      <c r="V92" s="6" t="s">
        <v>348</v>
      </c>
      <c r="W92" s="6" t="s">
        <v>359</v>
      </c>
      <c r="X92" s="6"/>
      <c r="Y92" s="6" t="s">
        <v>403</v>
      </c>
      <c r="Z92" s="6"/>
      <c r="AA92" s="6"/>
      <c r="AB92" s="6"/>
      <c r="AC92" s="6"/>
      <c r="AD92">
        <v>161</v>
      </c>
    </row>
    <row r="93" spans="1:30" x14ac:dyDescent="0.25">
      <c r="A93" s="9">
        <f t="shared" si="1"/>
        <v>42615</v>
      </c>
      <c r="B93">
        <v>50178837</v>
      </c>
      <c r="C93" s="6" t="s">
        <v>159</v>
      </c>
      <c r="D93">
        <v>1</v>
      </c>
      <c r="E93">
        <v>1</v>
      </c>
      <c r="F93">
        <v>1</v>
      </c>
      <c r="G93">
        <v>6</v>
      </c>
      <c r="H93">
        <v>6</v>
      </c>
      <c r="I93" s="6"/>
      <c r="J93" s="6"/>
      <c r="K93" s="6"/>
      <c r="L93" s="6"/>
      <c r="M93" s="2" t="s">
        <v>189</v>
      </c>
      <c r="N93" s="6" t="s">
        <v>224</v>
      </c>
      <c r="O93" s="6" t="s">
        <v>195</v>
      </c>
      <c r="P93" s="6" t="s">
        <v>76</v>
      </c>
      <c r="Q93" s="6" t="s">
        <v>298</v>
      </c>
      <c r="R93" s="6" t="s">
        <v>581</v>
      </c>
      <c r="S93" s="6" t="s">
        <v>340</v>
      </c>
      <c r="T93" s="6"/>
      <c r="U93" s="6" t="s">
        <v>345</v>
      </c>
      <c r="V93" s="6" t="s">
        <v>348</v>
      </c>
      <c r="W93" s="6" t="s">
        <v>359</v>
      </c>
      <c r="X93" s="6"/>
      <c r="Y93" s="6" t="s">
        <v>406</v>
      </c>
      <c r="Z93" s="6"/>
      <c r="AA93" s="6"/>
      <c r="AB93" s="6"/>
      <c r="AC93" s="6"/>
      <c r="AD93">
        <v>162</v>
      </c>
    </row>
    <row r="94" spans="1:30" x14ac:dyDescent="0.25">
      <c r="A94" s="9">
        <f t="shared" si="1"/>
        <v>42625</v>
      </c>
      <c r="B94">
        <v>50178038</v>
      </c>
      <c r="C94" s="6" t="s">
        <v>159</v>
      </c>
      <c r="D94">
        <v>1</v>
      </c>
      <c r="E94">
        <v>1</v>
      </c>
      <c r="F94">
        <v>1</v>
      </c>
      <c r="G94">
        <v>10</v>
      </c>
      <c r="H94">
        <v>10</v>
      </c>
      <c r="I94" s="6"/>
      <c r="J94" s="6"/>
      <c r="K94" s="6"/>
      <c r="L94" s="6"/>
      <c r="M94" s="2" t="s">
        <v>166</v>
      </c>
      <c r="N94" s="6" t="s">
        <v>191</v>
      </c>
      <c r="O94" s="6" t="s">
        <v>192</v>
      </c>
      <c r="P94" s="6" t="s">
        <v>76</v>
      </c>
      <c r="Q94" s="6" t="s">
        <v>298</v>
      </c>
      <c r="R94" s="6" t="s">
        <v>591</v>
      </c>
      <c r="S94" s="6" t="s">
        <v>340</v>
      </c>
      <c r="T94" s="6"/>
      <c r="U94" s="6" t="s">
        <v>345</v>
      </c>
      <c r="V94" s="6" t="s">
        <v>348</v>
      </c>
      <c r="W94" s="6" t="s">
        <v>359</v>
      </c>
      <c r="X94" s="6"/>
      <c r="Y94" s="6" t="s">
        <v>656</v>
      </c>
      <c r="Z94" s="6"/>
      <c r="AA94" s="6"/>
      <c r="AB94" s="6"/>
      <c r="AC94" s="6"/>
      <c r="AD94">
        <v>163</v>
      </c>
    </row>
    <row r="95" spans="1:30" x14ac:dyDescent="0.25">
      <c r="A95" s="9">
        <f t="shared" si="1"/>
        <v>42639</v>
      </c>
      <c r="B95">
        <v>50181635</v>
      </c>
      <c r="C95" s="6" t="s">
        <v>159</v>
      </c>
      <c r="D95">
        <v>1</v>
      </c>
      <c r="E95">
        <v>1</v>
      </c>
      <c r="F95">
        <v>1</v>
      </c>
      <c r="G95">
        <v>15</v>
      </c>
      <c r="H95">
        <v>15</v>
      </c>
      <c r="I95" s="6"/>
      <c r="J95" s="6"/>
      <c r="K95" s="6"/>
      <c r="L95" s="6"/>
      <c r="M95" s="2" t="s">
        <v>173</v>
      </c>
      <c r="N95" s="6" t="s">
        <v>189</v>
      </c>
      <c r="O95" s="6" t="s">
        <v>206</v>
      </c>
      <c r="P95" s="6" t="s">
        <v>76</v>
      </c>
      <c r="Q95" s="6" t="s">
        <v>298</v>
      </c>
      <c r="R95" s="6" t="s">
        <v>592</v>
      </c>
      <c r="S95" s="6" t="s">
        <v>340</v>
      </c>
      <c r="T95" s="6"/>
      <c r="U95" s="6" t="s">
        <v>345</v>
      </c>
      <c r="V95" s="6" t="s">
        <v>348</v>
      </c>
      <c r="W95" s="6" t="s">
        <v>359</v>
      </c>
      <c r="X95" s="6"/>
      <c r="Y95" s="6" t="s">
        <v>394</v>
      </c>
      <c r="Z95" s="6"/>
      <c r="AA95" s="6"/>
      <c r="AB95" s="6"/>
      <c r="AC95" s="6"/>
      <c r="AD95">
        <v>164</v>
      </c>
    </row>
    <row r="96" spans="1:30" x14ac:dyDescent="0.25">
      <c r="A96" s="9">
        <f t="shared" si="1"/>
        <v>42639</v>
      </c>
      <c r="B96">
        <v>50181222</v>
      </c>
      <c r="C96" s="6" t="s">
        <v>159</v>
      </c>
      <c r="D96">
        <v>1</v>
      </c>
      <c r="E96">
        <v>1</v>
      </c>
      <c r="F96">
        <v>1</v>
      </c>
      <c r="G96">
        <v>15</v>
      </c>
      <c r="H96">
        <v>15</v>
      </c>
      <c r="I96" s="6"/>
      <c r="J96" s="6"/>
      <c r="K96" s="6"/>
      <c r="L96" s="6"/>
      <c r="M96" s="2" t="s">
        <v>173</v>
      </c>
      <c r="N96" s="6" t="s">
        <v>189</v>
      </c>
      <c r="O96" s="6" t="s">
        <v>206</v>
      </c>
      <c r="P96" s="6" t="s">
        <v>76</v>
      </c>
      <c r="Q96" s="6" t="s">
        <v>298</v>
      </c>
      <c r="R96" s="6" t="s">
        <v>592</v>
      </c>
      <c r="S96" s="6" t="s">
        <v>340</v>
      </c>
      <c r="T96" s="6"/>
      <c r="U96" s="6" t="s">
        <v>345</v>
      </c>
      <c r="V96" s="6" t="s">
        <v>348</v>
      </c>
      <c r="W96" s="6" t="s">
        <v>359</v>
      </c>
      <c r="X96" s="6"/>
      <c r="Y96" s="6" t="s">
        <v>435</v>
      </c>
      <c r="Z96" s="6"/>
      <c r="AA96" s="6"/>
      <c r="AB96" s="6"/>
      <c r="AC96" s="6"/>
      <c r="AD96">
        <v>165</v>
      </c>
    </row>
    <row r="97" spans="1:30" x14ac:dyDescent="0.25">
      <c r="A97" s="9">
        <f t="shared" si="1"/>
        <v>42643</v>
      </c>
      <c r="B97">
        <v>50173188</v>
      </c>
      <c r="C97" s="6" t="s">
        <v>159</v>
      </c>
      <c r="D97">
        <v>1</v>
      </c>
      <c r="E97">
        <v>1</v>
      </c>
      <c r="F97">
        <v>1</v>
      </c>
      <c r="G97">
        <v>6</v>
      </c>
      <c r="H97">
        <v>6</v>
      </c>
      <c r="I97" s="6"/>
      <c r="J97" s="6"/>
      <c r="K97" s="6"/>
      <c r="L97" s="6"/>
      <c r="M97" s="2" t="s">
        <v>190</v>
      </c>
      <c r="N97" s="6" t="s">
        <v>234</v>
      </c>
      <c r="O97" s="6" t="s">
        <v>187</v>
      </c>
      <c r="P97" s="6" t="s">
        <v>76</v>
      </c>
      <c r="Q97" s="6" t="s">
        <v>298</v>
      </c>
      <c r="R97" s="6"/>
      <c r="S97" s="6" t="s">
        <v>340</v>
      </c>
      <c r="T97" s="6"/>
      <c r="U97" s="6" t="s">
        <v>345</v>
      </c>
      <c r="V97" s="6" t="s">
        <v>348</v>
      </c>
      <c r="W97" s="6" t="s">
        <v>359</v>
      </c>
      <c r="X97" s="6" t="s">
        <v>369</v>
      </c>
      <c r="Y97" s="6"/>
      <c r="Z97" s="6"/>
      <c r="AA97" s="6"/>
      <c r="AB97" s="6"/>
      <c r="AC97" s="6"/>
      <c r="AD97">
        <v>166</v>
      </c>
    </row>
    <row r="98" spans="1:30" x14ac:dyDescent="0.25">
      <c r="A98" s="9">
        <f t="shared" si="1"/>
        <v>42565</v>
      </c>
      <c r="B98">
        <v>50180846</v>
      </c>
      <c r="C98" s="6" t="s">
        <v>159</v>
      </c>
      <c r="D98">
        <v>1</v>
      </c>
      <c r="E98">
        <v>1</v>
      </c>
      <c r="F98">
        <v>1</v>
      </c>
      <c r="G98">
        <v>6</v>
      </c>
      <c r="H98">
        <v>1</v>
      </c>
      <c r="I98" s="6"/>
      <c r="J98" s="6"/>
      <c r="K98" s="6"/>
      <c r="L98" s="6"/>
      <c r="M98" s="2" t="s">
        <v>176</v>
      </c>
      <c r="N98" s="6" t="s">
        <v>226</v>
      </c>
      <c r="O98" s="6" t="s">
        <v>549</v>
      </c>
      <c r="P98" s="6" t="s">
        <v>77</v>
      </c>
      <c r="Q98" s="6" t="s">
        <v>299</v>
      </c>
      <c r="R98" s="6"/>
      <c r="S98" s="6" t="s">
        <v>340</v>
      </c>
      <c r="T98" s="6"/>
      <c r="U98" s="6"/>
      <c r="V98" s="6" t="s">
        <v>348</v>
      </c>
      <c r="W98" s="6" t="s">
        <v>360</v>
      </c>
      <c r="X98" s="6"/>
      <c r="Y98" s="6" t="s">
        <v>401</v>
      </c>
      <c r="Z98" s="6"/>
      <c r="AA98" s="6"/>
      <c r="AB98" s="6"/>
      <c r="AC98" s="6"/>
      <c r="AD98">
        <v>179</v>
      </c>
    </row>
    <row r="99" spans="1:30" x14ac:dyDescent="0.25">
      <c r="A99" s="9">
        <f t="shared" si="1"/>
        <v>42579</v>
      </c>
      <c r="B99">
        <v>50181009</v>
      </c>
      <c r="C99" s="6" t="s">
        <v>159</v>
      </c>
      <c r="D99">
        <v>1</v>
      </c>
      <c r="E99">
        <v>1</v>
      </c>
      <c r="F99">
        <v>1</v>
      </c>
      <c r="G99">
        <v>25</v>
      </c>
      <c r="H99">
        <v>25</v>
      </c>
      <c r="I99" s="6"/>
      <c r="J99" s="6"/>
      <c r="K99" s="6"/>
      <c r="L99" s="6"/>
      <c r="M99" s="2" t="s">
        <v>186</v>
      </c>
      <c r="N99" s="6" t="s">
        <v>175</v>
      </c>
      <c r="O99" s="6" t="s">
        <v>265</v>
      </c>
      <c r="P99" s="6" t="s">
        <v>77</v>
      </c>
      <c r="Q99" s="6" t="s">
        <v>299</v>
      </c>
      <c r="R99" s="6" t="s">
        <v>520</v>
      </c>
      <c r="S99" s="6" t="s">
        <v>340</v>
      </c>
      <c r="T99" s="6"/>
      <c r="U99" s="6" t="s">
        <v>345</v>
      </c>
      <c r="V99" s="6" t="s">
        <v>348</v>
      </c>
      <c r="W99" s="6" t="s">
        <v>360</v>
      </c>
      <c r="X99" s="6"/>
      <c r="Y99" s="6" t="s">
        <v>436</v>
      </c>
      <c r="Z99" s="6"/>
      <c r="AA99" s="6"/>
      <c r="AB99" s="6"/>
      <c r="AC99" s="6"/>
      <c r="AD99">
        <v>180</v>
      </c>
    </row>
    <row r="100" spans="1:30" x14ac:dyDescent="0.25">
      <c r="A100" s="9">
        <f t="shared" si="1"/>
        <v>42586</v>
      </c>
      <c r="B100">
        <v>50179249</v>
      </c>
      <c r="C100" s="6" t="s">
        <v>159</v>
      </c>
      <c r="D100">
        <v>1</v>
      </c>
      <c r="E100">
        <v>1</v>
      </c>
      <c r="F100">
        <v>1</v>
      </c>
      <c r="G100">
        <v>5</v>
      </c>
      <c r="H100">
        <v>5</v>
      </c>
      <c r="I100" s="6"/>
      <c r="J100" s="6"/>
      <c r="K100" s="6"/>
      <c r="L100" s="6"/>
      <c r="M100" s="2" t="s">
        <v>198</v>
      </c>
      <c r="N100" s="6" t="s">
        <v>210</v>
      </c>
      <c r="O100" s="6" t="s">
        <v>267</v>
      </c>
      <c r="P100" s="6" t="s">
        <v>77</v>
      </c>
      <c r="Q100" s="6" t="s">
        <v>299</v>
      </c>
      <c r="R100" s="6" t="s">
        <v>534</v>
      </c>
      <c r="S100" s="6" t="s">
        <v>340</v>
      </c>
      <c r="T100" s="6"/>
      <c r="U100" s="6" t="s">
        <v>345</v>
      </c>
      <c r="V100" s="6" t="s">
        <v>348</v>
      </c>
      <c r="W100" s="6" t="s">
        <v>360</v>
      </c>
      <c r="X100" s="6"/>
      <c r="Y100" s="6" t="s">
        <v>408</v>
      </c>
      <c r="Z100" s="6"/>
      <c r="AA100" s="6"/>
      <c r="AB100" s="6"/>
      <c r="AC100" s="6"/>
      <c r="AD100">
        <v>181</v>
      </c>
    </row>
    <row r="101" spans="1:30" x14ac:dyDescent="0.25">
      <c r="A101" s="9">
        <f t="shared" si="1"/>
        <v>42592</v>
      </c>
      <c r="B101">
        <v>50175637</v>
      </c>
      <c r="C101" s="6" t="s">
        <v>159</v>
      </c>
      <c r="D101">
        <v>1</v>
      </c>
      <c r="E101">
        <v>1</v>
      </c>
      <c r="F101">
        <v>1</v>
      </c>
      <c r="G101">
        <v>11</v>
      </c>
      <c r="H101">
        <v>3</v>
      </c>
      <c r="I101" s="6"/>
      <c r="J101" s="6"/>
      <c r="K101" s="6"/>
      <c r="L101" s="6"/>
      <c r="M101" s="2" t="s">
        <v>266</v>
      </c>
      <c r="N101" s="6" t="s">
        <v>544</v>
      </c>
      <c r="O101" s="6" t="s">
        <v>226</v>
      </c>
      <c r="P101" s="6" t="s">
        <v>77</v>
      </c>
      <c r="Q101" s="6" t="s">
        <v>299</v>
      </c>
      <c r="R101" s="6"/>
      <c r="S101" s="6" t="s">
        <v>340</v>
      </c>
      <c r="T101" s="6"/>
      <c r="U101" s="6"/>
      <c r="V101" s="6" t="s">
        <v>348</v>
      </c>
      <c r="W101" s="6" t="s">
        <v>360</v>
      </c>
      <c r="X101" s="6"/>
      <c r="Y101" s="6" t="s">
        <v>399</v>
      </c>
      <c r="Z101" s="6"/>
      <c r="AA101" s="6"/>
      <c r="AB101" s="6"/>
      <c r="AC101" s="6"/>
      <c r="AD101">
        <v>182</v>
      </c>
    </row>
    <row r="102" spans="1:30" x14ac:dyDescent="0.25">
      <c r="A102" s="9">
        <f t="shared" si="1"/>
        <v>42629</v>
      </c>
      <c r="B102">
        <v>50181670</v>
      </c>
      <c r="C102" s="6" t="s">
        <v>159</v>
      </c>
      <c r="D102">
        <v>1</v>
      </c>
      <c r="E102">
        <v>1</v>
      </c>
      <c r="F102">
        <v>1</v>
      </c>
      <c r="G102">
        <v>15</v>
      </c>
      <c r="H102">
        <v>15</v>
      </c>
      <c r="I102" s="6"/>
      <c r="J102" s="6"/>
      <c r="K102" s="6"/>
      <c r="L102" s="6"/>
      <c r="M102" s="2" t="s">
        <v>500</v>
      </c>
      <c r="N102" s="6" t="s">
        <v>175</v>
      </c>
      <c r="O102" s="6" t="s">
        <v>186</v>
      </c>
      <c r="P102" s="6" t="s">
        <v>77</v>
      </c>
      <c r="Q102" s="6" t="s">
        <v>299</v>
      </c>
      <c r="R102" s="6" t="s">
        <v>593</v>
      </c>
      <c r="S102" s="6" t="s">
        <v>340</v>
      </c>
      <c r="T102" s="6"/>
      <c r="U102" s="6" t="s">
        <v>345</v>
      </c>
      <c r="V102" s="6" t="s">
        <v>348</v>
      </c>
      <c r="W102" s="6" t="s">
        <v>360</v>
      </c>
      <c r="X102" s="6"/>
      <c r="Y102" s="6" t="s">
        <v>394</v>
      </c>
      <c r="Z102" s="6"/>
      <c r="AA102" s="6"/>
      <c r="AB102" s="6"/>
      <c r="AC102" s="6"/>
      <c r="AD102">
        <v>183</v>
      </c>
    </row>
    <row r="103" spans="1:30" x14ac:dyDescent="0.25">
      <c r="A103" s="9">
        <f t="shared" si="1"/>
        <v>42643</v>
      </c>
      <c r="B103">
        <v>50176281</v>
      </c>
      <c r="C103" s="6" t="s">
        <v>159</v>
      </c>
      <c r="D103">
        <v>1</v>
      </c>
      <c r="E103">
        <v>1</v>
      </c>
      <c r="F103">
        <v>1</v>
      </c>
      <c r="G103">
        <v>1</v>
      </c>
      <c r="H103">
        <v>1</v>
      </c>
      <c r="I103" s="6"/>
      <c r="J103" s="6"/>
      <c r="K103" s="6"/>
      <c r="L103" s="6"/>
      <c r="M103" s="2" t="s">
        <v>190</v>
      </c>
      <c r="N103" s="6" t="s">
        <v>227</v>
      </c>
      <c r="O103" s="6" t="s">
        <v>187</v>
      </c>
      <c r="P103" s="6" t="s">
        <v>77</v>
      </c>
      <c r="Q103" s="6" t="s">
        <v>299</v>
      </c>
      <c r="R103" s="6"/>
      <c r="S103" s="6" t="s">
        <v>340</v>
      </c>
      <c r="T103" s="6"/>
      <c r="U103" s="6" t="s">
        <v>345</v>
      </c>
      <c r="V103" s="6" t="s">
        <v>348</v>
      </c>
      <c r="W103" s="6" t="s">
        <v>360</v>
      </c>
      <c r="X103" s="6" t="s">
        <v>378</v>
      </c>
      <c r="Y103" s="6"/>
      <c r="Z103" s="6"/>
      <c r="AA103" s="6"/>
      <c r="AB103" s="6"/>
      <c r="AC103" s="6"/>
      <c r="AD103">
        <v>184</v>
      </c>
    </row>
    <row r="104" spans="1:30" x14ac:dyDescent="0.25">
      <c r="A104" s="9">
        <f t="shared" si="1"/>
        <v>42643</v>
      </c>
      <c r="B104">
        <v>50173434</v>
      </c>
      <c r="C104" s="6" t="s">
        <v>159</v>
      </c>
      <c r="D104">
        <v>1</v>
      </c>
      <c r="E104">
        <v>1</v>
      </c>
      <c r="F104">
        <v>1</v>
      </c>
      <c r="G104">
        <v>7</v>
      </c>
      <c r="H104">
        <v>6</v>
      </c>
      <c r="I104" s="6"/>
      <c r="J104" s="6"/>
      <c r="K104" s="6"/>
      <c r="L104" s="6"/>
      <c r="M104" s="2" t="s">
        <v>190</v>
      </c>
      <c r="N104" s="6" t="s">
        <v>228</v>
      </c>
      <c r="O104" s="6" t="s">
        <v>187</v>
      </c>
      <c r="P104" s="6" t="s">
        <v>77</v>
      </c>
      <c r="Q104" s="6" t="s">
        <v>299</v>
      </c>
      <c r="R104" s="6"/>
      <c r="S104" s="6" t="s">
        <v>340</v>
      </c>
      <c r="T104" s="6"/>
      <c r="U104" s="6" t="s">
        <v>345</v>
      </c>
      <c r="V104" s="6" t="s">
        <v>348</v>
      </c>
      <c r="W104" s="6" t="s">
        <v>360</v>
      </c>
      <c r="X104" s="6" t="s">
        <v>369</v>
      </c>
      <c r="Y104" s="6"/>
      <c r="Z104" s="6"/>
      <c r="AA104" s="6"/>
      <c r="AB104" s="6"/>
      <c r="AC104" s="6"/>
      <c r="AD104">
        <v>185</v>
      </c>
    </row>
    <row r="105" spans="1:30" x14ac:dyDescent="0.25">
      <c r="A105" s="9">
        <f t="shared" si="1"/>
        <v>42643</v>
      </c>
      <c r="B105">
        <v>50176936</v>
      </c>
      <c r="C105" s="6" t="s">
        <v>159</v>
      </c>
      <c r="D105">
        <v>1</v>
      </c>
      <c r="E105">
        <v>1</v>
      </c>
      <c r="F105">
        <v>1</v>
      </c>
      <c r="G105">
        <v>5</v>
      </c>
      <c r="H105">
        <v>5</v>
      </c>
      <c r="I105" s="6"/>
      <c r="J105" s="6"/>
      <c r="K105" s="6"/>
      <c r="L105" s="6"/>
      <c r="M105" s="2" t="s">
        <v>190</v>
      </c>
      <c r="N105" s="6" t="s">
        <v>221</v>
      </c>
      <c r="O105" s="6" t="s">
        <v>187</v>
      </c>
      <c r="P105" s="6" t="s">
        <v>77</v>
      </c>
      <c r="Q105" s="6" t="s">
        <v>299</v>
      </c>
      <c r="R105" s="6" t="s">
        <v>594</v>
      </c>
      <c r="S105" s="6" t="s">
        <v>340</v>
      </c>
      <c r="T105" s="6"/>
      <c r="U105" s="6" t="s">
        <v>345</v>
      </c>
      <c r="V105" s="6" t="s">
        <v>348</v>
      </c>
      <c r="W105" s="6" t="s">
        <v>360</v>
      </c>
      <c r="X105" s="6" t="s">
        <v>369</v>
      </c>
      <c r="Y105" s="6"/>
      <c r="Z105" s="6"/>
      <c r="AA105" s="6"/>
      <c r="AB105" s="6"/>
      <c r="AC105" s="6"/>
      <c r="AD105">
        <v>186</v>
      </c>
    </row>
    <row r="106" spans="1:30" x14ac:dyDescent="0.25">
      <c r="A106" s="9">
        <f t="shared" si="1"/>
        <v>42643</v>
      </c>
      <c r="B106">
        <v>50173178</v>
      </c>
      <c r="C106" s="6" t="s">
        <v>159</v>
      </c>
      <c r="D106">
        <v>1</v>
      </c>
      <c r="E106">
        <v>1</v>
      </c>
      <c r="F106">
        <v>1</v>
      </c>
      <c r="G106">
        <v>9</v>
      </c>
      <c r="H106">
        <v>9</v>
      </c>
      <c r="I106" s="6"/>
      <c r="J106" s="6"/>
      <c r="K106" s="6"/>
      <c r="L106" s="6"/>
      <c r="M106" s="2" t="s">
        <v>190</v>
      </c>
      <c r="N106" s="6" t="s">
        <v>229</v>
      </c>
      <c r="O106" s="6" t="s">
        <v>187</v>
      </c>
      <c r="P106" s="6" t="s">
        <v>77</v>
      </c>
      <c r="Q106" s="6" t="s">
        <v>299</v>
      </c>
      <c r="R106" s="6"/>
      <c r="S106" s="6" t="s">
        <v>340</v>
      </c>
      <c r="T106" s="6"/>
      <c r="U106" s="6" t="s">
        <v>345</v>
      </c>
      <c r="V106" s="6" t="s">
        <v>348</v>
      </c>
      <c r="W106" s="6" t="s">
        <v>360</v>
      </c>
      <c r="X106" s="6" t="s">
        <v>374</v>
      </c>
      <c r="Y106" s="6"/>
      <c r="Z106" s="6"/>
      <c r="AA106" s="6"/>
      <c r="AB106" s="6"/>
      <c r="AC106" s="6"/>
      <c r="AD106">
        <v>187</v>
      </c>
    </row>
    <row r="107" spans="1:30" x14ac:dyDescent="0.25">
      <c r="A107" s="9">
        <f t="shared" si="1"/>
        <v>42643</v>
      </c>
      <c r="B107">
        <v>50179561</v>
      </c>
      <c r="C107" s="6" t="s">
        <v>159</v>
      </c>
      <c r="D107">
        <v>1</v>
      </c>
      <c r="E107">
        <v>1</v>
      </c>
      <c r="F107">
        <v>1</v>
      </c>
      <c r="G107">
        <v>10</v>
      </c>
      <c r="H107">
        <v>2</v>
      </c>
      <c r="I107" s="6"/>
      <c r="J107" s="6"/>
      <c r="K107" s="6"/>
      <c r="L107" s="6"/>
      <c r="M107" s="2" t="s">
        <v>190</v>
      </c>
      <c r="N107" s="6" t="s">
        <v>201</v>
      </c>
      <c r="O107" s="6" t="s">
        <v>187</v>
      </c>
      <c r="P107" s="6" t="s">
        <v>77</v>
      </c>
      <c r="Q107" s="6" t="s">
        <v>299</v>
      </c>
      <c r="R107" s="6" t="s">
        <v>595</v>
      </c>
      <c r="S107" s="6" t="s">
        <v>340</v>
      </c>
      <c r="T107" s="6"/>
      <c r="U107" s="6" t="s">
        <v>345</v>
      </c>
      <c r="V107" s="6" t="s">
        <v>348</v>
      </c>
      <c r="W107" s="6" t="s">
        <v>360</v>
      </c>
      <c r="X107" s="6"/>
      <c r="Y107" s="6" t="s">
        <v>403</v>
      </c>
      <c r="Z107" s="6"/>
      <c r="AA107" s="6"/>
      <c r="AB107" s="6"/>
      <c r="AC107" s="6"/>
      <c r="AD107">
        <v>188</v>
      </c>
    </row>
    <row r="108" spans="1:30" x14ac:dyDescent="0.25">
      <c r="A108" s="9">
        <f t="shared" si="1"/>
        <v>42643</v>
      </c>
      <c r="B108">
        <v>50178471</v>
      </c>
      <c r="C108" s="6" t="s">
        <v>159</v>
      </c>
      <c r="D108">
        <v>1</v>
      </c>
      <c r="E108">
        <v>1</v>
      </c>
      <c r="F108">
        <v>1</v>
      </c>
      <c r="G108">
        <v>17</v>
      </c>
      <c r="H108">
        <v>2</v>
      </c>
      <c r="I108" s="6"/>
      <c r="J108" s="6"/>
      <c r="K108" s="6"/>
      <c r="L108" s="6"/>
      <c r="M108" s="2" t="s">
        <v>190</v>
      </c>
      <c r="N108" s="6" t="s">
        <v>225</v>
      </c>
      <c r="O108" s="6" t="s">
        <v>187</v>
      </c>
      <c r="P108" s="6" t="s">
        <v>77</v>
      </c>
      <c r="Q108" s="6" t="s">
        <v>299</v>
      </c>
      <c r="R108" s="6" t="s">
        <v>596</v>
      </c>
      <c r="S108" s="6" t="s">
        <v>340</v>
      </c>
      <c r="T108" s="6"/>
      <c r="U108" s="6" t="s">
        <v>345</v>
      </c>
      <c r="V108" s="6" t="s">
        <v>348</v>
      </c>
      <c r="W108" s="6" t="s">
        <v>360</v>
      </c>
      <c r="X108" s="6"/>
      <c r="Y108" s="6" t="s">
        <v>407</v>
      </c>
      <c r="Z108" s="6"/>
      <c r="AA108" s="6"/>
      <c r="AB108" s="6"/>
      <c r="AC108" s="6"/>
      <c r="AD108">
        <v>189</v>
      </c>
    </row>
    <row r="109" spans="1:30" x14ac:dyDescent="0.25">
      <c r="A109" s="9">
        <f t="shared" si="1"/>
        <v>42643</v>
      </c>
      <c r="B109">
        <v>50180216</v>
      </c>
      <c r="C109" s="6" t="s">
        <v>159</v>
      </c>
      <c r="D109">
        <v>1</v>
      </c>
      <c r="E109">
        <v>1</v>
      </c>
      <c r="F109">
        <v>1</v>
      </c>
      <c r="G109">
        <v>10</v>
      </c>
      <c r="H109">
        <v>10</v>
      </c>
      <c r="I109" s="6"/>
      <c r="J109" s="6"/>
      <c r="K109" s="6"/>
      <c r="L109" s="6"/>
      <c r="M109" s="2" t="s">
        <v>190</v>
      </c>
      <c r="N109" s="6" t="s">
        <v>178</v>
      </c>
      <c r="O109" s="6" t="s">
        <v>187</v>
      </c>
      <c r="P109" s="6" t="s">
        <v>77</v>
      </c>
      <c r="Q109" s="6" t="s">
        <v>299</v>
      </c>
      <c r="R109" s="6" t="s">
        <v>595</v>
      </c>
      <c r="S109" s="6" t="s">
        <v>340</v>
      </c>
      <c r="T109" s="6"/>
      <c r="U109" s="6" t="s">
        <v>345</v>
      </c>
      <c r="V109" s="6" t="s">
        <v>348</v>
      </c>
      <c r="W109" s="6" t="s">
        <v>360</v>
      </c>
      <c r="X109" s="6"/>
      <c r="Y109" s="6" t="s">
        <v>394</v>
      </c>
      <c r="Z109" s="6"/>
      <c r="AA109" s="6"/>
      <c r="AB109" s="6"/>
      <c r="AC109" s="6"/>
      <c r="AD109">
        <v>190</v>
      </c>
    </row>
    <row r="110" spans="1:30" x14ac:dyDescent="0.25">
      <c r="A110" s="9">
        <f t="shared" si="1"/>
        <v>42643</v>
      </c>
      <c r="B110">
        <v>50173072</v>
      </c>
      <c r="C110" s="6" t="s">
        <v>159</v>
      </c>
      <c r="D110">
        <v>1</v>
      </c>
      <c r="E110">
        <v>1</v>
      </c>
      <c r="F110">
        <v>1</v>
      </c>
      <c r="G110">
        <v>4</v>
      </c>
      <c r="H110">
        <v>4</v>
      </c>
      <c r="I110" s="6"/>
      <c r="J110" s="6"/>
      <c r="K110" s="6"/>
      <c r="L110" s="6"/>
      <c r="M110" s="2" t="s">
        <v>190</v>
      </c>
      <c r="N110" s="6" t="s">
        <v>219</v>
      </c>
      <c r="O110" s="6" t="s">
        <v>187</v>
      </c>
      <c r="P110" s="6" t="s">
        <v>78</v>
      </c>
      <c r="Q110" s="6" t="s">
        <v>300</v>
      </c>
      <c r="R110" s="6"/>
      <c r="S110" s="6" t="s">
        <v>340</v>
      </c>
      <c r="T110" s="6"/>
      <c r="U110" s="6" t="s">
        <v>345</v>
      </c>
      <c r="V110" s="6" t="s">
        <v>348</v>
      </c>
      <c r="W110" s="6" t="s">
        <v>358</v>
      </c>
      <c r="X110" s="6"/>
      <c r="Y110" s="6" t="s">
        <v>657</v>
      </c>
      <c r="Z110" s="6"/>
      <c r="AA110" s="6"/>
      <c r="AB110" s="6"/>
      <c r="AC110" s="6"/>
      <c r="AD110">
        <v>196</v>
      </c>
    </row>
    <row r="111" spans="1:30" x14ac:dyDescent="0.25">
      <c r="A111" s="9">
        <f t="shared" si="1"/>
        <v>42674</v>
      </c>
      <c r="B111">
        <v>50174001</v>
      </c>
      <c r="C111" s="6" t="s">
        <v>159</v>
      </c>
      <c r="D111">
        <v>1</v>
      </c>
      <c r="E111">
        <v>1</v>
      </c>
      <c r="F111">
        <v>1</v>
      </c>
      <c r="G111">
        <v>4</v>
      </c>
      <c r="H111">
        <v>4</v>
      </c>
      <c r="I111" s="6"/>
      <c r="J111" s="6"/>
      <c r="K111" s="6"/>
      <c r="L111" s="6"/>
      <c r="M111" s="2" t="s">
        <v>169</v>
      </c>
      <c r="N111" s="6" t="s">
        <v>228</v>
      </c>
      <c r="O111" s="6" t="s">
        <v>183</v>
      </c>
      <c r="P111" s="6" t="s">
        <v>79</v>
      </c>
      <c r="Q111" s="6" t="s">
        <v>301</v>
      </c>
      <c r="R111" s="6" t="s">
        <v>589</v>
      </c>
      <c r="S111" s="6" t="s">
        <v>340</v>
      </c>
      <c r="T111" s="6"/>
      <c r="U111" s="6" t="s">
        <v>345</v>
      </c>
      <c r="V111" s="6" t="s">
        <v>348</v>
      </c>
      <c r="W111" s="6" t="s">
        <v>361</v>
      </c>
      <c r="X111" s="6" t="s">
        <v>369</v>
      </c>
      <c r="Y111" s="6"/>
      <c r="Z111" s="6"/>
      <c r="AA111" s="6"/>
      <c r="AB111" s="6"/>
      <c r="AC111" s="6"/>
      <c r="AD111">
        <v>197</v>
      </c>
    </row>
    <row r="112" spans="1:30" x14ac:dyDescent="0.25">
      <c r="A112" s="9">
        <f t="shared" si="1"/>
        <v>42744</v>
      </c>
      <c r="B112">
        <v>50181306</v>
      </c>
      <c r="C112" s="6" t="s">
        <v>159</v>
      </c>
      <c r="D112">
        <v>1</v>
      </c>
      <c r="E112">
        <v>1</v>
      </c>
      <c r="F112">
        <v>0</v>
      </c>
      <c r="G112">
        <v>1</v>
      </c>
      <c r="H112">
        <v>1</v>
      </c>
      <c r="I112" s="6"/>
      <c r="J112" s="6"/>
      <c r="K112" s="6"/>
      <c r="L112" s="6"/>
      <c r="M112" s="2" t="s">
        <v>538</v>
      </c>
      <c r="N112" s="6" t="s">
        <v>190</v>
      </c>
      <c r="O112" s="6" t="s">
        <v>174</v>
      </c>
      <c r="P112" s="6" t="s">
        <v>80</v>
      </c>
      <c r="Q112" s="6" t="s">
        <v>302</v>
      </c>
      <c r="R112" s="6"/>
      <c r="S112" s="6" t="s">
        <v>340</v>
      </c>
      <c r="T112" s="6"/>
      <c r="U112" s="6" t="s">
        <v>346</v>
      </c>
      <c r="V112" s="6" t="s">
        <v>348</v>
      </c>
      <c r="W112" s="6" t="s">
        <v>358</v>
      </c>
      <c r="X112" s="6" t="s">
        <v>369</v>
      </c>
      <c r="Y112" s="6"/>
      <c r="Z112" s="6"/>
      <c r="AA112" s="6"/>
      <c r="AB112" s="6"/>
      <c r="AC112" s="6"/>
      <c r="AD112">
        <v>199</v>
      </c>
    </row>
    <row r="113" spans="1:30" x14ac:dyDescent="0.25">
      <c r="A113" s="9">
        <f t="shared" si="1"/>
        <v>42569</v>
      </c>
      <c r="B113">
        <v>50179960</v>
      </c>
      <c r="C113" s="6" t="s">
        <v>159</v>
      </c>
      <c r="D113">
        <v>1</v>
      </c>
      <c r="E113">
        <v>1</v>
      </c>
      <c r="F113">
        <v>1</v>
      </c>
      <c r="G113">
        <v>3</v>
      </c>
      <c r="H113">
        <v>3</v>
      </c>
      <c r="I113" s="6"/>
      <c r="J113" s="6"/>
      <c r="K113" s="6"/>
      <c r="L113" s="6"/>
      <c r="M113" s="2" t="s">
        <v>195</v>
      </c>
      <c r="N113" s="6" t="s">
        <v>173</v>
      </c>
      <c r="O113" s="6" t="s">
        <v>268</v>
      </c>
      <c r="P113" s="6" t="s">
        <v>0</v>
      </c>
      <c r="Q113" s="6" t="s">
        <v>301</v>
      </c>
      <c r="R113" s="6"/>
      <c r="S113" s="6" t="s">
        <v>340</v>
      </c>
      <c r="T113" s="6"/>
      <c r="U113" s="6" t="s">
        <v>345</v>
      </c>
      <c r="V113" s="6" t="s">
        <v>348</v>
      </c>
      <c r="W113" s="6" t="s">
        <v>359</v>
      </c>
      <c r="X113" s="6"/>
      <c r="Y113" s="6" t="s">
        <v>400</v>
      </c>
      <c r="Z113" s="6"/>
      <c r="AA113" s="6"/>
      <c r="AB113" s="6"/>
      <c r="AC113" s="6"/>
      <c r="AD113">
        <v>202</v>
      </c>
    </row>
    <row r="114" spans="1:30" x14ac:dyDescent="0.25">
      <c r="A114" s="9">
        <f t="shared" si="1"/>
        <v>42569</v>
      </c>
      <c r="B114">
        <v>50180860</v>
      </c>
      <c r="C114" s="6" t="s">
        <v>159</v>
      </c>
      <c r="D114">
        <v>1</v>
      </c>
      <c r="E114">
        <v>1</v>
      </c>
      <c r="F114">
        <v>1</v>
      </c>
      <c r="G114">
        <v>25</v>
      </c>
      <c r="H114">
        <v>4</v>
      </c>
      <c r="I114" s="6"/>
      <c r="J114" s="6"/>
      <c r="K114" s="6"/>
      <c r="L114" s="6"/>
      <c r="M114" s="2" t="s">
        <v>195</v>
      </c>
      <c r="N114" s="6" t="s">
        <v>541</v>
      </c>
      <c r="O114" s="6" t="s">
        <v>268</v>
      </c>
      <c r="P114" s="6" t="s">
        <v>0</v>
      </c>
      <c r="Q114" s="6" t="s">
        <v>301</v>
      </c>
      <c r="R114" s="6" t="s">
        <v>597</v>
      </c>
      <c r="S114" s="6" t="s">
        <v>340</v>
      </c>
      <c r="T114" s="6"/>
      <c r="U114" s="6" t="s">
        <v>345</v>
      </c>
      <c r="V114" s="6" t="s">
        <v>348</v>
      </c>
      <c r="W114" s="6" t="s">
        <v>359</v>
      </c>
      <c r="X114" s="6"/>
      <c r="Y114" s="6" t="s">
        <v>501</v>
      </c>
      <c r="Z114" s="6"/>
      <c r="AA114" s="6"/>
      <c r="AB114" s="6"/>
      <c r="AC114" s="6"/>
      <c r="AD114">
        <v>203</v>
      </c>
    </row>
    <row r="115" spans="1:30" x14ac:dyDescent="0.25">
      <c r="A115" s="9">
        <f t="shared" si="1"/>
        <v>42569</v>
      </c>
      <c r="B115">
        <v>50180991</v>
      </c>
      <c r="C115" s="6" t="s">
        <v>159</v>
      </c>
      <c r="D115">
        <v>1</v>
      </c>
      <c r="E115">
        <v>1</v>
      </c>
      <c r="F115">
        <v>1</v>
      </c>
      <c r="G115">
        <v>2</v>
      </c>
      <c r="H115">
        <v>2</v>
      </c>
      <c r="I115" s="6"/>
      <c r="J115" s="6"/>
      <c r="K115" s="6"/>
      <c r="L115" s="6"/>
      <c r="M115" s="2" t="s">
        <v>195</v>
      </c>
      <c r="N115" s="6" t="s">
        <v>209</v>
      </c>
      <c r="O115" s="6" t="s">
        <v>268</v>
      </c>
      <c r="P115" s="6" t="s">
        <v>0</v>
      </c>
      <c r="Q115" s="6" t="s">
        <v>301</v>
      </c>
      <c r="R115" s="6"/>
      <c r="S115" s="6" t="s">
        <v>340</v>
      </c>
      <c r="T115" s="6"/>
      <c r="U115" s="6" t="s">
        <v>345</v>
      </c>
      <c r="V115" s="6" t="s">
        <v>348</v>
      </c>
      <c r="W115" s="6" t="s">
        <v>359</v>
      </c>
      <c r="X115" s="6" t="s">
        <v>635</v>
      </c>
      <c r="Y115" s="6" t="s">
        <v>401</v>
      </c>
      <c r="Z115" s="6"/>
      <c r="AA115" s="6"/>
      <c r="AB115" s="6"/>
      <c r="AC115" s="6"/>
      <c r="AD115">
        <v>204</v>
      </c>
    </row>
    <row r="116" spans="1:30" x14ac:dyDescent="0.25">
      <c r="A116" s="9">
        <f t="shared" si="1"/>
        <v>42576</v>
      </c>
      <c r="B116">
        <v>50180859</v>
      </c>
      <c r="C116" s="6" t="s">
        <v>159</v>
      </c>
      <c r="D116">
        <v>1</v>
      </c>
      <c r="E116">
        <v>1</v>
      </c>
      <c r="F116">
        <v>1</v>
      </c>
      <c r="G116">
        <v>25</v>
      </c>
      <c r="H116">
        <v>25</v>
      </c>
      <c r="I116" s="6"/>
      <c r="J116" s="6"/>
      <c r="K116" s="6"/>
      <c r="L116" s="6"/>
      <c r="M116" s="2" t="s">
        <v>201</v>
      </c>
      <c r="N116" s="6" t="s">
        <v>173</v>
      </c>
      <c r="O116" s="6" t="s">
        <v>550</v>
      </c>
      <c r="P116" s="6" t="s">
        <v>0</v>
      </c>
      <c r="Q116" s="6" t="s">
        <v>301</v>
      </c>
      <c r="R116" s="6" t="s">
        <v>598</v>
      </c>
      <c r="S116" s="6" t="s">
        <v>340</v>
      </c>
      <c r="T116" s="6"/>
      <c r="U116" s="6" t="s">
        <v>345</v>
      </c>
      <c r="V116" s="6" t="s">
        <v>348</v>
      </c>
      <c r="W116" s="6" t="s">
        <v>359</v>
      </c>
      <c r="X116" s="6"/>
      <c r="Y116" s="6" t="s">
        <v>658</v>
      </c>
      <c r="Z116" s="6"/>
      <c r="AA116" s="6"/>
      <c r="AB116" s="6"/>
      <c r="AC116" s="6"/>
      <c r="AD116">
        <v>205</v>
      </c>
    </row>
    <row r="117" spans="1:30" x14ac:dyDescent="0.25">
      <c r="A117" s="9">
        <f t="shared" si="1"/>
        <v>42577</v>
      </c>
      <c r="B117">
        <v>50180858</v>
      </c>
      <c r="C117" s="6" t="s">
        <v>159</v>
      </c>
      <c r="D117">
        <v>1</v>
      </c>
      <c r="E117">
        <v>1</v>
      </c>
      <c r="F117">
        <v>1</v>
      </c>
      <c r="G117">
        <v>25</v>
      </c>
      <c r="H117">
        <v>25</v>
      </c>
      <c r="I117" s="6"/>
      <c r="J117" s="6"/>
      <c r="K117" s="6"/>
      <c r="L117" s="6"/>
      <c r="M117" s="2" t="s">
        <v>202</v>
      </c>
      <c r="N117" s="6" t="s">
        <v>173</v>
      </c>
      <c r="O117" s="6" t="s">
        <v>257</v>
      </c>
      <c r="P117" s="6" t="s">
        <v>0</v>
      </c>
      <c r="Q117" s="6" t="s">
        <v>301</v>
      </c>
      <c r="R117" s="6" t="s">
        <v>599</v>
      </c>
      <c r="S117" s="6" t="s">
        <v>340</v>
      </c>
      <c r="T117" s="6"/>
      <c r="U117" s="6" t="s">
        <v>345</v>
      </c>
      <c r="V117" s="6" t="s">
        <v>348</v>
      </c>
      <c r="W117" s="6" t="s">
        <v>359</v>
      </c>
      <c r="X117" s="6"/>
      <c r="Y117" s="6" t="s">
        <v>659</v>
      </c>
      <c r="Z117" s="6"/>
      <c r="AA117" s="6"/>
      <c r="AB117" s="6"/>
      <c r="AC117" s="6"/>
      <c r="AD117">
        <v>206</v>
      </c>
    </row>
    <row r="118" spans="1:30" x14ac:dyDescent="0.25">
      <c r="A118" s="9">
        <f t="shared" si="1"/>
        <v>42613</v>
      </c>
      <c r="B118">
        <v>50180655</v>
      </c>
      <c r="C118" s="6" t="s">
        <v>159</v>
      </c>
      <c r="D118">
        <v>1</v>
      </c>
      <c r="E118">
        <v>1</v>
      </c>
      <c r="F118">
        <v>1</v>
      </c>
      <c r="G118">
        <v>25</v>
      </c>
      <c r="H118">
        <v>25</v>
      </c>
      <c r="I118" s="6"/>
      <c r="J118" s="6"/>
      <c r="K118" s="6"/>
      <c r="L118" s="6"/>
      <c r="M118" s="2" t="s">
        <v>188</v>
      </c>
      <c r="N118" s="6" t="s">
        <v>178</v>
      </c>
      <c r="O118" s="6" t="s">
        <v>286</v>
      </c>
      <c r="P118" s="6" t="s">
        <v>0</v>
      </c>
      <c r="Q118" s="6" t="s">
        <v>301</v>
      </c>
      <c r="R118" s="6" t="s">
        <v>600</v>
      </c>
      <c r="S118" s="6" t="s">
        <v>340</v>
      </c>
      <c r="T118" s="6"/>
      <c r="U118" s="6" t="s">
        <v>345</v>
      </c>
      <c r="V118" s="6" t="s">
        <v>348</v>
      </c>
      <c r="W118" s="6" t="s">
        <v>359</v>
      </c>
      <c r="X118" s="6"/>
      <c r="Y118" s="6" t="s">
        <v>394</v>
      </c>
      <c r="Z118" s="6"/>
      <c r="AA118" s="6"/>
      <c r="AB118" s="6"/>
      <c r="AC118" s="6"/>
      <c r="AD118">
        <v>207</v>
      </c>
    </row>
    <row r="119" spans="1:30" x14ac:dyDescent="0.25">
      <c r="A119" s="9">
        <f t="shared" si="1"/>
        <v>42639</v>
      </c>
      <c r="B119">
        <v>50180656</v>
      </c>
      <c r="C119" s="6" t="s">
        <v>159</v>
      </c>
      <c r="D119">
        <v>1</v>
      </c>
      <c r="E119">
        <v>1</v>
      </c>
      <c r="F119">
        <v>1</v>
      </c>
      <c r="G119">
        <v>25</v>
      </c>
      <c r="H119">
        <v>25</v>
      </c>
      <c r="I119" s="6"/>
      <c r="J119" s="6"/>
      <c r="K119" s="6"/>
      <c r="L119" s="6"/>
      <c r="M119" s="2" t="s">
        <v>173</v>
      </c>
      <c r="N119" s="6" t="s">
        <v>173</v>
      </c>
      <c r="O119" s="6" t="s">
        <v>186</v>
      </c>
      <c r="P119" s="6" t="s">
        <v>0</v>
      </c>
      <c r="Q119" s="6" t="s">
        <v>301</v>
      </c>
      <c r="R119" s="6" t="s">
        <v>592</v>
      </c>
      <c r="S119" s="6" t="s">
        <v>340</v>
      </c>
      <c r="T119" s="6"/>
      <c r="U119" s="6" t="s">
        <v>345</v>
      </c>
      <c r="V119" s="6" t="s">
        <v>348</v>
      </c>
      <c r="W119" s="6" t="s">
        <v>359</v>
      </c>
      <c r="X119" s="6"/>
      <c r="Y119" s="6" t="s">
        <v>394</v>
      </c>
      <c r="Z119" s="6"/>
      <c r="AA119" s="6"/>
      <c r="AB119" s="6"/>
      <c r="AC119" s="6"/>
      <c r="AD119">
        <v>208</v>
      </c>
    </row>
    <row r="120" spans="1:30" x14ac:dyDescent="0.25">
      <c r="A120" s="9">
        <f t="shared" si="1"/>
        <v>42639</v>
      </c>
      <c r="B120">
        <v>50180654</v>
      </c>
      <c r="C120" s="6" t="s">
        <v>159</v>
      </c>
      <c r="D120">
        <v>1</v>
      </c>
      <c r="E120">
        <v>1</v>
      </c>
      <c r="F120">
        <v>1</v>
      </c>
      <c r="G120">
        <v>30</v>
      </c>
      <c r="H120">
        <v>30</v>
      </c>
      <c r="I120" s="6"/>
      <c r="J120" s="6"/>
      <c r="K120" s="6"/>
      <c r="L120" s="6"/>
      <c r="M120" s="2" t="s">
        <v>173</v>
      </c>
      <c r="N120" s="6" t="s">
        <v>178</v>
      </c>
      <c r="O120" s="6" t="s">
        <v>186</v>
      </c>
      <c r="P120" s="6" t="s">
        <v>0</v>
      </c>
      <c r="Q120" s="6" t="s">
        <v>301</v>
      </c>
      <c r="R120" s="6" t="s">
        <v>526</v>
      </c>
      <c r="S120" s="6" t="s">
        <v>340</v>
      </c>
      <c r="T120" s="6"/>
      <c r="U120" s="6" t="s">
        <v>345</v>
      </c>
      <c r="V120" s="6" t="s">
        <v>348</v>
      </c>
      <c r="W120" s="6" t="s">
        <v>359</v>
      </c>
      <c r="X120" s="6"/>
      <c r="Y120" s="6" t="s">
        <v>445</v>
      </c>
      <c r="Z120" s="6"/>
      <c r="AA120" s="6"/>
      <c r="AB120" s="6"/>
      <c r="AC120" s="6"/>
      <c r="AD120">
        <v>209</v>
      </c>
    </row>
    <row r="121" spans="1:30" x14ac:dyDescent="0.25">
      <c r="A121" s="9">
        <f t="shared" si="1"/>
        <v>42639</v>
      </c>
      <c r="B121">
        <v>50181661</v>
      </c>
      <c r="C121" s="6" t="s">
        <v>159</v>
      </c>
      <c r="D121">
        <v>1</v>
      </c>
      <c r="E121">
        <v>1</v>
      </c>
      <c r="F121">
        <v>1</v>
      </c>
      <c r="G121">
        <v>25</v>
      </c>
      <c r="H121">
        <v>25</v>
      </c>
      <c r="I121" s="6"/>
      <c r="J121" s="6"/>
      <c r="K121" s="6"/>
      <c r="L121" s="6"/>
      <c r="M121" s="2" t="s">
        <v>173</v>
      </c>
      <c r="N121" s="6" t="s">
        <v>203</v>
      </c>
      <c r="O121" s="6" t="s">
        <v>186</v>
      </c>
      <c r="P121" s="6" t="s">
        <v>0</v>
      </c>
      <c r="Q121" s="6" t="s">
        <v>301</v>
      </c>
      <c r="R121" s="6" t="s">
        <v>592</v>
      </c>
      <c r="S121" s="6" t="s">
        <v>340</v>
      </c>
      <c r="T121" s="6"/>
      <c r="U121" s="6" t="s">
        <v>345</v>
      </c>
      <c r="V121" s="6" t="s">
        <v>348</v>
      </c>
      <c r="W121" s="6" t="s">
        <v>359</v>
      </c>
      <c r="X121" s="6" t="s">
        <v>452</v>
      </c>
      <c r="Y121" s="6" t="s">
        <v>660</v>
      </c>
      <c r="Z121" s="6"/>
      <c r="AA121" s="6"/>
      <c r="AB121" s="6"/>
      <c r="AC121" s="6"/>
      <c r="AD121">
        <v>210</v>
      </c>
    </row>
    <row r="122" spans="1:30" x14ac:dyDescent="0.25">
      <c r="A122" s="9">
        <f t="shared" si="1"/>
        <v>42643</v>
      </c>
      <c r="B122">
        <v>50180203</v>
      </c>
      <c r="C122" s="6" t="s">
        <v>159</v>
      </c>
      <c r="D122">
        <v>1</v>
      </c>
      <c r="E122">
        <v>1</v>
      </c>
      <c r="F122">
        <v>1</v>
      </c>
      <c r="G122">
        <v>20</v>
      </c>
      <c r="H122">
        <v>1</v>
      </c>
      <c r="I122" s="6"/>
      <c r="J122" s="6"/>
      <c r="K122" s="6"/>
      <c r="L122" s="6"/>
      <c r="M122" s="2" t="s">
        <v>190</v>
      </c>
      <c r="N122" s="6" t="s">
        <v>170</v>
      </c>
      <c r="O122" s="6" t="s">
        <v>198</v>
      </c>
      <c r="P122" s="6" t="s">
        <v>0</v>
      </c>
      <c r="Q122" s="6" t="s">
        <v>301</v>
      </c>
      <c r="R122" s="6" t="s">
        <v>585</v>
      </c>
      <c r="S122" s="6" t="s">
        <v>340</v>
      </c>
      <c r="T122" s="6"/>
      <c r="U122" s="6" t="s">
        <v>345</v>
      </c>
      <c r="V122" s="6" t="s">
        <v>348</v>
      </c>
      <c r="W122" s="6" t="s">
        <v>359</v>
      </c>
      <c r="X122" s="6"/>
      <c r="Y122" s="6" t="s">
        <v>409</v>
      </c>
      <c r="Z122" s="6"/>
      <c r="AA122" s="6"/>
      <c r="AB122" s="6"/>
      <c r="AC122" s="6"/>
      <c r="AD122">
        <v>211</v>
      </c>
    </row>
    <row r="123" spans="1:30" x14ac:dyDescent="0.25">
      <c r="A123" s="9">
        <f t="shared" si="1"/>
        <v>42674</v>
      </c>
      <c r="B123">
        <v>50180361</v>
      </c>
      <c r="C123" s="6" t="s">
        <v>159</v>
      </c>
      <c r="D123">
        <v>1</v>
      </c>
      <c r="E123">
        <v>1</v>
      </c>
      <c r="F123">
        <v>1</v>
      </c>
      <c r="G123">
        <v>4</v>
      </c>
      <c r="H123">
        <v>4</v>
      </c>
      <c r="I123" s="6"/>
      <c r="J123" s="6"/>
      <c r="K123" s="6"/>
      <c r="L123" s="6"/>
      <c r="M123" s="2" t="s">
        <v>169</v>
      </c>
      <c r="N123" s="6" t="s">
        <v>192</v>
      </c>
      <c r="O123" s="6" t="s">
        <v>189</v>
      </c>
      <c r="P123" s="6" t="s">
        <v>0</v>
      </c>
      <c r="Q123" s="6" t="s">
        <v>301</v>
      </c>
      <c r="R123" s="6"/>
      <c r="S123" s="6" t="s">
        <v>340</v>
      </c>
      <c r="T123" s="6"/>
      <c r="U123" s="6" t="s">
        <v>345</v>
      </c>
      <c r="V123" s="6" t="s">
        <v>348</v>
      </c>
      <c r="W123" s="6" t="s">
        <v>359</v>
      </c>
      <c r="X123" s="6" t="s">
        <v>376</v>
      </c>
      <c r="Y123" s="6"/>
      <c r="Z123" s="6"/>
      <c r="AA123" s="6"/>
      <c r="AB123" s="6"/>
      <c r="AC123" s="6"/>
      <c r="AD123">
        <v>212</v>
      </c>
    </row>
    <row r="124" spans="1:30" x14ac:dyDescent="0.25">
      <c r="A124" s="9">
        <f t="shared" si="1"/>
        <v>42674</v>
      </c>
      <c r="B124">
        <v>50178322</v>
      </c>
      <c r="C124" s="6" t="s">
        <v>159</v>
      </c>
      <c r="D124">
        <v>1</v>
      </c>
      <c r="E124">
        <v>1</v>
      </c>
      <c r="F124">
        <v>1</v>
      </c>
      <c r="G124">
        <v>6</v>
      </c>
      <c r="H124">
        <v>1</v>
      </c>
      <c r="I124" s="6"/>
      <c r="J124" s="6"/>
      <c r="K124" s="6"/>
      <c r="L124" s="6"/>
      <c r="M124" s="2" t="s">
        <v>169</v>
      </c>
      <c r="N124" s="6" t="s">
        <v>224</v>
      </c>
      <c r="O124" s="6" t="s">
        <v>189</v>
      </c>
      <c r="P124" s="6" t="s">
        <v>0</v>
      </c>
      <c r="Q124" s="6" t="s">
        <v>301</v>
      </c>
      <c r="R124" s="6" t="s">
        <v>588</v>
      </c>
      <c r="S124" s="6" t="s">
        <v>340</v>
      </c>
      <c r="T124" s="6"/>
      <c r="U124" s="6" t="s">
        <v>345</v>
      </c>
      <c r="V124" s="6" t="s">
        <v>348</v>
      </c>
      <c r="W124" s="6" t="s">
        <v>359</v>
      </c>
      <c r="X124" s="6" t="s">
        <v>369</v>
      </c>
      <c r="Y124" s="6"/>
      <c r="Z124" s="6"/>
      <c r="AA124" s="6"/>
      <c r="AB124" s="6"/>
      <c r="AC124" s="6"/>
      <c r="AD124">
        <v>213</v>
      </c>
    </row>
    <row r="125" spans="1:30" x14ac:dyDescent="0.25">
      <c r="A125" s="9">
        <f t="shared" si="1"/>
        <v>42674</v>
      </c>
      <c r="B125">
        <v>50178256</v>
      </c>
      <c r="C125" s="6" t="s">
        <v>159</v>
      </c>
      <c r="D125">
        <v>1</v>
      </c>
      <c r="E125">
        <v>1</v>
      </c>
      <c r="F125">
        <v>1</v>
      </c>
      <c r="G125">
        <v>1</v>
      </c>
      <c r="H125">
        <v>1</v>
      </c>
      <c r="I125" s="6"/>
      <c r="J125" s="6"/>
      <c r="K125" s="6"/>
      <c r="L125" s="6"/>
      <c r="M125" s="2" t="s">
        <v>169</v>
      </c>
      <c r="N125" s="6" t="s">
        <v>232</v>
      </c>
      <c r="O125" s="6" t="s">
        <v>189</v>
      </c>
      <c r="P125" s="6" t="s">
        <v>0</v>
      </c>
      <c r="Q125" s="6" t="s">
        <v>301</v>
      </c>
      <c r="R125" s="6"/>
      <c r="S125" s="6" t="s">
        <v>340</v>
      </c>
      <c r="T125" s="6"/>
      <c r="U125" s="6" t="s">
        <v>345</v>
      </c>
      <c r="V125" s="6" t="s">
        <v>348</v>
      </c>
      <c r="W125" s="6" t="s">
        <v>359</v>
      </c>
      <c r="X125" s="6" t="s">
        <v>369</v>
      </c>
      <c r="Y125" s="6"/>
      <c r="Z125" s="6"/>
      <c r="AA125" s="6"/>
      <c r="AB125" s="6"/>
      <c r="AC125" s="6"/>
      <c r="AD125">
        <v>214</v>
      </c>
    </row>
    <row r="126" spans="1:30" x14ac:dyDescent="0.25">
      <c r="A126" s="9">
        <f t="shared" si="1"/>
        <v>42674</v>
      </c>
      <c r="B126">
        <v>50177687</v>
      </c>
      <c r="C126" s="6" t="s">
        <v>159</v>
      </c>
      <c r="D126">
        <v>1</v>
      </c>
      <c r="E126">
        <v>1</v>
      </c>
      <c r="F126">
        <v>1</v>
      </c>
      <c r="G126">
        <v>3</v>
      </c>
      <c r="H126">
        <v>3</v>
      </c>
      <c r="I126" s="6"/>
      <c r="J126" s="6"/>
      <c r="K126" s="6"/>
      <c r="L126" s="6"/>
      <c r="M126" s="2" t="s">
        <v>169</v>
      </c>
      <c r="N126" s="6" t="s">
        <v>218</v>
      </c>
      <c r="O126" s="6" t="s">
        <v>189</v>
      </c>
      <c r="P126" s="6" t="s">
        <v>0</v>
      </c>
      <c r="Q126" s="6" t="s">
        <v>301</v>
      </c>
      <c r="R126" s="6"/>
      <c r="S126" s="6" t="s">
        <v>340</v>
      </c>
      <c r="T126" s="6"/>
      <c r="U126" s="6" t="s">
        <v>345</v>
      </c>
      <c r="V126" s="6" t="s">
        <v>348</v>
      </c>
      <c r="W126" s="6" t="s">
        <v>359</v>
      </c>
      <c r="X126" s="6" t="s">
        <v>369</v>
      </c>
      <c r="Y126" s="6"/>
      <c r="Z126" s="6"/>
      <c r="AA126" s="6"/>
      <c r="AB126" s="6"/>
      <c r="AC126" s="6"/>
      <c r="AD126">
        <v>215</v>
      </c>
    </row>
    <row r="127" spans="1:30" x14ac:dyDescent="0.25">
      <c r="A127" s="9">
        <f t="shared" si="1"/>
        <v>42674</v>
      </c>
      <c r="B127">
        <v>50178058</v>
      </c>
      <c r="C127" s="6" t="s">
        <v>159</v>
      </c>
      <c r="D127">
        <v>1</v>
      </c>
      <c r="E127">
        <v>1</v>
      </c>
      <c r="F127">
        <v>1</v>
      </c>
      <c r="G127">
        <v>2</v>
      </c>
      <c r="H127">
        <v>2</v>
      </c>
      <c r="I127" s="6"/>
      <c r="J127" s="6"/>
      <c r="K127" s="6"/>
      <c r="L127" s="6"/>
      <c r="M127" s="2" t="s">
        <v>169</v>
      </c>
      <c r="N127" s="6" t="s">
        <v>200</v>
      </c>
      <c r="O127" s="6" t="s">
        <v>189</v>
      </c>
      <c r="P127" s="6" t="s">
        <v>0</v>
      </c>
      <c r="Q127" s="6" t="s">
        <v>301</v>
      </c>
      <c r="R127" s="6"/>
      <c r="S127" s="6" t="s">
        <v>340</v>
      </c>
      <c r="T127" s="6"/>
      <c r="U127" s="6" t="s">
        <v>345</v>
      </c>
      <c r="V127" s="6" t="s">
        <v>348</v>
      </c>
      <c r="W127" s="6" t="s">
        <v>359</v>
      </c>
      <c r="X127" s="6" t="s">
        <v>369</v>
      </c>
      <c r="Y127" s="6"/>
      <c r="Z127" s="6"/>
      <c r="AA127" s="6"/>
      <c r="AB127" s="6"/>
      <c r="AC127" s="6"/>
      <c r="AD127">
        <v>216</v>
      </c>
    </row>
    <row r="128" spans="1:30" x14ac:dyDescent="0.25">
      <c r="A128" s="9">
        <f t="shared" si="1"/>
        <v>42674</v>
      </c>
      <c r="B128">
        <v>50174092</v>
      </c>
      <c r="C128" s="6" t="s">
        <v>159</v>
      </c>
      <c r="D128">
        <v>1</v>
      </c>
      <c r="E128">
        <v>1</v>
      </c>
      <c r="F128">
        <v>1</v>
      </c>
      <c r="G128">
        <v>1</v>
      </c>
      <c r="H128">
        <v>1</v>
      </c>
      <c r="I128" s="6"/>
      <c r="J128" s="6"/>
      <c r="K128" s="6"/>
      <c r="L128" s="6"/>
      <c r="M128" s="2" t="s">
        <v>169</v>
      </c>
      <c r="N128" s="6" t="s">
        <v>220</v>
      </c>
      <c r="O128" s="6" t="s">
        <v>189</v>
      </c>
      <c r="P128" s="6" t="s">
        <v>0</v>
      </c>
      <c r="Q128" s="6" t="s">
        <v>301</v>
      </c>
      <c r="R128" s="6"/>
      <c r="S128" s="6" t="s">
        <v>340</v>
      </c>
      <c r="T128" s="6"/>
      <c r="U128" s="6" t="s">
        <v>345</v>
      </c>
      <c r="V128" s="6" t="s">
        <v>348</v>
      </c>
      <c r="W128" s="6" t="s">
        <v>359</v>
      </c>
      <c r="X128" s="6" t="s">
        <v>369</v>
      </c>
      <c r="Y128" s="6"/>
      <c r="Z128" s="6"/>
      <c r="AA128" s="6"/>
      <c r="AB128" s="6"/>
      <c r="AC128" s="6"/>
      <c r="AD128">
        <v>217</v>
      </c>
    </row>
    <row r="129" spans="1:30" x14ac:dyDescent="0.25">
      <c r="A129" s="9">
        <f t="shared" si="1"/>
        <v>42674</v>
      </c>
      <c r="B129">
        <v>50176090</v>
      </c>
      <c r="C129" s="6" t="s">
        <v>159</v>
      </c>
      <c r="D129">
        <v>1</v>
      </c>
      <c r="E129">
        <v>1</v>
      </c>
      <c r="F129">
        <v>1</v>
      </c>
      <c r="G129">
        <v>1</v>
      </c>
      <c r="H129">
        <v>1</v>
      </c>
      <c r="I129" s="6"/>
      <c r="J129" s="6"/>
      <c r="K129" s="6"/>
      <c r="L129" s="6"/>
      <c r="M129" s="2" t="s">
        <v>169</v>
      </c>
      <c r="N129" s="6" t="s">
        <v>231</v>
      </c>
      <c r="O129" s="6" t="s">
        <v>189</v>
      </c>
      <c r="P129" s="6" t="s">
        <v>0</v>
      </c>
      <c r="Q129" s="6" t="s">
        <v>301</v>
      </c>
      <c r="R129" s="6"/>
      <c r="S129" s="6" t="s">
        <v>340</v>
      </c>
      <c r="T129" s="6"/>
      <c r="U129" s="6" t="s">
        <v>345</v>
      </c>
      <c r="V129" s="6" t="s">
        <v>348</v>
      </c>
      <c r="W129" s="6" t="s">
        <v>359</v>
      </c>
      <c r="X129" s="6" t="s">
        <v>380</v>
      </c>
      <c r="Y129" s="6" t="s">
        <v>394</v>
      </c>
      <c r="Z129" s="6"/>
      <c r="AA129" s="6"/>
      <c r="AB129" s="6"/>
      <c r="AC129" s="6"/>
      <c r="AD129">
        <v>218</v>
      </c>
    </row>
    <row r="130" spans="1:30" x14ac:dyDescent="0.25">
      <c r="A130" s="9">
        <f t="shared" si="1"/>
        <v>42674</v>
      </c>
      <c r="B130">
        <v>50177249</v>
      </c>
      <c r="C130" s="6" t="s">
        <v>159</v>
      </c>
      <c r="D130">
        <v>1</v>
      </c>
      <c r="E130">
        <v>1</v>
      </c>
      <c r="F130">
        <v>1</v>
      </c>
      <c r="G130">
        <v>1</v>
      </c>
      <c r="H130">
        <v>1</v>
      </c>
      <c r="I130" s="6"/>
      <c r="J130" s="6"/>
      <c r="K130" s="6"/>
      <c r="L130" s="6"/>
      <c r="M130" s="2" t="s">
        <v>169</v>
      </c>
      <c r="N130" s="6" t="s">
        <v>218</v>
      </c>
      <c r="O130" s="6" t="s">
        <v>189</v>
      </c>
      <c r="P130" s="6" t="s">
        <v>0</v>
      </c>
      <c r="Q130" s="6" t="s">
        <v>301</v>
      </c>
      <c r="R130" s="6"/>
      <c r="S130" s="6" t="s">
        <v>340</v>
      </c>
      <c r="T130" s="6"/>
      <c r="U130" s="6" t="s">
        <v>345</v>
      </c>
      <c r="V130" s="6" t="s">
        <v>348</v>
      </c>
      <c r="W130" s="6" t="s">
        <v>359</v>
      </c>
      <c r="X130" s="6" t="s">
        <v>374</v>
      </c>
      <c r="Y130" s="6"/>
      <c r="Z130" s="6"/>
      <c r="AA130" s="6"/>
      <c r="AB130" s="6"/>
      <c r="AC130" s="6"/>
      <c r="AD130">
        <v>219</v>
      </c>
    </row>
    <row r="131" spans="1:30" x14ac:dyDescent="0.25">
      <c r="A131" s="9">
        <f t="shared" ref="A131:A194" si="2">IF(M131="","",DATEVALUE(M131))</f>
        <v>42674</v>
      </c>
      <c r="B131">
        <v>50177251</v>
      </c>
      <c r="C131" s="6" t="s">
        <v>159</v>
      </c>
      <c r="D131">
        <v>1</v>
      </c>
      <c r="E131">
        <v>1</v>
      </c>
      <c r="F131">
        <v>1</v>
      </c>
      <c r="G131">
        <v>1</v>
      </c>
      <c r="H131">
        <v>1</v>
      </c>
      <c r="I131" s="6"/>
      <c r="J131" s="6"/>
      <c r="K131" s="6"/>
      <c r="L131" s="6"/>
      <c r="M131" s="2" t="s">
        <v>169</v>
      </c>
      <c r="N131" s="6" t="s">
        <v>218</v>
      </c>
      <c r="O131" s="6" t="s">
        <v>189</v>
      </c>
      <c r="P131" s="6" t="s">
        <v>0</v>
      </c>
      <c r="Q131" s="6" t="s">
        <v>301</v>
      </c>
      <c r="R131" s="6"/>
      <c r="S131" s="6" t="s">
        <v>340</v>
      </c>
      <c r="T131" s="6"/>
      <c r="U131" s="6" t="s">
        <v>345</v>
      </c>
      <c r="V131" s="6" t="s">
        <v>348</v>
      </c>
      <c r="W131" s="6" t="s">
        <v>359</v>
      </c>
      <c r="X131" s="6" t="s">
        <v>369</v>
      </c>
      <c r="Y131" s="6"/>
      <c r="Z131" s="6"/>
      <c r="AA131" s="6"/>
      <c r="AB131" s="6"/>
      <c r="AC131" s="6"/>
      <c r="AD131">
        <v>220</v>
      </c>
    </row>
    <row r="132" spans="1:30" x14ac:dyDescent="0.25">
      <c r="A132" s="9">
        <f t="shared" si="2"/>
        <v>42674</v>
      </c>
      <c r="B132">
        <v>50177253</v>
      </c>
      <c r="C132" s="6" t="s">
        <v>159</v>
      </c>
      <c r="D132">
        <v>1</v>
      </c>
      <c r="E132">
        <v>1</v>
      </c>
      <c r="F132">
        <v>1</v>
      </c>
      <c r="G132">
        <v>1</v>
      </c>
      <c r="H132">
        <v>1</v>
      </c>
      <c r="I132" s="6"/>
      <c r="J132" s="6"/>
      <c r="K132" s="6"/>
      <c r="L132" s="6"/>
      <c r="M132" s="2" t="s">
        <v>169</v>
      </c>
      <c r="N132" s="6" t="s">
        <v>218</v>
      </c>
      <c r="O132" s="6" t="s">
        <v>189</v>
      </c>
      <c r="P132" s="6" t="s">
        <v>0</v>
      </c>
      <c r="Q132" s="6" t="s">
        <v>301</v>
      </c>
      <c r="R132" s="6"/>
      <c r="S132" s="6" t="s">
        <v>340</v>
      </c>
      <c r="T132" s="6"/>
      <c r="U132" s="6" t="s">
        <v>345</v>
      </c>
      <c r="V132" s="6" t="s">
        <v>348</v>
      </c>
      <c r="W132" s="6" t="s">
        <v>359</v>
      </c>
      <c r="X132" s="6" t="s">
        <v>369</v>
      </c>
      <c r="Y132" s="6"/>
      <c r="Z132" s="6"/>
      <c r="AA132" s="6"/>
      <c r="AB132" s="6"/>
      <c r="AC132" s="6"/>
      <c r="AD132">
        <v>221</v>
      </c>
    </row>
    <row r="133" spans="1:30" x14ac:dyDescent="0.25">
      <c r="A133" s="9">
        <f t="shared" si="2"/>
        <v>42674</v>
      </c>
      <c r="B133">
        <v>50173335</v>
      </c>
      <c r="C133" s="6" t="s">
        <v>159</v>
      </c>
      <c r="D133">
        <v>1</v>
      </c>
      <c r="E133">
        <v>1</v>
      </c>
      <c r="F133">
        <v>1</v>
      </c>
      <c r="G133">
        <v>3</v>
      </c>
      <c r="H133">
        <v>3</v>
      </c>
      <c r="I133" s="6"/>
      <c r="J133" s="6"/>
      <c r="K133" s="6"/>
      <c r="L133" s="6"/>
      <c r="M133" s="2" t="s">
        <v>169</v>
      </c>
      <c r="N133" s="6" t="s">
        <v>220</v>
      </c>
      <c r="O133" s="6" t="s">
        <v>189</v>
      </c>
      <c r="P133" s="6" t="s">
        <v>0</v>
      </c>
      <c r="Q133" s="6" t="s">
        <v>301</v>
      </c>
      <c r="R133" s="6"/>
      <c r="S133" s="6" t="s">
        <v>340</v>
      </c>
      <c r="T133" s="6"/>
      <c r="U133" s="6" t="s">
        <v>345</v>
      </c>
      <c r="V133" s="6" t="s">
        <v>348</v>
      </c>
      <c r="W133" s="6" t="s">
        <v>359</v>
      </c>
      <c r="X133" s="6" t="s">
        <v>369</v>
      </c>
      <c r="Y133" s="6"/>
      <c r="Z133" s="6"/>
      <c r="AA133" s="6"/>
      <c r="AB133" s="6"/>
      <c r="AC133" s="6"/>
      <c r="AD133">
        <v>222</v>
      </c>
    </row>
    <row r="134" spans="1:30" x14ac:dyDescent="0.25">
      <c r="A134" s="9">
        <f t="shared" si="2"/>
        <v>42674</v>
      </c>
      <c r="B134">
        <v>50180920</v>
      </c>
      <c r="C134" s="6" t="s">
        <v>159</v>
      </c>
      <c r="D134">
        <v>1</v>
      </c>
      <c r="E134">
        <v>1</v>
      </c>
      <c r="F134">
        <v>1</v>
      </c>
      <c r="G134">
        <v>13</v>
      </c>
      <c r="H134">
        <v>13</v>
      </c>
      <c r="I134" s="6"/>
      <c r="J134" s="6"/>
      <c r="K134" s="6"/>
      <c r="L134" s="6"/>
      <c r="M134" s="2" t="s">
        <v>169</v>
      </c>
      <c r="N134" s="6" t="s">
        <v>230</v>
      </c>
      <c r="O134" s="6" t="s">
        <v>189</v>
      </c>
      <c r="P134" s="6" t="s">
        <v>0</v>
      </c>
      <c r="Q134" s="6" t="s">
        <v>301</v>
      </c>
      <c r="R134" s="6" t="s">
        <v>588</v>
      </c>
      <c r="S134" s="6" t="s">
        <v>340</v>
      </c>
      <c r="T134" s="6"/>
      <c r="U134" s="6" t="s">
        <v>345</v>
      </c>
      <c r="V134" s="6" t="s">
        <v>348</v>
      </c>
      <c r="W134" s="6" t="s">
        <v>359</v>
      </c>
      <c r="X134" s="6" t="s">
        <v>376</v>
      </c>
      <c r="Y134" s="6"/>
      <c r="Z134" s="6"/>
      <c r="AA134" s="6"/>
      <c r="AB134" s="6"/>
      <c r="AC134" s="6"/>
      <c r="AD134">
        <v>223</v>
      </c>
    </row>
    <row r="135" spans="1:30" x14ac:dyDescent="0.25">
      <c r="A135" s="9">
        <f t="shared" si="2"/>
        <v>42725</v>
      </c>
      <c r="B135">
        <v>50181563</v>
      </c>
      <c r="C135" s="6" t="s">
        <v>159</v>
      </c>
      <c r="D135">
        <v>1</v>
      </c>
      <c r="E135">
        <v>1</v>
      </c>
      <c r="F135">
        <v>0</v>
      </c>
      <c r="G135">
        <v>4</v>
      </c>
      <c r="H135">
        <v>1</v>
      </c>
      <c r="I135" s="6"/>
      <c r="J135" s="6"/>
      <c r="K135" s="6"/>
      <c r="L135" s="6"/>
      <c r="M135" s="2" t="s">
        <v>203</v>
      </c>
      <c r="N135" s="6" t="s">
        <v>178</v>
      </c>
      <c r="O135" s="6" t="s">
        <v>165</v>
      </c>
      <c r="P135" s="6" t="s">
        <v>0</v>
      </c>
      <c r="Q135" s="6" t="s">
        <v>301</v>
      </c>
      <c r="R135" s="6"/>
      <c r="S135" s="6" t="s">
        <v>340</v>
      </c>
      <c r="T135" s="6"/>
      <c r="U135" s="6" t="s">
        <v>345</v>
      </c>
      <c r="V135" s="6" t="s">
        <v>348</v>
      </c>
      <c r="W135" s="6" t="s">
        <v>359</v>
      </c>
      <c r="X135" s="6" t="s">
        <v>636</v>
      </c>
      <c r="Y135" s="6"/>
      <c r="Z135" s="6"/>
      <c r="AA135" s="6"/>
      <c r="AB135" s="6"/>
      <c r="AC135" s="6"/>
      <c r="AD135">
        <v>226</v>
      </c>
    </row>
    <row r="136" spans="1:30" x14ac:dyDescent="0.25">
      <c r="A136" s="9">
        <f t="shared" si="2"/>
        <v>42725</v>
      </c>
      <c r="B136">
        <v>50181495</v>
      </c>
      <c r="C136" s="6" t="s">
        <v>159</v>
      </c>
      <c r="D136">
        <v>1</v>
      </c>
      <c r="E136">
        <v>1</v>
      </c>
      <c r="F136">
        <v>0</v>
      </c>
      <c r="G136">
        <v>2</v>
      </c>
      <c r="H136">
        <v>2</v>
      </c>
      <c r="I136" s="6"/>
      <c r="J136" s="6"/>
      <c r="K136" s="6"/>
      <c r="L136" s="6"/>
      <c r="M136" s="2" t="s">
        <v>203</v>
      </c>
      <c r="N136" s="6" t="s">
        <v>190</v>
      </c>
      <c r="O136" s="6" t="s">
        <v>165</v>
      </c>
      <c r="P136" s="6" t="s">
        <v>0</v>
      </c>
      <c r="Q136" s="6" t="s">
        <v>301</v>
      </c>
      <c r="R136" s="6"/>
      <c r="S136" s="6" t="s">
        <v>340</v>
      </c>
      <c r="T136" s="6"/>
      <c r="U136" s="6" t="s">
        <v>345</v>
      </c>
      <c r="V136" s="6" t="s">
        <v>348</v>
      </c>
      <c r="W136" s="6" t="s">
        <v>359</v>
      </c>
      <c r="X136" s="6" t="s">
        <v>379</v>
      </c>
      <c r="Y136" s="6"/>
      <c r="Z136" s="6"/>
      <c r="AA136" s="6"/>
      <c r="AB136" s="6"/>
      <c r="AC136" s="6"/>
      <c r="AD136">
        <v>227</v>
      </c>
    </row>
    <row r="137" spans="1:30" x14ac:dyDescent="0.25">
      <c r="A137" s="9">
        <f t="shared" si="2"/>
        <v>42569</v>
      </c>
      <c r="B137">
        <v>50181270</v>
      </c>
      <c r="C137" s="6" t="s">
        <v>159</v>
      </c>
      <c r="D137">
        <v>1</v>
      </c>
      <c r="E137">
        <v>1</v>
      </c>
      <c r="F137">
        <v>1</v>
      </c>
      <c r="G137">
        <v>25</v>
      </c>
      <c r="H137">
        <v>25</v>
      </c>
      <c r="I137" s="6"/>
      <c r="J137" s="6"/>
      <c r="K137" s="6"/>
      <c r="L137" s="6"/>
      <c r="M137" s="2" t="s">
        <v>195</v>
      </c>
      <c r="N137" s="6" t="s">
        <v>200</v>
      </c>
      <c r="O137" s="6" t="s">
        <v>550</v>
      </c>
      <c r="P137" s="6" t="s">
        <v>1</v>
      </c>
      <c r="Q137" s="6" t="s">
        <v>303</v>
      </c>
      <c r="R137" s="6"/>
      <c r="S137" s="6" t="s">
        <v>340</v>
      </c>
      <c r="T137" s="6"/>
      <c r="U137" s="6"/>
      <c r="V137" s="6" t="s">
        <v>348</v>
      </c>
      <c r="W137" s="6" t="s">
        <v>356</v>
      </c>
      <c r="X137" s="6"/>
      <c r="Y137" s="6"/>
      <c r="Z137" s="6"/>
      <c r="AA137" s="6"/>
      <c r="AB137" s="6"/>
      <c r="AC137" s="6"/>
      <c r="AD137">
        <v>230</v>
      </c>
    </row>
    <row r="138" spans="1:30" x14ac:dyDescent="0.25">
      <c r="A138" s="9">
        <f t="shared" si="2"/>
        <v>42579</v>
      </c>
      <c r="B138">
        <v>50181271</v>
      </c>
      <c r="C138" s="6" t="s">
        <v>159</v>
      </c>
      <c r="D138">
        <v>1</v>
      </c>
      <c r="E138">
        <v>1</v>
      </c>
      <c r="F138">
        <v>1</v>
      </c>
      <c r="G138">
        <v>7</v>
      </c>
      <c r="H138">
        <v>7</v>
      </c>
      <c r="I138" s="6"/>
      <c r="J138" s="6"/>
      <c r="K138" s="6"/>
      <c r="L138" s="6"/>
      <c r="M138" s="2" t="s">
        <v>186</v>
      </c>
      <c r="N138" s="6" t="s">
        <v>188</v>
      </c>
      <c r="O138" s="6" t="s">
        <v>265</v>
      </c>
      <c r="P138" s="6" t="s">
        <v>2</v>
      </c>
      <c r="Q138" s="6" t="s">
        <v>301</v>
      </c>
      <c r="R138" s="6" t="s">
        <v>520</v>
      </c>
      <c r="S138" s="6" t="s">
        <v>340</v>
      </c>
      <c r="T138" s="6"/>
      <c r="U138" s="6" t="s">
        <v>345</v>
      </c>
      <c r="V138" s="6" t="s">
        <v>348</v>
      </c>
      <c r="W138" s="6" t="s">
        <v>359</v>
      </c>
      <c r="X138" s="6"/>
      <c r="Y138" s="6" t="s">
        <v>445</v>
      </c>
      <c r="Z138" s="6"/>
      <c r="AA138" s="6"/>
      <c r="AB138" s="6"/>
      <c r="AC138" s="6"/>
      <c r="AD138">
        <v>231</v>
      </c>
    </row>
    <row r="139" spans="1:30" x14ac:dyDescent="0.25">
      <c r="A139" s="9">
        <f t="shared" si="2"/>
        <v>42613</v>
      </c>
      <c r="B139">
        <v>50178237</v>
      </c>
      <c r="C139" s="6" t="s">
        <v>159</v>
      </c>
      <c r="D139">
        <v>1</v>
      </c>
      <c r="E139">
        <v>1</v>
      </c>
      <c r="F139">
        <v>1</v>
      </c>
      <c r="G139">
        <v>2</v>
      </c>
      <c r="H139">
        <v>2</v>
      </c>
      <c r="I139" s="6"/>
      <c r="J139" s="6"/>
      <c r="K139" s="6"/>
      <c r="L139" s="6"/>
      <c r="M139" s="2" t="s">
        <v>188</v>
      </c>
      <c r="N139" s="6" t="s">
        <v>218</v>
      </c>
      <c r="O139" s="6" t="s">
        <v>184</v>
      </c>
      <c r="P139" s="6" t="s">
        <v>71</v>
      </c>
      <c r="Q139" s="6" t="s">
        <v>304</v>
      </c>
      <c r="R139" s="6"/>
      <c r="S139" s="6" t="s">
        <v>340</v>
      </c>
      <c r="T139" s="6"/>
      <c r="U139" s="6" t="s">
        <v>345</v>
      </c>
      <c r="V139" s="6" t="s">
        <v>348</v>
      </c>
      <c r="W139" s="6"/>
      <c r="X139" s="6"/>
      <c r="Y139" s="6" t="s">
        <v>410</v>
      </c>
      <c r="Z139" s="6"/>
      <c r="AA139" s="6"/>
      <c r="AB139" s="6"/>
      <c r="AC139" s="6"/>
      <c r="AD139">
        <v>232</v>
      </c>
    </row>
    <row r="140" spans="1:30" x14ac:dyDescent="0.25">
      <c r="A140" s="9">
        <f t="shared" si="2"/>
        <v>42613</v>
      </c>
      <c r="B140">
        <v>50178238</v>
      </c>
      <c r="C140" s="6" t="s">
        <v>159</v>
      </c>
      <c r="D140">
        <v>1</v>
      </c>
      <c r="E140">
        <v>1</v>
      </c>
      <c r="F140">
        <v>1</v>
      </c>
      <c r="G140">
        <v>3</v>
      </c>
      <c r="H140">
        <v>3</v>
      </c>
      <c r="I140" s="6"/>
      <c r="J140" s="6"/>
      <c r="K140" s="6"/>
      <c r="L140" s="6"/>
      <c r="M140" s="2" t="s">
        <v>188</v>
      </c>
      <c r="N140" s="6" t="s">
        <v>218</v>
      </c>
      <c r="O140" s="6" t="s">
        <v>184</v>
      </c>
      <c r="P140" s="6" t="s">
        <v>72</v>
      </c>
      <c r="Q140" s="6" t="s">
        <v>304</v>
      </c>
      <c r="R140" s="6" t="s">
        <v>339</v>
      </c>
      <c r="S140" s="6" t="s">
        <v>340</v>
      </c>
      <c r="T140" s="6"/>
      <c r="U140" s="6" t="s">
        <v>345</v>
      </c>
      <c r="V140" s="6" t="s">
        <v>348</v>
      </c>
      <c r="W140" s="6"/>
      <c r="X140" s="6"/>
      <c r="Y140" s="6" t="s">
        <v>410</v>
      </c>
      <c r="Z140" s="6"/>
      <c r="AA140" s="6"/>
      <c r="AB140" s="6"/>
      <c r="AC140" s="6"/>
      <c r="AD140">
        <v>233</v>
      </c>
    </row>
    <row r="141" spans="1:30" x14ac:dyDescent="0.25">
      <c r="A141" s="9">
        <f t="shared" si="2"/>
        <v>42579</v>
      </c>
      <c r="B141">
        <v>50178239</v>
      </c>
      <c r="C141" s="6" t="s">
        <v>159</v>
      </c>
      <c r="D141">
        <v>1</v>
      </c>
      <c r="E141">
        <v>1</v>
      </c>
      <c r="F141">
        <v>1</v>
      </c>
      <c r="G141">
        <v>3</v>
      </c>
      <c r="H141">
        <v>3</v>
      </c>
      <c r="I141" s="6"/>
      <c r="J141" s="6"/>
      <c r="K141" s="6"/>
      <c r="L141" s="6"/>
      <c r="M141" s="2" t="s">
        <v>186</v>
      </c>
      <c r="N141" s="6" t="s">
        <v>233</v>
      </c>
      <c r="O141" s="6" t="s">
        <v>265</v>
      </c>
      <c r="P141" s="6" t="s">
        <v>73</v>
      </c>
      <c r="Q141" s="6" t="s">
        <v>304</v>
      </c>
      <c r="R141" s="6" t="s">
        <v>339</v>
      </c>
      <c r="S141" s="6" t="s">
        <v>340</v>
      </c>
      <c r="T141" s="6"/>
      <c r="U141" s="6" t="s">
        <v>345</v>
      </c>
      <c r="V141" s="6" t="s">
        <v>348</v>
      </c>
      <c r="W141" s="6"/>
      <c r="X141" s="6" t="s">
        <v>381</v>
      </c>
      <c r="Y141" s="6" t="s">
        <v>410</v>
      </c>
      <c r="Z141" s="6"/>
      <c r="AA141" s="6"/>
      <c r="AB141" s="6"/>
      <c r="AC141" s="6"/>
      <c r="AD141">
        <v>234</v>
      </c>
    </row>
    <row r="142" spans="1:30" x14ac:dyDescent="0.25">
      <c r="A142" s="9">
        <f t="shared" si="2"/>
        <v>42674</v>
      </c>
      <c r="B142">
        <v>50178258</v>
      </c>
      <c r="C142" s="6" t="s">
        <v>159</v>
      </c>
      <c r="D142">
        <v>1</v>
      </c>
      <c r="E142">
        <v>1</v>
      </c>
      <c r="F142">
        <v>1</v>
      </c>
      <c r="G142">
        <v>1</v>
      </c>
      <c r="H142">
        <v>1</v>
      </c>
      <c r="I142" s="6"/>
      <c r="J142" s="6"/>
      <c r="K142" s="6"/>
      <c r="L142" s="6"/>
      <c r="M142" s="2" t="s">
        <v>169</v>
      </c>
      <c r="N142" s="6" t="s">
        <v>232</v>
      </c>
      <c r="O142" s="6" t="s">
        <v>183</v>
      </c>
      <c r="P142" s="6" t="s">
        <v>61</v>
      </c>
      <c r="Q142" s="6" t="s">
        <v>305</v>
      </c>
      <c r="R142" s="6"/>
      <c r="S142" s="6" t="s">
        <v>340</v>
      </c>
      <c r="T142" s="6"/>
      <c r="U142" s="6" t="s">
        <v>345</v>
      </c>
      <c r="V142" s="6" t="s">
        <v>348</v>
      </c>
      <c r="W142" s="6" t="s">
        <v>363</v>
      </c>
      <c r="X142" s="6" t="s">
        <v>369</v>
      </c>
      <c r="Y142" s="6"/>
      <c r="Z142" s="6"/>
      <c r="AA142" s="6"/>
      <c r="AB142" s="6"/>
      <c r="AC142" s="6"/>
      <c r="AD142">
        <v>235</v>
      </c>
    </row>
    <row r="143" spans="1:30" x14ac:dyDescent="0.25">
      <c r="A143" s="9">
        <f t="shared" si="2"/>
        <v>42573</v>
      </c>
      <c r="B143">
        <v>50181729</v>
      </c>
      <c r="C143" s="6" t="s">
        <v>159</v>
      </c>
      <c r="D143">
        <v>1</v>
      </c>
      <c r="E143">
        <v>1</v>
      </c>
      <c r="F143">
        <v>1</v>
      </c>
      <c r="G143">
        <v>5</v>
      </c>
      <c r="H143">
        <v>5</v>
      </c>
      <c r="I143" s="6"/>
      <c r="J143" s="6"/>
      <c r="K143" s="6"/>
      <c r="L143" s="6"/>
      <c r="M143" s="2" t="s">
        <v>192</v>
      </c>
      <c r="N143" s="6" t="s">
        <v>192</v>
      </c>
      <c r="O143" s="6" t="s">
        <v>551</v>
      </c>
      <c r="P143" s="6" t="s">
        <v>448</v>
      </c>
      <c r="Q143" s="6" t="s">
        <v>450</v>
      </c>
      <c r="R143" s="6"/>
      <c r="S143" s="6" t="s">
        <v>340</v>
      </c>
      <c r="T143" s="6"/>
      <c r="U143" s="6" t="s">
        <v>345</v>
      </c>
      <c r="V143" s="6" t="s">
        <v>348</v>
      </c>
      <c r="W143" s="6" t="s">
        <v>354</v>
      </c>
      <c r="X143" s="6" t="s">
        <v>453</v>
      </c>
      <c r="Y143" s="6"/>
      <c r="Z143" s="6" t="s">
        <v>453</v>
      </c>
      <c r="AA143" s="6"/>
      <c r="AB143" s="6"/>
      <c r="AC143" s="6"/>
      <c r="AD143">
        <v>236</v>
      </c>
    </row>
    <row r="144" spans="1:30" x14ac:dyDescent="0.25">
      <c r="A144" s="9">
        <f t="shared" si="2"/>
        <v>42576</v>
      </c>
      <c r="B144">
        <v>50181659</v>
      </c>
      <c r="C144" s="6" t="s">
        <v>159</v>
      </c>
      <c r="D144">
        <v>1</v>
      </c>
      <c r="E144">
        <v>1</v>
      </c>
      <c r="F144">
        <v>1</v>
      </c>
      <c r="G144">
        <v>12</v>
      </c>
      <c r="H144">
        <v>12</v>
      </c>
      <c r="I144" s="6"/>
      <c r="J144" s="6"/>
      <c r="K144" s="6"/>
      <c r="L144" s="6"/>
      <c r="M144" s="2" t="s">
        <v>201</v>
      </c>
      <c r="N144" s="6" t="s">
        <v>201</v>
      </c>
      <c r="O144" s="6" t="s">
        <v>269</v>
      </c>
      <c r="P144" s="6" t="s">
        <v>44</v>
      </c>
      <c r="Q144" s="6" t="s">
        <v>306</v>
      </c>
      <c r="R144" s="6" t="s">
        <v>601</v>
      </c>
      <c r="S144" s="6" t="s">
        <v>340</v>
      </c>
      <c r="T144" s="6"/>
      <c r="U144" s="6" t="s">
        <v>629</v>
      </c>
      <c r="V144" s="6" t="s">
        <v>348</v>
      </c>
      <c r="W144" s="6" t="s">
        <v>354</v>
      </c>
      <c r="X144" s="6" t="s">
        <v>637</v>
      </c>
      <c r="Y144" s="6"/>
      <c r="Z144" s="6" t="s">
        <v>678</v>
      </c>
      <c r="AA144" s="6"/>
      <c r="AB144" s="6"/>
      <c r="AC144" s="6"/>
      <c r="AD144">
        <v>237</v>
      </c>
    </row>
    <row r="145" spans="1:30" x14ac:dyDescent="0.25">
      <c r="A145" s="9">
        <f t="shared" si="2"/>
        <v>42613</v>
      </c>
      <c r="B145">
        <v>50178972</v>
      </c>
      <c r="C145" s="6" t="s">
        <v>159</v>
      </c>
      <c r="D145">
        <v>1</v>
      </c>
      <c r="E145">
        <v>1</v>
      </c>
      <c r="F145">
        <v>1</v>
      </c>
      <c r="G145">
        <v>50</v>
      </c>
      <c r="H145">
        <v>50</v>
      </c>
      <c r="I145" s="6"/>
      <c r="J145" s="6"/>
      <c r="K145" s="6"/>
      <c r="L145" s="6"/>
      <c r="M145" s="2" t="s">
        <v>188</v>
      </c>
      <c r="N145" s="6" t="s">
        <v>178</v>
      </c>
      <c r="O145" s="6" t="s">
        <v>170</v>
      </c>
      <c r="P145" s="6" t="s">
        <v>44</v>
      </c>
      <c r="Q145" s="6" t="s">
        <v>306</v>
      </c>
      <c r="R145" s="6" t="s">
        <v>602</v>
      </c>
      <c r="S145" s="6" t="s">
        <v>340</v>
      </c>
      <c r="T145" s="6"/>
      <c r="U145" s="6" t="s">
        <v>345</v>
      </c>
      <c r="V145" s="6" t="s">
        <v>348</v>
      </c>
      <c r="W145" s="6" t="s">
        <v>354</v>
      </c>
      <c r="X145" s="6"/>
      <c r="Y145" s="6" t="s">
        <v>661</v>
      </c>
      <c r="Z145" s="6"/>
      <c r="AA145" s="6"/>
      <c r="AB145" s="6"/>
      <c r="AC145" s="6"/>
      <c r="AD145">
        <v>238</v>
      </c>
    </row>
    <row r="146" spans="1:30" x14ac:dyDescent="0.25">
      <c r="A146" s="9">
        <f t="shared" si="2"/>
        <v>42635</v>
      </c>
      <c r="B146">
        <v>50178970</v>
      </c>
      <c r="C146" s="6" t="s">
        <v>159</v>
      </c>
      <c r="D146">
        <v>1</v>
      </c>
      <c r="E146">
        <v>1</v>
      </c>
      <c r="F146">
        <v>1</v>
      </c>
      <c r="G146">
        <v>45</v>
      </c>
      <c r="H146">
        <v>45</v>
      </c>
      <c r="I146" s="6"/>
      <c r="J146" s="6"/>
      <c r="K146" s="6"/>
      <c r="L146" s="6"/>
      <c r="M146" s="2" t="s">
        <v>204</v>
      </c>
      <c r="N146" s="6" t="s">
        <v>163</v>
      </c>
      <c r="O146" s="6" t="s">
        <v>270</v>
      </c>
      <c r="P146" s="6" t="s">
        <v>44</v>
      </c>
      <c r="Q146" s="6" t="s">
        <v>306</v>
      </c>
      <c r="R146" s="6" t="s">
        <v>603</v>
      </c>
      <c r="S146" s="6" t="s">
        <v>340</v>
      </c>
      <c r="T146" s="6"/>
      <c r="U146" s="6" t="s">
        <v>345</v>
      </c>
      <c r="V146" s="6" t="s">
        <v>348</v>
      </c>
      <c r="W146" s="6" t="s">
        <v>354</v>
      </c>
      <c r="X146" s="6"/>
      <c r="Y146" s="6" t="s">
        <v>394</v>
      </c>
      <c r="Z146" s="6"/>
      <c r="AA146" s="6"/>
      <c r="AB146" s="6"/>
      <c r="AC146" s="6"/>
      <c r="AD146">
        <v>239</v>
      </c>
    </row>
    <row r="147" spans="1:30" x14ac:dyDescent="0.25">
      <c r="A147" s="9">
        <f t="shared" si="2"/>
        <v>42674</v>
      </c>
      <c r="B147">
        <v>50173971</v>
      </c>
      <c r="C147" s="6" t="s">
        <v>159</v>
      </c>
      <c r="D147">
        <v>1</v>
      </c>
      <c r="E147">
        <v>1</v>
      </c>
      <c r="F147">
        <v>1</v>
      </c>
      <c r="G147">
        <v>2</v>
      </c>
      <c r="H147">
        <v>2</v>
      </c>
      <c r="I147" s="6"/>
      <c r="J147" s="6"/>
      <c r="K147" s="6"/>
      <c r="L147" s="6"/>
      <c r="M147" s="2" t="s">
        <v>169</v>
      </c>
      <c r="N147" s="6" t="s">
        <v>234</v>
      </c>
      <c r="O147" s="6" t="s">
        <v>263</v>
      </c>
      <c r="P147" s="6" t="s">
        <v>44</v>
      </c>
      <c r="Q147" s="6" t="s">
        <v>306</v>
      </c>
      <c r="R147" s="6"/>
      <c r="S147" s="6" t="s">
        <v>340</v>
      </c>
      <c r="T147" s="6"/>
      <c r="U147" s="6" t="s">
        <v>345</v>
      </c>
      <c r="V147" s="6" t="s">
        <v>348</v>
      </c>
      <c r="W147" s="6" t="s">
        <v>354</v>
      </c>
      <c r="X147" s="6" t="s">
        <v>382</v>
      </c>
      <c r="Y147" s="6"/>
      <c r="Z147" s="6"/>
      <c r="AA147" s="6"/>
      <c r="AB147" s="6"/>
      <c r="AC147" s="6"/>
      <c r="AD147">
        <v>240</v>
      </c>
    </row>
    <row r="148" spans="1:30" x14ac:dyDescent="0.25">
      <c r="A148" s="9">
        <f t="shared" si="2"/>
        <v>42677</v>
      </c>
      <c r="B148">
        <v>50178971</v>
      </c>
      <c r="C148" s="6" t="s">
        <v>159</v>
      </c>
      <c r="D148">
        <v>1</v>
      </c>
      <c r="E148">
        <v>1</v>
      </c>
      <c r="F148">
        <v>1</v>
      </c>
      <c r="G148">
        <v>45</v>
      </c>
      <c r="H148">
        <v>45</v>
      </c>
      <c r="I148" s="6"/>
      <c r="J148" s="6"/>
      <c r="K148" s="6"/>
      <c r="L148" s="6"/>
      <c r="M148" s="2" t="s">
        <v>205</v>
      </c>
      <c r="N148" s="6" t="s">
        <v>179</v>
      </c>
      <c r="O148" s="6" t="s">
        <v>271</v>
      </c>
      <c r="P148" s="6" t="s">
        <v>44</v>
      </c>
      <c r="Q148" s="6" t="s">
        <v>306</v>
      </c>
      <c r="R148" s="6" t="s">
        <v>604</v>
      </c>
      <c r="S148" s="6" t="s">
        <v>340</v>
      </c>
      <c r="T148" s="6"/>
      <c r="U148" s="6" t="s">
        <v>345</v>
      </c>
      <c r="V148" s="6" t="s">
        <v>348</v>
      </c>
      <c r="W148" s="6" t="s">
        <v>354</v>
      </c>
      <c r="X148" s="6"/>
      <c r="Y148" s="6" t="s">
        <v>394</v>
      </c>
      <c r="Z148" s="6"/>
      <c r="AA148" s="6"/>
      <c r="AB148" s="6"/>
      <c r="AC148" s="6"/>
      <c r="AD148">
        <v>241</v>
      </c>
    </row>
    <row r="149" spans="1:30" x14ac:dyDescent="0.25">
      <c r="A149" s="9">
        <f t="shared" si="2"/>
        <v>42695</v>
      </c>
      <c r="B149">
        <v>50178974</v>
      </c>
      <c r="C149" s="6" t="s">
        <v>159</v>
      </c>
      <c r="D149">
        <v>1</v>
      </c>
      <c r="E149">
        <v>1</v>
      </c>
      <c r="F149">
        <v>1</v>
      </c>
      <c r="G149">
        <v>45</v>
      </c>
      <c r="H149">
        <v>45</v>
      </c>
      <c r="I149" s="6"/>
      <c r="J149" s="6"/>
      <c r="K149" s="6"/>
      <c r="L149" s="6"/>
      <c r="M149" s="2" t="s">
        <v>172</v>
      </c>
      <c r="N149" s="6" t="s">
        <v>173</v>
      </c>
      <c r="O149" s="6" t="s">
        <v>264</v>
      </c>
      <c r="P149" s="6" t="s">
        <v>44</v>
      </c>
      <c r="Q149" s="6" t="s">
        <v>306</v>
      </c>
      <c r="R149" s="6" t="s">
        <v>605</v>
      </c>
      <c r="S149" s="6" t="s">
        <v>340</v>
      </c>
      <c r="T149" s="6"/>
      <c r="U149" s="6" t="s">
        <v>345</v>
      </c>
      <c r="V149" s="6" t="s">
        <v>348</v>
      </c>
      <c r="W149" s="6" t="s">
        <v>354</v>
      </c>
      <c r="X149" s="6"/>
      <c r="Y149" s="6" t="s">
        <v>394</v>
      </c>
      <c r="Z149" s="6"/>
      <c r="AA149" s="6"/>
      <c r="AB149" s="6"/>
      <c r="AC149" s="6"/>
      <c r="AD149">
        <v>242</v>
      </c>
    </row>
    <row r="150" spans="1:30" x14ac:dyDescent="0.25">
      <c r="A150" s="9">
        <f t="shared" si="2"/>
        <v>42607</v>
      </c>
      <c r="B150">
        <v>50179475</v>
      </c>
      <c r="C150" s="6" t="s">
        <v>159</v>
      </c>
      <c r="D150">
        <v>1</v>
      </c>
      <c r="E150">
        <v>1</v>
      </c>
      <c r="F150">
        <v>1</v>
      </c>
      <c r="G150">
        <v>30</v>
      </c>
      <c r="H150">
        <v>30</v>
      </c>
      <c r="I150" s="6"/>
      <c r="J150" s="6"/>
      <c r="K150" s="6"/>
      <c r="L150" s="6"/>
      <c r="M150" s="2" t="s">
        <v>199</v>
      </c>
      <c r="N150" s="6" t="s">
        <v>201</v>
      </c>
      <c r="O150" s="6" t="s">
        <v>200</v>
      </c>
      <c r="P150" s="6" t="s">
        <v>45</v>
      </c>
      <c r="Q150" s="6" t="s">
        <v>307</v>
      </c>
      <c r="R150" s="6" t="s">
        <v>519</v>
      </c>
      <c r="S150" s="6" t="s">
        <v>340</v>
      </c>
      <c r="T150" s="6"/>
      <c r="U150" s="6" t="s">
        <v>346</v>
      </c>
      <c r="V150" s="6" t="s">
        <v>348</v>
      </c>
      <c r="W150" s="6" t="s">
        <v>358</v>
      </c>
      <c r="X150" s="6"/>
      <c r="Y150" s="6" t="s">
        <v>411</v>
      </c>
      <c r="Z150" s="6"/>
      <c r="AA150" s="6"/>
      <c r="AB150" s="6"/>
      <c r="AC150" s="6"/>
      <c r="AD150">
        <v>245</v>
      </c>
    </row>
    <row r="151" spans="1:30" x14ac:dyDescent="0.25">
      <c r="A151" s="9">
        <f t="shared" si="2"/>
        <v>42611</v>
      </c>
      <c r="B151">
        <v>50180855</v>
      </c>
      <c r="C151" s="6" t="s">
        <v>159</v>
      </c>
      <c r="D151">
        <v>1</v>
      </c>
      <c r="E151">
        <v>1</v>
      </c>
      <c r="F151">
        <v>1</v>
      </c>
      <c r="G151">
        <v>35</v>
      </c>
      <c r="H151">
        <v>35</v>
      </c>
      <c r="I151" s="6"/>
      <c r="J151" s="6"/>
      <c r="K151" s="6"/>
      <c r="L151" s="6"/>
      <c r="M151" s="2" t="s">
        <v>178</v>
      </c>
      <c r="N151" s="6" t="s">
        <v>178</v>
      </c>
      <c r="O151" s="6" t="s">
        <v>210</v>
      </c>
      <c r="P151" s="6" t="s">
        <v>45</v>
      </c>
      <c r="Q151" s="6" t="s">
        <v>307</v>
      </c>
      <c r="R151" s="6" t="s">
        <v>606</v>
      </c>
      <c r="S151" s="6" t="s">
        <v>340</v>
      </c>
      <c r="T151" s="6"/>
      <c r="U151" s="6" t="s">
        <v>346</v>
      </c>
      <c r="V151" s="6" t="s">
        <v>348</v>
      </c>
      <c r="W151" s="6" t="s">
        <v>358</v>
      </c>
      <c r="X151" s="6" t="s">
        <v>452</v>
      </c>
      <c r="Y151" s="6" t="s">
        <v>396</v>
      </c>
      <c r="Z151" s="6"/>
      <c r="AA151" s="6"/>
      <c r="AB151" s="6"/>
      <c r="AC151" s="6"/>
      <c r="AD151">
        <v>246</v>
      </c>
    </row>
    <row r="152" spans="1:30" x14ac:dyDescent="0.25">
      <c r="A152" s="9">
        <f t="shared" si="2"/>
        <v>42635</v>
      </c>
      <c r="B152">
        <v>50181223</v>
      </c>
      <c r="C152" s="6" t="s">
        <v>159</v>
      </c>
      <c r="D152">
        <v>1</v>
      </c>
      <c r="E152">
        <v>1</v>
      </c>
      <c r="F152">
        <v>1</v>
      </c>
      <c r="G152">
        <v>35</v>
      </c>
      <c r="H152">
        <v>35</v>
      </c>
      <c r="I152" s="6"/>
      <c r="J152" s="6"/>
      <c r="K152" s="6"/>
      <c r="L152" s="6"/>
      <c r="M152" s="2" t="s">
        <v>204</v>
      </c>
      <c r="N152" s="6" t="s">
        <v>189</v>
      </c>
      <c r="O152" s="6" t="s">
        <v>198</v>
      </c>
      <c r="P152" s="6" t="s">
        <v>45</v>
      </c>
      <c r="Q152" s="6" t="s">
        <v>307</v>
      </c>
      <c r="R152" s="6" t="s">
        <v>607</v>
      </c>
      <c r="S152" s="6" t="s">
        <v>340</v>
      </c>
      <c r="T152" s="6"/>
      <c r="U152" s="6" t="s">
        <v>346</v>
      </c>
      <c r="V152" s="6" t="s">
        <v>348</v>
      </c>
      <c r="W152" s="6" t="s">
        <v>358</v>
      </c>
      <c r="X152" s="6"/>
      <c r="Y152" s="6" t="s">
        <v>435</v>
      </c>
      <c r="Z152" s="6"/>
      <c r="AA152" s="6"/>
      <c r="AB152" s="6"/>
      <c r="AC152" s="6"/>
      <c r="AD152">
        <v>247</v>
      </c>
    </row>
    <row r="153" spans="1:30" x14ac:dyDescent="0.25">
      <c r="A153" s="9">
        <f t="shared" si="2"/>
        <v>42654</v>
      </c>
      <c r="B153">
        <v>50181224</v>
      </c>
      <c r="C153" s="6" t="s">
        <v>159</v>
      </c>
      <c r="D153">
        <v>1</v>
      </c>
      <c r="E153">
        <v>1</v>
      </c>
      <c r="F153">
        <v>1</v>
      </c>
      <c r="G153">
        <v>35</v>
      </c>
      <c r="H153">
        <v>35</v>
      </c>
      <c r="I153" s="6"/>
      <c r="J153" s="6"/>
      <c r="K153" s="6"/>
      <c r="L153" s="6"/>
      <c r="M153" s="2" t="s">
        <v>279</v>
      </c>
      <c r="N153" s="6" t="s">
        <v>189</v>
      </c>
      <c r="O153" s="6" t="s">
        <v>179</v>
      </c>
      <c r="P153" s="6" t="s">
        <v>45</v>
      </c>
      <c r="Q153" s="6" t="s">
        <v>307</v>
      </c>
      <c r="R153" s="6" t="s">
        <v>608</v>
      </c>
      <c r="S153" s="6" t="s">
        <v>340</v>
      </c>
      <c r="T153" s="6"/>
      <c r="U153" s="6" t="s">
        <v>346</v>
      </c>
      <c r="V153" s="6" t="s">
        <v>348</v>
      </c>
      <c r="W153" s="6" t="s">
        <v>358</v>
      </c>
      <c r="X153" s="6"/>
      <c r="Y153" s="6" t="s">
        <v>435</v>
      </c>
      <c r="Z153" s="6"/>
      <c r="AA153" s="6"/>
      <c r="AB153" s="6"/>
      <c r="AC153" s="6"/>
      <c r="AD153">
        <v>248</v>
      </c>
    </row>
    <row r="154" spans="1:30" x14ac:dyDescent="0.25">
      <c r="A154" s="9">
        <f t="shared" si="2"/>
        <v>42669</v>
      </c>
      <c r="B154">
        <v>50181225</v>
      </c>
      <c r="C154" s="6" t="s">
        <v>159</v>
      </c>
      <c r="D154">
        <v>1</v>
      </c>
      <c r="E154">
        <v>1</v>
      </c>
      <c r="F154">
        <v>1</v>
      </c>
      <c r="G154">
        <v>10</v>
      </c>
      <c r="H154">
        <v>10</v>
      </c>
      <c r="I154" s="6"/>
      <c r="J154" s="6"/>
      <c r="K154" s="6"/>
      <c r="L154" s="6"/>
      <c r="M154" s="2" t="s">
        <v>443</v>
      </c>
      <c r="N154" s="6" t="s">
        <v>166</v>
      </c>
      <c r="O154" s="6" t="s">
        <v>444</v>
      </c>
      <c r="P154" s="6" t="s">
        <v>45</v>
      </c>
      <c r="Q154" s="6" t="s">
        <v>307</v>
      </c>
      <c r="R154" s="6" t="s">
        <v>522</v>
      </c>
      <c r="S154" s="6" t="s">
        <v>340</v>
      </c>
      <c r="T154" s="6"/>
      <c r="U154" s="6" t="s">
        <v>346</v>
      </c>
      <c r="V154" s="6" t="s">
        <v>348</v>
      </c>
      <c r="W154" s="6" t="s">
        <v>358</v>
      </c>
      <c r="X154" s="6"/>
      <c r="Y154" s="6" t="s">
        <v>394</v>
      </c>
      <c r="Z154" s="6"/>
      <c r="AA154" s="6"/>
      <c r="AB154" s="6"/>
      <c r="AC154" s="6"/>
      <c r="AD154">
        <v>249</v>
      </c>
    </row>
    <row r="155" spans="1:30" x14ac:dyDescent="0.25">
      <c r="A155" s="9">
        <f t="shared" si="2"/>
        <v>42669</v>
      </c>
      <c r="B155">
        <v>50181226</v>
      </c>
      <c r="C155" s="6" t="s">
        <v>159</v>
      </c>
      <c r="D155">
        <v>1</v>
      </c>
      <c r="E155">
        <v>1</v>
      </c>
      <c r="F155">
        <v>1</v>
      </c>
      <c r="G155">
        <v>20</v>
      </c>
      <c r="H155">
        <v>20</v>
      </c>
      <c r="I155" s="6"/>
      <c r="J155" s="6"/>
      <c r="K155" s="6"/>
      <c r="L155" s="6"/>
      <c r="M155" s="2" t="s">
        <v>443</v>
      </c>
      <c r="N155" s="6" t="s">
        <v>177</v>
      </c>
      <c r="O155" s="6" t="s">
        <v>444</v>
      </c>
      <c r="P155" s="6" t="s">
        <v>45</v>
      </c>
      <c r="Q155" s="6" t="s">
        <v>307</v>
      </c>
      <c r="R155" s="6" t="s">
        <v>609</v>
      </c>
      <c r="S155" s="6" t="s">
        <v>340</v>
      </c>
      <c r="T155" s="6"/>
      <c r="U155" s="6" t="s">
        <v>346</v>
      </c>
      <c r="V155" s="6" t="s">
        <v>348</v>
      </c>
      <c r="W155" s="6" t="s">
        <v>358</v>
      </c>
      <c r="X155" s="6"/>
      <c r="Y155" s="6" t="s">
        <v>394</v>
      </c>
      <c r="Z155" s="6"/>
      <c r="AA155" s="6"/>
      <c r="AB155" s="6"/>
      <c r="AC155" s="6"/>
      <c r="AD155">
        <v>250</v>
      </c>
    </row>
    <row r="156" spans="1:30" x14ac:dyDescent="0.25">
      <c r="A156" s="9">
        <f t="shared" si="2"/>
        <v>42674</v>
      </c>
      <c r="B156">
        <v>50177636</v>
      </c>
      <c r="C156" s="6" t="s">
        <v>159</v>
      </c>
      <c r="D156">
        <v>1</v>
      </c>
      <c r="E156">
        <v>1</v>
      </c>
      <c r="F156">
        <v>1</v>
      </c>
      <c r="G156">
        <v>2</v>
      </c>
      <c r="H156">
        <v>2</v>
      </c>
      <c r="I156" s="6"/>
      <c r="J156" s="6"/>
      <c r="K156" s="6"/>
      <c r="L156" s="6"/>
      <c r="M156" s="2" t="s">
        <v>169</v>
      </c>
      <c r="N156" s="6" t="s">
        <v>218</v>
      </c>
      <c r="O156" s="6" t="s">
        <v>183</v>
      </c>
      <c r="P156" s="6" t="s">
        <v>45</v>
      </c>
      <c r="Q156" s="6" t="s">
        <v>307</v>
      </c>
      <c r="R156" s="6"/>
      <c r="S156" s="6" t="s">
        <v>340</v>
      </c>
      <c r="T156" s="6"/>
      <c r="U156" s="6" t="s">
        <v>346</v>
      </c>
      <c r="V156" s="6" t="s">
        <v>348</v>
      </c>
      <c r="W156" s="6" t="s">
        <v>358</v>
      </c>
      <c r="X156" s="6" t="s">
        <v>369</v>
      </c>
      <c r="Y156" s="6"/>
      <c r="Z156" s="6"/>
      <c r="AA156" s="6"/>
      <c r="AB156" s="6"/>
      <c r="AC156" s="6"/>
      <c r="AD156">
        <v>251</v>
      </c>
    </row>
    <row r="157" spans="1:30" x14ac:dyDescent="0.25">
      <c r="A157" s="9">
        <f t="shared" si="2"/>
        <v>42604</v>
      </c>
      <c r="B157">
        <v>50181229</v>
      </c>
      <c r="C157" s="6" t="s">
        <v>159</v>
      </c>
      <c r="D157">
        <v>1</v>
      </c>
      <c r="E157">
        <v>1</v>
      </c>
      <c r="F157">
        <v>1</v>
      </c>
      <c r="G157">
        <v>10</v>
      </c>
      <c r="H157">
        <v>10</v>
      </c>
      <c r="I157" s="6"/>
      <c r="J157" s="6"/>
      <c r="K157" s="6"/>
      <c r="L157" s="6"/>
      <c r="M157" s="2" t="s">
        <v>179</v>
      </c>
      <c r="N157" s="6" t="s">
        <v>179</v>
      </c>
      <c r="O157" s="6" t="s">
        <v>272</v>
      </c>
      <c r="P157" s="6" t="s">
        <v>46</v>
      </c>
      <c r="Q157" s="6" t="s">
        <v>308</v>
      </c>
      <c r="R157" s="6"/>
      <c r="S157" s="6" t="s">
        <v>340</v>
      </c>
      <c r="T157" s="6"/>
      <c r="U157" s="6" t="s">
        <v>346</v>
      </c>
      <c r="V157" s="6" t="s">
        <v>348</v>
      </c>
      <c r="W157" s="6" t="s">
        <v>352</v>
      </c>
      <c r="X157" s="6"/>
      <c r="Y157" s="6" t="s">
        <v>435</v>
      </c>
      <c r="Z157" s="6"/>
      <c r="AA157" s="6"/>
      <c r="AB157" s="6"/>
      <c r="AC157" s="6"/>
      <c r="AD157">
        <v>259</v>
      </c>
    </row>
    <row r="158" spans="1:30" x14ac:dyDescent="0.25">
      <c r="A158" s="9">
        <f t="shared" si="2"/>
        <v>42604</v>
      </c>
      <c r="B158">
        <v>50181230</v>
      </c>
      <c r="C158" s="6" t="s">
        <v>159</v>
      </c>
      <c r="D158">
        <v>1</v>
      </c>
      <c r="E158">
        <v>1</v>
      </c>
      <c r="F158">
        <v>1</v>
      </c>
      <c r="G158">
        <v>10</v>
      </c>
      <c r="H158">
        <v>10</v>
      </c>
      <c r="I158" s="6"/>
      <c r="J158" s="6"/>
      <c r="K158" s="6"/>
      <c r="L158" s="6"/>
      <c r="M158" s="2" t="s">
        <v>179</v>
      </c>
      <c r="N158" s="6" t="s">
        <v>178</v>
      </c>
      <c r="O158" s="6" t="s">
        <v>272</v>
      </c>
      <c r="P158" s="6" t="s">
        <v>46</v>
      </c>
      <c r="Q158" s="6" t="s">
        <v>308</v>
      </c>
      <c r="R158" s="6"/>
      <c r="S158" s="6" t="s">
        <v>340</v>
      </c>
      <c r="T158" s="6"/>
      <c r="U158" s="6" t="s">
        <v>346</v>
      </c>
      <c r="V158" s="6" t="s">
        <v>348</v>
      </c>
      <c r="W158" s="6" t="s">
        <v>352</v>
      </c>
      <c r="X158" s="6"/>
      <c r="Y158" s="6" t="s">
        <v>445</v>
      </c>
      <c r="Z158" s="6"/>
      <c r="AA158" s="6"/>
      <c r="AB158" s="6"/>
      <c r="AC158" s="6"/>
      <c r="AD158">
        <v>260</v>
      </c>
    </row>
    <row r="159" spans="1:30" x14ac:dyDescent="0.25">
      <c r="A159" s="9">
        <f t="shared" si="2"/>
        <v>42604</v>
      </c>
      <c r="B159">
        <v>50181371</v>
      </c>
      <c r="C159" s="6" t="s">
        <v>159</v>
      </c>
      <c r="D159">
        <v>1</v>
      </c>
      <c r="E159">
        <v>1</v>
      </c>
      <c r="F159">
        <v>1</v>
      </c>
      <c r="G159">
        <v>24</v>
      </c>
      <c r="H159">
        <v>24</v>
      </c>
      <c r="I159" s="6"/>
      <c r="J159" s="6"/>
      <c r="K159" s="6"/>
      <c r="L159" s="6"/>
      <c r="M159" s="2" t="s">
        <v>179</v>
      </c>
      <c r="N159" s="6" t="s">
        <v>179</v>
      </c>
      <c r="O159" s="6" t="s">
        <v>186</v>
      </c>
      <c r="P159" s="6" t="s">
        <v>47</v>
      </c>
      <c r="Q159" s="6" t="s">
        <v>308</v>
      </c>
      <c r="R159" s="6" t="s">
        <v>610</v>
      </c>
      <c r="S159" s="6" t="s">
        <v>340</v>
      </c>
      <c r="T159" s="6"/>
      <c r="U159" s="6" t="s">
        <v>345</v>
      </c>
      <c r="V159" s="6" t="s">
        <v>348</v>
      </c>
      <c r="W159" s="6" t="s">
        <v>350</v>
      </c>
      <c r="X159" s="6"/>
      <c r="Y159" s="6" t="s">
        <v>662</v>
      </c>
      <c r="Z159" s="6"/>
      <c r="AA159" s="6"/>
      <c r="AB159" s="6"/>
      <c r="AC159" s="6"/>
      <c r="AD159">
        <v>266</v>
      </c>
    </row>
    <row r="160" spans="1:30" x14ac:dyDescent="0.25">
      <c r="A160" s="9">
        <f t="shared" si="2"/>
        <v>42635</v>
      </c>
      <c r="B160">
        <v>50179344</v>
      </c>
      <c r="C160" s="6" t="s">
        <v>159</v>
      </c>
      <c r="D160">
        <v>1</v>
      </c>
      <c r="E160">
        <v>1</v>
      </c>
      <c r="F160">
        <v>1</v>
      </c>
      <c r="G160">
        <v>10</v>
      </c>
      <c r="H160">
        <v>10</v>
      </c>
      <c r="I160" s="6"/>
      <c r="J160" s="6"/>
      <c r="K160" s="6"/>
      <c r="L160" s="6"/>
      <c r="M160" s="2" t="s">
        <v>204</v>
      </c>
      <c r="N160" s="6" t="s">
        <v>225</v>
      </c>
      <c r="O160" s="6" t="s">
        <v>270</v>
      </c>
      <c r="P160" s="6" t="s">
        <v>47</v>
      </c>
      <c r="Q160" s="6" t="s">
        <v>308</v>
      </c>
      <c r="R160" s="6" t="s">
        <v>533</v>
      </c>
      <c r="S160" s="6" t="s">
        <v>340</v>
      </c>
      <c r="T160" s="6"/>
      <c r="U160" s="6" t="s">
        <v>345</v>
      </c>
      <c r="V160" s="6" t="s">
        <v>348</v>
      </c>
      <c r="W160" s="6" t="s">
        <v>350</v>
      </c>
      <c r="X160" s="6"/>
      <c r="Y160" s="6" t="s">
        <v>394</v>
      </c>
      <c r="Z160" s="6"/>
      <c r="AA160" s="6"/>
      <c r="AB160" s="6"/>
      <c r="AC160" s="6"/>
      <c r="AD160">
        <v>267</v>
      </c>
    </row>
    <row r="161" spans="1:30" x14ac:dyDescent="0.25">
      <c r="A161" s="9">
        <f t="shared" si="2"/>
        <v>42579</v>
      </c>
      <c r="B161">
        <v>50178749</v>
      </c>
      <c r="C161" s="6" t="s">
        <v>159</v>
      </c>
      <c r="D161">
        <v>1</v>
      </c>
      <c r="E161">
        <v>1</v>
      </c>
      <c r="F161">
        <v>1</v>
      </c>
      <c r="G161">
        <v>19</v>
      </c>
      <c r="H161">
        <v>2</v>
      </c>
      <c r="I161" s="6"/>
      <c r="J161" s="6"/>
      <c r="K161" s="6"/>
      <c r="L161" s="6"/>
      <c r="M161" s="2" t="s">
        <v>186</v>
      </c>
      <c r="N161" s="6" t="s">
        <v>201</v>
      </c>
      <c r="O161" s="6" t="s">
        <v>552</v>
      </c>
      <c r="P161" s="6" t="s">
        <v>49</v>
      </c>
      <c r="Q161" s="6" t="s">
        <v>310</v>
      </c>
      <c r="R161" s="6" t="s">
        <v>520</v>
      </c>
      <c r="S161" s="6" t="s">
        <v>340</v>
      </c>
      <c r="T161" s="6"/>
      <c r="U161" s="6" t="s">
        <v>345</v>
      </c>
      <c r="V161" s="6" t="s">
        <v>348</v>
      </c>
      <c r="W161" s="6" t="s">
        <v>364</v>
      </c>
      <c r="X161" s="6"/>
      <c r="Y161" s="6" t="s">
        <v>404</v>
      </c>
      <c r="Z161" s="6"/>
      <c r="AA161" s="6"/>
      <c r="AB161" s="6"/>
      <c r="AC161" s="6"/>
      <c r="AD161">
        <v>275</v>
      </c>
    </row>
    <row r="162" spans="1:30" x14ac:dyDescent="0.25">
      <c r="A162" s="9">
        <f t="shared" si="2"/>
        <v>42579</v>
      </c>
      <c r="B162">
        <v>50177936</v>
      </c>
      <c r="C162" s="6" t="s">
        <v>159</v>
      </c>
      <c r="D162">
        <v>1</v>
      </c>
      <c r="E162">
        <v>1</v>
      </c>
      <c r="F162">
        <v>1</v>
      </c>
      <c r="G162">
        <v>19</v>
      </c>
      <c r="H162">
        <v>14</v>
      </c>
      <c r="I162" s="6"/>
      <c r="J162" s="6"/>
      <c r="K162" s="6"/>
      <c r="L162" s="6"/>
      <c r="M162" s="2" t="s">
        <v>186</v>
      </c>
      <c r="N162" s="6" t="s">
        <v>201</v>
      </c>
      <c r="O162" s="6" t="s">
        <v>552</v>
      </c>
      <c r="P162" s="6" t="s">
        <v>49</v>
      </c>
      <c r="Q162" s="6" t="s">
        <v>310</v>
      </c>
      <c r="R162" s="6" t="s">
        <v>520</v>
      </c>
      <c r="S162" s="6" t="s">
        <v>340</v>
      </c>
      <c r="T162" s="6"/>
      <c r="U162" s="6" t="s">
        <v>345</v>
      </c>
      <c r="V162" s="6" t="s">
        <v>348</v>
      </c>
      <c r="W162" s="6" t="s">
        <v>364</v>
      </c>
      <c r="X162" s="6"/>
      <c r="Y162" s="6" t="s">
        <v>404</v>
      </c>
      <c r="Z162" s="6"/>
      <c r="AA162" s="6"/>
      <c r="AB162" s="6"/>
      <c r="AC162" s="6"/>
      <c r="AD162">
        <v>276</v>
      </c>
    </row>
    <row r="163" spans="1:30" x14ac:dyDescent="0.25">
      <c r="A163" s="9">
        <f t="shared" si="2"/>
        <v>42579</v>
      </c>
      <c r="B163">
        <v>50181032</v>
      </c>
      <c r="C163" s="6" t="s">
        <v>159</v>
      </c>
      <c r="D163">
        <v>1</v>
      </c>
      <c r="E163">
        <v>1</v>
      </c>
      <c r="F163">
        <v>1</v>
      </c>
      <c r="G163">
        <v>25</v>
      </c>
      <c r="H163">
        <v>25</v>
      </c>
      <c r="I163" s="6"/>
      <c r="J163" s="6"/>
      <c r="K163" s="6"/>
      <c r="L163" s="6"/>
      <c r="M163" s="2" t="s">
        <v>186</v>
      </c>
      <c r="N163" s="6" t="s">
        <v>540</v>
      </c>
      <c r="O163" s="6" t="s">
        <v>552</v>
      </c>
      <c r="P163" s="6" t="s">
        <v>49</v>
      </c>
      <c r="Q163" s="6" t="s">
        <v>310</v>
      </c>
      <c r="R163" s="6" t="s">
        <v>520</v>
      </c>
      <c r="S163" s="6" t="s">
        <v>340</v>
      </c>
      <c r="T163" s="6"/>
      <c r="U163" s="6" t="s">
        <v>345</v>
      </c>
      <c r="V163" s="6" t="s">
        <v>348</v>
      </c>
      <c r="W163" s="6" t="s">
        <v>364</v>
      </c>
      <c r="X163" s="6"/>
      <c r="Y163" s="6" t="s">
        <v>400</v>
      </c>
      <c r="Z163" s="6"/>
      <c r="AA163" s="6"/>
      <c r="AB163" s="6"/>
      <c r="AC163" s="6"/>
      <c r="AD163">
        <v>277</v>
      </c>
    </row>
    <row r="164" spans="1:30" x14ac:dyDescent="0.25">
      <c r="A164" s="9">
        <f t="shared" si="2"/>
        <v>42643</v>
      </c>
      <c r="B164">
        <v>50177935</v>
      </c>
      <c r="C164" s="6" t="s">
        <v>159</v>
      </c>
      <c r="D164">
        <v>1</v>
      </c>
      <c r="E164">
        <v>1</v>
      </c>
      <c r="F164">
        <v>1</v>
      </c>
      <c r="G164">
        <v>18</v>
      </c>
      <c r="H164">
        <v>1</v>
      </c>
      <c r="I164" s="6"/>
      <c r="J164" s="6"/>
      <c r="K164" s="6"/>
      <c r="L164" s="6"/>
      <c r="M164" s="2" t="s">
        <v>190</v>
      </c>
      <c r="N164" s="6" t="s">
        <v>209</v>
      </c>
      <c r="O164" s="6" t="s">
        <v>275</v>
      </c>
      <c r="P164" s="6" t="s">
        <v>49</v>
      </c>
      <c r="Q164" s="6" t="s">
        <v>310</v>
      </c>
      <c r="R164" s="6" t="s">
        <v>577</v>
      </c>
      <c r="S164" s="6" t="s">
        <v>340</v>
      </c>
      <c r="T164" s="6"/>
      <c r="U164" s="6" t="s">
        <v>345</v>
      </c>
      <c r="V164" s="6" t="s">
        <v>348</v>
      </c>
      <c r="W164" s="6" t="s">
        <v>364</v>
      </c>
      <c r="X164" s="6"/>
      <c r="Y164" s="6" t="s">
        <v>663</v>
      </c>
      <c r="Z164" s="6"/>
      <c r="AA164" s="6"/>
      <c r="AB164" s="6"/>
      <c r="AC164" s="6"/>
      <c r="AD164">
        <v>278</v>
      </c>
    </row>
    <row r="165" spans="1:30" x14ac:dyDescent="0.25">
      <c r="A165" s="9">
        <f t="shared" si="2"/>
        <v>42702</v>
      </c>
      <c r="B165">
        <v>50181100</v>
      </c>
      <c r="C165" s="6" t="s">
        <v>159</v>
      </c>
      <c r="D165">
        <v>1</v>
      </c>
      <c r="E165">
        <v>1</v>
      </c>
      <c r="F165">
        <v>0</v>
      </c>
      <c r="G165">
        <v>16</v>
      </c>
      <c r="H165">
        <v>2</v>
      </c>
      <c r="I165" s="6"/>
      <c r="J165" s="6"/>
      <c r="K165" s="6"/>
      <c r="L165" s="6"/>
      <c r="M165" s="2" t="s">
        <v>540</v>
      </c>
      <c r="N165" s="6" t="s">
        <v>186</v>
      </c>
      <c r="O165" s="6" t="s">
        <v>273</v>
      </c>
      <c r="P165" s="6" t="s">
        <v>49</v>
      </c>
      <c r="Q165" s="6" t="s">
        <v>310</v>
      </c>
      <c r="R165" s="6" t="s">
        <v>611</v>
      </c>
      <c r="S165" s="6" t="s">
        <v>340</v>
      </c>
      <c r="T165" s="6"/>
      <c r="U165" s="6" t="s">
        <v>345</v>
      </c>
      <c r="V165" s="6" t="s">
        <v>348</v>
      </c>
      <c r="W165" s="6" t="s">
        <v>364</v>
      </c>
      <c r="X165" s="6"/>
      <c r="Y165" s="6"/>
      <c r="Z165" s="6"/>
      <c r="AA165" s="6"/>
      <c r="AB165" s="6"/>
      <c r="AC165" s="6"/>
      <c r="AD165">
        <v>280</v>
      </c>
    </row>
    <row r="166" spans="1:30" x14ac:dyDescent="0.25">
      <c r="A166" s="9">
        <f t="shared" si="2"/>
        <v>42583</v>
      </c>
      <c r="B166">
        <v>50180852</v>
      </c>
      <c r="C166" s="6" t="s">
        <v>159</v>
      </c>
      <c r="D166">
        <v>1</v>
      </c>
      <c r="E166">
        <v>1</v>
      </c>
      <c r="F166">
        <v>1</v>
      </c>
      <c r="G166">
        <v>15</v>
      </c>
      <c r="H166">
        <v>15</v>
      </c>
      <c r="I166" s="6"/>
      <c r="J166" s="6"/>
      <c r="K166" s="6"/>
      <c r="L166" s="6"/>
      <c r="M166" s="2" t="s">
        <v>167</v>
      </c>
      <c r="N166" s="6" t="s">
        <v>163</v>
      </c>
      <c r="O166" s="6" t="s">
        <v>209</v>
      </c>
      <c r="P166" s="6" t="s">
        <v>50</v>
      </c>
      <c r="Q166" s="6" t="s">
        <v>306</v>
      </c>
      <c r="R166" s="6" t="s">
        <v>571</v>
      </c>
      <c r="S166" s="6" t="s">
        <v>340</v>
      </c>
      <c r="T166" s="6"/>
      <c r="U166" s="6" t="s">
        <v>345</v>
      </c>
      <c r="V166" s="6" t="s">
        <v>348</v>
      </c>
      <c r="W166" s="6" t="s">
        <v>354</v>
      </c>
      <c r="X166" s="6"/>
      <c r="Y166" s="6" t="s">
        <v>395</v>
      </c>
      <c r="Z166" s="6"/>
      <c r="AA166" s="6"/>
      <c r="AB166" s="6"/>
      <c r="AC166" s="6"/>
      <c r="AD166">
        <v>286</v>
      </c>
    </row>
    <row r="167" spans="1:30" x14ac:dyDescent="0.25">
      <c r="A167" s="9">
        <f t="shared" si="2"/>
        <v>42607</v>
      </c>
      <c r="B167">
        <v>50180650</v>
      </c>
      <c r="C167" s="6" t="s">
        <v>159</v>
      </c>
      <c r="D167">
        <v>1</v>
      </c>
      <c r="E167">
        <v>1</v>
      </c>
      <c r="F167">
        <v>1</v>
      </c>
      <c r="G167">
        <v>15</v>
      </c>
      <c r="H167">
        <v>14</v>
      </c>
      <c r="I167" s="6"/>
      <c r="J167" s="6"/>
      <c r="K167" s="6"/>
      <c r="L167" s="6"/>
      <c r="M167" s="2" t="s">
        <v>199</v>
      </c>
      <c r="N167" s="6" t="s">
        <v>167</v>
      </c>
      <c r="O167" s="6" t="s">
        <v>201</v>
      </c>
      <c r="P167" s="6" t="s">
        <v>50</v>
      </c>
      <c r="Q167" s="6" t="s">
        <v>306</v>
      </c>
      <c r="R167" s="6" t="s">
        <v>518</v>
      </c>
      <c r="S167" s="6" t="s">
        <v>340</v>
      </c>
      <c r="T167" s="6"/>
      <c r="U167" s="6" t="s">
        <v>345</v>
      </c>
      <c r="V167" s="6" t="s">
        <v>348</v>
      </c>
      <c r="W167" s="6" t="s">
        <v>354</v>
      </c>
      <c r="X167" s="6"/>
      <c r="Y167" s="6" t="s">
        <v>457</v>
      </c>
      <c r="Z167" s="6"/>
      <c r="AA167" s="6"/>
      <c r="AB167" s="6"/>
      <c r="AC167" s="6"/>
      <c r="AD167">
        <v>287</v>
      </c>
    </row>
    <row r="168" spans="1:30" x14ac:dyDescent="0.25">
      <c r="A168" s="9">
        <f t="shared" si="2"/>
        <v>42615</v>
      </c>
      <c r="B168">
        <v>50181541</v>
      </c>
      <c r="C168" s="6" t="s">
        <v>159</v>
      </c>
      <c r="D168">
        <v>1</v>
      </c>
      <c r="E168">
        <v>1</v>
      </c>
      <c r="F168">
        <v>1</v>
      </c>
      <c r="G168">
        <v>15</v>
      </c>
      <c r="H168">
        <v>15</v>
      </c>
      <c r="I168" s="6"/>
      <c r="J168" s="6"/>
      <c r="K168" s="6"/>
      <c r="L168" s="6"/>
      <c r="M168" s="2" t="s">
        <v>189</v>
      </c>
      <c r="N168" s="6" t="s">
        <v>189</v>
      </c>
      <c r="O168" s="6" t="s">
        <v>274</v>
      </c>
      <c r="P168" s="6" t="s">
        <v>50</v>
      </c>
      <c r="Q168" s="6" t="s">
        <v>306</v>
      </c>
      <c r="R168" s="6" t="s">
        <v>582</v>
      </c>
      <c r="S168" s="6" t="s">
        <v>340</v>
      </c>
      <c r="T168" s="6"/>
      <c r="U168" s="6" t="s">
        <v>345</v>
      </c>
      <c r="V168" s="6" t="s">
        <v>348</v>
      </c>
      <c r="W168" s="6" t="s">
        <v>354</v>
      </c>
      <c r="X168" s="6"/>
      <c r="Y168" s="6" t="s">
        <v>394</v>
      </c>
      <c r="Z168" s="6"/>
      <c r="AA168" s="6"/>
      <c r="AB168" s="6"/>
      <c r="AC168" s="6"/>
      <c r="AD168">
        <v>288</v>
      </c>
    </row>
    <row r="169" spans="1:30" x14ac:dyDescent="0.25">
      <c r="A169" s="9">
        <f t="shared" si="2"/>
        <v>42593</v>
      </c>
      <c r="B169">
        <v>50181260</v>
      </c>
      <c r="C169" s="6" t="s">
        <v>159</v>
      </c>
      <c r="D169">
        <v>1</v>
      </c>
      <c r="E169">
        <v>1</v>
      </c>
      <c r="F169">
        <v>1</v>
      </c>
      <c r="G169">
        <v>15</v>
      </c>
      <c r="H169">
        <v>14</v>
      </c>
      <c r="I169" s="6"/>
      <c r="J169" s="6"/>
      <c r="K169" s="6"/>
      <c r="L169" s="6"/>
      <c r="M169" s="2" t="s">
        <v>187</v>
      </c>
      <c r="N169" s="6" t="s">
        <v>179</v>
      </c>
      <c r="O169" s="6" t="s">
        <v>210</v>
      </c>
      <c r="P169" s="6" t="s">
        <v>62</v>
      </c>
      <c r="Q169" s="6" t="s">
        <v>309</v>
      </c>
      <c r="R169" s="6" t="s">
        <v>518</v>
      </c>
      <c r="S169" s="6" t="s">
        <v>340</v>
      </c>
      <c r="T169" s="6"/>
      <c r="U169" s="6" t="s">
        <v>345</v>
      </c>
      <c r="V169" s="6" t="s">
        <v>348</v>
      </c>
      <c r="W169" s="6" t="s">
        <v>354</v>
      </c>
      <c r="X169" s="6"/>
      <c r="Y169" s="6" t="s">
        <v>434</v>
      </c>
      <c r="Z169" s="6"/>
      <c r="AA169" s="6"/>
      <c r="AB169" s="6"/>
      <c r="AC169" s="6"/>
      <c r="AD169">
        <v>298</v>
      </c>
    </row>
    <row r="170" spans="1:30" x14ac:dyDescent="0.25">
      <c r="A170" s="9">
        <f t="shared" si="2"/>
        <v>42632</v>
      </c>
      <c r="B170">
        <v>50179558</v>
      </c>
      <c r="C170" s="6" t="s">
        <v>159</v>
      </c>
      <c r="D170">
        <v>1</v>
      </c>
      <c r="E170">
        <v>1</v>
      </c>
      <c r="F170">
        <v>0</v>
      </c>
      <c r="G170">
        <v>10</v>
      </c>
      <c r="H170">
        <v>3</v>
      </c>
      <c r="I170" s="6"/>
      <c r="J170" s="6"/>
      <c r="K170" s="6"/>
      <c r="L170" s="6"/>
      <c r="M170" s="2" t="s">
        <v>177</v>
      </c>
      <c r="N170" s="6" t="s">
        <v>191</v>
      </c>
      <c r="O170" s="6" t="s">
        <v>276</v>
      </c>
      <c r="P170" s="6" t="s">
        <v>62</v>
      </c>
      <c r="Q170" s="6" t="s">
        <v>309</v>
      </c>
      <c r="R170" s="6" t="s">
        <v>612</v>
      </c>
      <c r="S170" s="6" t="s">
        <v>340</v>
      </c>
      <c r="T170" s="6"/>
      <c r="U170" s="6" t="s">
        <v>345</v>
      </c>
      <c r="V170" s="6" t="s">
        <v>348</v>
      </c>
      <c r="W170" s="6" t="s">
        <v>354</v>
      </c>
      <c r="X170" s="6"/>
      <c r="Y170" s="6" t="s">
        <v>399</v>
      </c>
      <c r="Z170" s="6"/>
      <c r="AA170" s="6"/>
      <c r="AB170" s="6"/>
      <c r="AC170" s="6"/>
      <c r="AD170">
        <v>300</v>
      </c>
    </row>
    <row r="171" spans="1:30" x14ac:dyDescent="0.25">
      <c r="A171" s="9">
        <f t="shared" si="2"/>
        <v>42674</v>
      </c>
      <c r="B171">
        <v>50173427</v>
      </c>
      <c r="C171" s="6" t="s">
        <v>159</v>
      </c>
      <c r="D171">
        <v>1</v>
      </c>
      <c r="E171">
        <v>1</v>
      </c>
      <c r="F171">
        <v>1</v>
      </c>
      <c r="G171">
        <v>3</v>
      </c>
      <c r="H171">
        <v>3</v>
      </c>
      <c r="I171" s="6"/>
      <c r="J171" s="6"/>
      <c r="K171" s="6"/>
      <c r="L171" s="6"/>
      <c r="M171" s="2" t="s">
        <v>169</v>
      </c>
      <c r="N171" s="6" t="s">
        <v>220</v>
      </c>
      <c r="O171" s="6" t="s">
        <v>277</v>
      </c>
      <c r="P171" s="6" t="s">
        <v>62</v>
      </c>
      <c r="Q171" s="6" t="s">
        <v>309</v>
      </c>
      <c r="R171" s="6" t="s">
        <v>339</v>
      </c>
      <c r="S171" s="6" t="s">
        <v>340</v>
      </c>
      <c r="T171" s="6"/>
      <c r="U171" s="6" t="s">
        <v>345</v>
      </c>
      <c r="V171" s="6" t="s">
        <v>348</v>
      </c>
      <c r="W171" s="6" t="s">
        <v>354</v>
      </c>
      <c r="X171" s="6" t="s">
        <v>369</v>
      </c>
      <c r="Y171" s="6"/>
      <c r="Z171" s="6"/>
      <c r="AA171" s="6"/>
      <c r="AB171" s="6"/>
      <c r="AC171" s="6"/>
      <c r="AD171">
        <v>301</v>
      </c>
    </row>
    <row r="172" spans="1:30" x14ac:dyDescent="0.25">
      <c r="A172" s="9">
        <f t="shared" si="2"/>
        <v>42593</v>
      </c>
      <c r="B172">
        <v>50180649</v>
      </c>
      <c r="C172" s="6" t="s">
        <v>159</v>
      </c>
      <c r="D172">
        <v>1</v>
      </c>
      <c r="E172">
        <v>1</v>
      </c>
      <c r="F172">
        <v>1</v>
      </c>
      <c r="G172">
        <v>10</v>
      </c>
      <c r="H172">
        <v>7</v>
      </c>
      <c r="I172" s="6"/>
      <c r="J172" s="6"/>
      <c r="K172" s="6"/>
      <c r="L172" s="6"/>
      <c r="M172" s="2" t="s">
        <v>187</v>
      </c>
      <c r="N172" s="6" t="s">
        <v>195</v>
      </c>
      <c r="O172" s="6" t="s">
        <v>210</v>
      </c>
      <c r="P172" s="6" t="s">
        <v>63</v>
      </c>
      <c r="Q172" s="6" t="s">
        <v>309</v>
      </c>
      <c r="R172" s="6" t="s">
        <v>534</v>
      </c>
      <c r="S172" s="6" t="s">
        <v>340</v>
      </c>
      <c r="T172" s="6"/>
      <c r="U172" s="6" t="s">
        <v>345</v>
      </c>
      <c r="V172" s="6" t="s">
        <v>348</v>
      </c>
      <c r="W172" s="6" t="s">
        <v>353</v>
      </c>
      <c r="X172" s="6"/>
      <c r="Y172" s="6" t="s">
        <v>401</v>
      </c>
      <c r="Z172" s="6"/>
      <c r="AA172" s="6"/>
      <c r="AB172" s="6"/>
      <c r="AC172" s="6"/>
      <c r="AD172">
        <v>305</v>
      </c>
    </row>
    <row r="173" spans="1:30" x14ac:dyDescent="0.25">
      <c r="A173" s="9">
        <f t="shared" si="2"/>
        <v>42604</v>
      </c>
      <c r="B173">
        <v>50181639</v>
      </c>
      <c r="C173" s="6" t="s">
        <v>159</v>
      </c>
      <c r="D173">
        <v>1</v>
      </c>
      <c r="E173">
        <v>1</v>
      </c>
      <c r="F173">
        <v>1</v>
      </c>
      <c r="G173">
        <v>15</v>
      </c>
      <c r="H173">
        <v>15</v>
      </c>
      <c r="I173" s="6"/>
      <c r="J173" s="6"/>
      <c r="K173" s="6"/>
      <c r="L173" s="6"/>
      <c r="M173" s="2" t="s">
        <v>179</v>
      </c>
      <c r="N173" s="6" t="s">
        <v>166</v>
      </c>
      <c r="O173" s="6" t="s">
        <v>272</v>
      </c>
      <c r="P173" s="6" t="s">
        <v>63</v>
      </c>
      <c r="Q173" s="6" t="s">
        <v>309</v>
      </c>
      <c r="R173" s="6" t="s">
        <v>610</v>
      </c>
      <c r="S173" s="6" t="s">
        <v>340</v>
      </c>
      <c r="T173" s="6"/>
      <c r="U173" s="6" t="s">
        <v>345</v>
      </c>
      <c r="V173" s="6" t="s">
        <v>348</v>
      </c>
      <c r="W173" s="6" t="s">
        <v>353</v>
      </c>
      <c r="X173" s="6"/>
      <c r="Y173" s="6" t="s">
        <v>394</v>
      </c>
      <c r="Z173" s="6"/>
      <c r="AA173" s="6"/>
      <c r="AB173" s="6"/>
      <c r="AC173" s="6"/>
      <c r="AD173">
        <v>306</v>
      </c>
    </row>
    <row r="174" spans="1:30" x14ac:dyDescent="0.25">
      <c r="A174" s="9">
        <f t="shared" si="2"/>
        <v>42632</v>
      </c>
      <c r="B174">
        <v>50181640</v>
      </c>
      <c r="C174" s="6" t="s">
        <v>159</v>
      </c>
      <c r="D174">
        <v>1</v>
      </c>
      <c r="E174">
        <v>1</v>
      </c>
      <c r="F174">
        <v>1</v>
      </c>
      <c r="G174">
        <v>10</v>
      </c>
      <c r="H174">
        <v>10</v>
      </c>
      <c r="I174" s="6"/>
      <c r="J174" s="6"/>
      <c r="K174" s="6"/>
      <c r="L174" s="6"/>
      <c r="M174" s="2" t="s">
        <v>177</v>
      </c>
      <c r="N174" s="6" t="s">
        <v>177</v>
      </c>
      <c r="O174" s="6" t="s">
        <v>276</v>
      </c>
      <c r="P174" s="6" t="s">
        <v>63</v>
      </c>
      <c r="Q174" s="6" t="s">
        <v>309</v>
      </c>
      <c r="R174" s="6" t="s">
        <v>576</v>
      </c>
      <c r="S174" s="6" t="s">
        <v>340</v>
      </c>
      <c r="T174" s="6"/>
      <c r="U174" s="6" t="s">
        <v>345</v>
      </c>
      <c r="V174" s="6" t="s">
        <v>348</v>
      </c>
      <c r="W174" s="6" t="s">
        <v>353</v>
      </c>
      <c r="X174" s="6"/>
      <c r="Y174" s="6" t="s">
        <v>394</v>
      </c>
      <c r="Z174" s="6"/>
      <c r="AA174" s="6"/>
      <c r="AB174" s="6"/>
      <c r="AC174" s="6"/>
      <c r="AD174">
        <v>307</v>
      </c>
    </row>
    <row r="175" spans="1:30" x14ac:dyDescent="0.25">
      <c r="A175" s="9">
        <f t="shared" si="2"/>
        <v>42674</v>
      </c>
      <c r="B175">
        <v>50177594</v>
      </c>
      <c r="C175" s="6" t="s">
        <v>159</v>
      </c>
      <c r="D175">
        <v>1</v>
      </c>
      <c r="E175">
        <v>1</v>
      </c>
      <c r="F175">
        <v>1</v>
      </c>
      <c r="G175">
        <v>5</v>
      </c>
      <c r="H175">
        <v>5</v>
      </c>
      <c r="I175" s="6"/>
      <c r="J175" s="6"/>
      <c r="K175" s="6"/>
      <c r="L175" s="6"/>
      <c r="M175" s="2" t="s">
        <v>169</v>
      </c>
      <c r="N175" s="6" t="s">
        <v>218</v>
      </c>
      <c r="O175" s="6" t="s">
        <v>277</v>
      </c>
      <c r="P175" s="6" t="s">
        <v>63</v>
      </c>
      <c r="Q175" s="6" t="s">
        <v>309</v>
      </c>
      <c r="R175" s="6" t="s">
        <v>589</v>
      </c>
      <c r="S175" s="6" t="s">
        <v>340</v>
      </c>
      <c r="T175" s="6"/>
      <c r="U175" s="6" t="s">
        <v>345</v>
      </c>
      <c r="V175" s="6" t="s">
        <v>348</v>
      </c>
      <c r="W175" s="6" t="s">
        <v>353</v>
      </c>
      <c r="X175" s="6" t="s">
        <v>369</v>
      </c>
      <c r="Y175" s="6"/>
      <c r="Z175" s="6"/>
      <c r="AA175" s="6"/>
      <c r="AB175" s="6"/>
      <c r="AC175" s="6"/>
      <c r="AD175">
        <v>308</v>
      </c>
    </row>
    <row r="176" spans="1:30" x14ac:dyDescent="0.25">
      <c r="A176" s="9">
        <f t="shared" si="2"/>
        <v>42627</v>
      </c>
      <c r="B176">
        <v>50166916</v>
      </c>
      <c r="C176" s="6" t="s">
        <v>159</v>
      </c>
      <c r="D176">
        <v>1</v>
      </c>
      <c r="E176">
        <v>1</v>
      </c>
      <c r="F176">
        <v>1</v>
      </c>
      <c r="G176">
        <v>4</v>
      </c>
      <c r="H176">
        <v>4</v>
      </c>
      <c r="I176" s="6"/>
      <c r="J176" s="6"/>
      <c r="K176" s="6"/>
      <c r="L176" s="6"/>
      <c r="M176" s="2" t="s">
        <v>207</v>
      </c>
      <c r="N176" s="6" t="s">
        <v>235</v>
      </c>
      <c r="O176" s="6" t="s">
        <v>266</v>
      </c>
      <c r="P176" s="6" t="s">
        <v>53</v>
      </c>
      <c r="Q176" s="6" t="s">
        <v>308</v>
      </c>
      <c r="R176" s="6"/>
      <c r="S176" s="6" t="s">
        <v>340</v>
      </c>
      <c r="T176" s="6"/>
      <c r="U176" s="6" t="s">
        <v>345</v>
      </c>
      <c r="V176" s="6" t="s">
        <v>348</v>
      </c>
      <c r="W176" s="6" t="s">
        <v>361</v>
      </c>
      <c r="X176" s="6" t="s">
        <v>383</v>
      </c>
      <c r="Y176" s="6" t="s">
        <v>412</v>
      </c>
      <c r="Z176" s="6"/>
      <c r="AA176" s="6"/>
      <c r="AB176" s="6"/>
      <c r="AC176" s="6"/>
      <c r="AD176">
        <v>314</v>
      </c>
    </row>
    <row r="177" spans="1:30" x14ac:dyDescent="0.25">
      <c r="A177" s="9">
        <f t="shared" si="2"/>
        <v>42597</v>
      </c>
      <c r="B177">
        <v>50181944</v>
      </c>
      <c r="C177" s="6" t="s">
        <v>159</v>
      </c>
      <c r="D177">
        <v>1</v>
      </c>
      <c r="E177">
        <v>1</v>
      </c>
      <c r="F177">
        <v>1</v>
      </c>
      <c r="G177">
        <v>20</v>
      </c>
      <c r="H177">
        <v>20</v>
      </c>
      <c r="I177" s="6"/>
      <c r="J177" s="6"/>
      <c r="K177" s="6"/>
      <c r="L177" s="6"/>
      <c r="M177" s="2" t="s">
        <v>163</v>
      </c>
      <c r="N177" s="6" t="s">
        <v>177</v>
      </c>
      <c r="O177" s="6" t="s">
        <v>261</v>
      </c>
      <c r="P177" s="6" t="s">
        <v>66</v>
      </c>
      <c r="Q177" s="6" t="s">
        <v>474</v>
      </c>
      <c r="R177" s="6" t="s">
        <v>339</v>
      </c>
      <c r="S177" s="6" t="s">
        <v>340</v>
      </c>
      <c r="T177" s="6"/>
      <c r="U177" s="6" t="s">
        <v>345</v>
      </c>
      <c r="V177" s="6" t="s">
        <v>348</v>
      </c>
      <c r="W177" s="6" t="s">
        <v>365</v>
      </c>
      <c r="X177" s="6"/>
      <c r="Y177" s="6" t="s">
        <v>394</v>
      </c>
      <c r="Z177" s="6"/>
      <c r="AA177" s="6"/>
      <c r="AB177" s="6"/>
      <c r="AC177" s="6"/>
      <c r="AD177">
        <v>317</v>
      </c>
    </row>
    <row r="178" spans="1:30" x14ac:dyDescent="0.25">
      <c r="A178" s="9">
        <f t="shared" si="2"/>
        <v>42604</v>
      </c>
      <c r="B178">
        <v>50181945</v>
      </c>
      <c r="C178" s="6" t="s">
        <v>159</v>
      </c>
      <c r="D178">
        <v>1</v>
      </c>
      <c r="E178">
        <v>1</v>
      </c>
      <c r="F178">
        <v>1</v>
      </c>
      <c r="G178">
        <v>10</v>
      </c>
      <c r="H178">
        <v>10</v>
      </c>
      <c r="I178" s="6"/>
      <c r="J178" s="6"/>
      <c r="K178" s="6"/>
      <c r="L178" s="6"/>
      <c r="M178" s="2" t="s">
        <v>179</v>
      </c>
      <c r="N178" s="6" t="s">
        <v>175</v>
      </c>
      <c r="O178" s="6" t="s">
        <v>211</v>
      </c>
      <c r="P178" s="6" t="s">
        <v>66</v>
      </c>
      <c r="Q178" s="6" t="s">
        <v>474</v>
      </c>
      <c r="R178" s="6" t="s">
        <v>339</v>
      </c>
      <c r="S178" s="6" t="s">
        <v>340</v>
      </c>
      <c r="T178" s="6"/>
      <c r="U178" s="6" t="s">
        <v>345</v>
      </c>
      <c r="V178" s="6" t="s">
        <v>348</v>
      </c>
      <c r="W178" s="6" t="s">
        <v>365</v>
      </c>
      <c r="X178" s="6"/>
      <c r="Y178" s="6" t="s">
        <v>394</v>
      </c>
      <c r="Z178" s="6"/>
      <c r="AA178" s="6"/>
      <c r="AB178" s="6"/>
      <c r="AC178" s="6"/>
      <c r="AD178">
        <v>318</v>
      </c>
    </row>
    <row r="179" spans="1:30" x14ac:dyDescent="0.25">
      <c r="A179" s="9">
        <f t="shared" si="2"/>
        <v>42611</v>
      </c>
      <c r="B179">
        <v>50181946</v>
      </c>
      <c r="C179" s="6" t="s">
        <v>159</v>
      </c>
      <c r="D179">
        <v>1</v>
      </c>
      <c r="E179">
        <v>1</v>
      </c>
      <c r="F179">
        <v>1</v>
      </c>
      <c r="G179">
        <v>10</v>
      </c>
      <c r="H179">
        <v>10</v>
      </c>
      <c r="I179" s="6"/>
      <c r="J179" s="6"/>
      <c r="K179" s="6"/>
      <c r="L179" s="6"/>
      <c r="M179" s="2" t="s">
        <v>178</v>
      </c>
      <c r="N179" s="6" t="s">
        <v>174</v>
      </c>
      <c r="O179" s="6" t="s">
        <v>210</v>
      </c>
      <c r="P179" s="6" t="s">
        <v>66</v>
      </c>
      <c r="Q179" s="6" t="s">
        <v>474</v>
      </c>
      <c r="R179" s="6" t="s">
        <v>339</v>
      </c>
      <c r="S179" s="6" t="s">
        <v>340</v>
      </c>
      <c r="T179" s="6"/>
      <c r="U179" s="6" t="s">
        <v>345</v>
      </c>
      <c r="V179" s="6" t="s">
        <v>348</v>
      </c>
      <c r="W179" s="6" t="s">
        <v>365</v>
      </c>
      <c r="X179" s="6"/>
      <c r="Y179" s="6" t="s">
        <v>394</v>
      </c>
      <c r="Z179" s="6"/>
      <c r="AA179" s="6"/>
      <c r="AB179" s="6"/>
      <c r="AC179" s="6"/>
      <c r="AD179">
        <v>319</v>
      </c>
    </row>
    <row r="180" spans="1:30" x14ac:dyDescent="0.25">
      <c r="A180" s="9">
        <f t="shared" si="2"/>
        <v>42633</v>
      </c>
      <c r="B180">
        <v>50181947</v>
      </c>
      <c r="C180" s="6" t="s">
        <v>159</v>
      </c>
      <c r="D180">
        <v>1</v>
      </c>
      <c r="E180">
        <v>1</v>
      </c>
      <c r="F180">
        <v>1</v>
      </c>
      <c r="G180">
        <v>25</v>
      </c>
      <c r="H180">
        <v>25</v>
      </c>
      <c r="I180" s="6"/>
      <c r="J180" s="6"/>
      <c r="K180" s="6"/>
      <c r="L180" s="6"/>
      <c r="M180" s="2" t="s">
        <v>473</v>
      </c>
      <c r="N180" s="6" t="s">
        <v>473</v>
      </c>
      <c r="O180" s="6" t="s">
        <v>274</v>
      </c>
      <c r="P180" s="6" t="s">
        <v>66</v>
      </c>
      <c r="Q180" s="6" t="s">
        <v>474</v>
      </c>
      <c r="R180" s="6"/>
      <c r="S180" s="6" t="s">
        <v>340</v>
      </c>
      <c r="T180" s="6"/>
      <c r="U180" s="6" t="s">
        <v>345</v>
      </c>
      <c r="V180" s="6" t="s">
        <v>348</v>
      </c>
      <c r="W180" s="6" t="s">
        <v>365</v>
      </c>
      <c r="X180" s="6"/>
      <c r="Y180" s="6"/>
      <c r="Z180" s="6"/>
      <c r="AA180" s="6"/>
      <c r="AB180" s="6"/>
      <c r="AC180" s="6"/>
      <c r="AD180">
        <v>320</v>
      </c>
    </row>
    <row r="181" spans="1:30" x14ac:dyDescent="0.25">
      <c r="A181" s="9">
        <f t="shared" si="2"/>
        <v>42611</v>
      </c>
      <c r="B181">
        <v>50177349</v>
      </c>
      <c r="C181" s="6" t="s">
        <v>159</v>
      </c>
      <c r="D181">
        <v>1</v>
      </c>
      <c r="E181">
        <v>1</v>
      </c>
      <c r="F181">
        <v>1</v>
      </c>
      <c r="G181">
        <v>50</v>
      </c>
      <c r="H181">
        <v>50</v>
      </c>
      <c r="I181" s="6"/>
      <c r="J181" s="6"/>
      <c r="K181" s="6"/>
      <c r="L181" s="6"/>
      <c r="M181" s="2" t="s">
        <v>178</v>
      </c>
      <c r="N181" s="6" t="s">
        <v>236</v>
      </c>
      <c r="O181" s="6" t="s">
        <v>202</v>
      </c>
      <c r="P181" s="6" t="s">
        <v>37</v>
      </c>
      <c r="Q181" s="6" t="s">
        <v>306</v>
      </c>
      <c r="R181" s="6" t="s">
        <v>613</v>
      </c>
      <c r="S181" s="6" t="s">
        <v>340</v>
      </c>
      <c r="T181" s="6"/>
      <c r="U181" s="6" t="s">
        <v>345</v>
      </c>
      <c r="V181" s="6" t="s">
        <v>348</v>
      </c>
      <c r="W181" s="6" t="s">
        <v>352</v>
      </c>
      <c r="X181" s="6"/>
      <c r="Y181" s="6" t="s">
        <v>413</v>
      </c>
      <c r="Z181" s="6"/>
      <c r="AA181" s="6"/>
      <c r="AB181" s="6"/>
      <c r="AC181" s="6"/>
      <c r="AD181">
        <v>321</v>
      </c>
    </row>
    <row r="182" spans="1:30" x14ac:dyDescent="0.25">
      <c r="A182" s="9">
        <f t="shared" si="2"/>
        <v>42674</v>
      </c>
      <c r="B182">
        <v>50173610</v>
      </c>
      <c r="C182" s="6" t="s">
        <v>159</v>
      </c>
      <c r="D182">
        <v>1</v>
      </c>
      <c r="E182">
        <v>1</v>
      </c>
      <c r="F182">
        <v>1</v>
      </c>
      <c r="G182">
        <v>48</v>
      </c>
      <c r="H182">
        <v>48</v>
      </c>
      <c r="I182" s="6"/>
      <c r="J182" s="6"/>
      <c r="K182" s="6"/>
      <c r="L182" s="6"/>
      <c r="M182" s="2" t="s">
        <v>169</v>
      </c>
      <c r="N182" s="6" t="s">
        <v>220</v>
      </c>
      <c r="O182" s="6" t="s">
        <v>277</v>
      </c>
      <c r="P182" s="6" t="s">
        <v>37</v>
      </c>
      <c r="Q182" s="6" t="s">
        <v>306</v>
      </c>
      <c r="R182" s="6" t="s">
        <v>614</v>
      </c>
      <c r="S182" s="6" t="s">
        <v>340</v>
      </c>
      <c r="T182" s="6"/>
      <c r="U182" s="6" t="s">
        <v>345</v>
      </c>
      <c r="V182" s="6" t="s">
        <v>348</v>
      </c>
      <c r="W182" s="6" t="s">
        <v>359</v>
      </c>
      <c r="X182" s="6" t="s">
        <v>369</v>
      </c>
      <c r="Y182" s="6"/>
      <c r="Z182" s="6"/>
      <c r="AA182" s="6"/>
      <c r="AB182" s="6"/>
      <c r="AC182" s="6"/>
      <c r="AD182">
        <v>322</v>
      </c>
    </row>
    <row r="183" spans="1:30" x14ac:dyDescent="0.25">
      <c r="A183" s="9">
        <f t="shared" si="2"/>
        <v>42674</v>
      </c>
      <c r="B183">
        <v>50174716</v>
      </c>
      <c r="C183" s="6" t="s">
        <v>159</v>
      </c>
      <c r="D183">
        <v>1</v>
      </c>
      <c r="E183">
        <v>1</v>
      </c>
      <c r="F183">
        <v>1</v>
      </c>
      <c r="G183">
        <v>12</v>
      </c>
      <c r="H183">
        <v>12</v>
      </c>
      <c r="I183" s="6"/>
      <c r="J183" s="6"/>
      <c r="K183" s="6"/>
      <c r="L183" s="6"/>
      <c r="M183" s="2" t="s">
        <v>169</v>
      </c>
      <c r="N183" s="6" t="s">
        <v>220</v>
      </c>
      <c r="O183" s="6" t="s">
        <v>277</v>
      </c>
      <c r="P183" s="6" t="s">
        <v>37</v>
      </c>
      <c r="Q183" s="6" t="s">
        <v>306</v>
      </c>
      <c r="R183" s="6" t="s">
        <v>535</v>
      </c>
      <c r="S183" s="6" t="s">
        <v>340</v>
      </c>
      <c r="T183" s="6"/>
      <c r="U183" s="6" t="s">
        <v>345</v>
      </c>
      <c r="V183" s="6" t="s">
        <v>348</v>
      </c>
      <c r="W183" s="6" t="s">
        <v>359</v>
      </c>
      <c r="X183" s="6" t="s">
        <v>369</v>
      </c>
      <c r="Y183" s="6"/>
      <c r="Z183" s="6"/>
      <c r="AA183" s="6"/>
      <c r="AB183" s="6"/>
      <c r="AC183" s="6"/>
      <c r="AD183">
        <v>323</v>
      </c>
    </row>
    <row r="184" spans="1:30" x14ac:dyDescent="0.25">
      <c r="A184" s="9">
        <f t="shared" si="2"/>
        <v>42587</v>
      </c>
      <c r="B184">
        <v>50180211</v>
      </c>
      <c r="C184" s="6" t="s">
        <v>159</v>
      </c>
      <c r="D184">
        <v>1</v>
      </c>
      <c r="E184">
        <v>1</v>
      </c>
      <c r="F184">
        <v>1</v>
      </c>
      <c r="G184">
        <v>10</v>
      </c>
      <c r="H184">
        <v>10</v>
      </c>
      <c r="I184" s="6"/>
      <c r="J184" s="6"/>
      <c r="K184" s="6"/>
      <c r="L184" s="6"/>
      <c r="M184" s="2" t="s">
        <v>206</v>
      </c>
      <c r="N184" s="6" t="s">
        <v>179</v>
      </c>
      <c r="O184" s="6" t="s">
        <v>551</v>
      </c>
      <c r="P184" s="6" t="s">
        <v>7</v>
      </c>
      <c r="Q184" s="6" t="s">
        <v>309</v>
      </c>
      <c r="R184" s="6" t="s">
        <v>571</v>
      </c>
      <c r="S184" s="6" t="s">
        <v>340</v>
      </c>
      <c r="T184" s="6"/>
      <c r="U184" s="6" t="s">
        <v>345</v>
      </c>
      <c r="V184" s="6" t="s">
        <v>348</v>
      </c>
      <c r="W184" s="6" t="s">
        <v>356</v>
      </c>
      <c r="X184" s="6"/>
      <c r="Y184" s="6" t="s">
        <v>645</v>
      </c>
      <c r="Z184" s="6"/>
      <c r="AA184" s="6"/>
      <c r="AB184" s="6"/>
      <c r="AC184" s="6"/>
      <c r="AD184">
        <v>325</v>
      </c>
    </row>
    <row r="185" spans="1:30" x14ac:dyDescent="0.25">
      <c r="A185" s="9">
        <f t="shared" si="2"/>
        <v>42606</v>
      </c>
      <c r="B185">
        <v>50180935</v>
      </c>
      <c r="C185" s="6" t="s">
        <v>159</v>
      </c>
      <c r="D185">
        <v>1</v>
      </c>
      <c r="E185">
        <v>1</v>
      </c>
      <c r="F185">
        <v>1</v>
      </c>
      <c r="G185">
        <v>20</v>
      </c>
      <c r="H185">
        <v>20</v>
      </c>
      <c r="I185" s="6"/>
      <c r="J185" s="6"/>
      <c r="K185" s="6"/>
      <c r="L185" s="6"/>
      <c r="M185" s="2" t="s">
        <v>281</v>
      </c>
      <c r="N185" s="6" t="s">
        <v>165</v>
      </c>
      <c r="O185" s="6" t="s">
        <v>226</v>
      </c>
      <c r="P185" s="6" t="s">
        <v>7</v>
      </c>
      <c r="Q185" s="6" t="s">
        <v>309</v>
      </c>
      <c r="R185" s="6" t="s">
        <v>615</v>
      </c>
      <c r="S185" s="6" t="s">
        <v>340</v>
      </c>
      <c r="T185" s="6"/>
      <c r="U185" s="6" t="s">
        <v>345</v>
      </c>
      <c r="V185" s="6" t="s">
        <v>348</v>
      </c>
      <c r="W185" s="6" t="s">
        <v>356</v>
      </c>
      <c r="X185" s="6"/>
      <c r="Y185" s="6" t="s">
        <v>644</v>
      </c>
      <c r="Z185" s="6"/>
      <c r="AA185" s="6"/>
      <c r="AB185" s="6"/>
      <c r="AC185" s="6"/>
      <c r="AD185">
        <v>326</v>
      </c>
    </row>
    <row r="186" spans="1:30" x14ac:dyDescent="0.25">
      <c r="A186" s="9">
        <f t="shared" si="2"/>
        <v>42649</v>
      </c>
      <c r="B186">
        <v>50180651</v>
      </c>
      <c r="C186" s="6" t="s">
        <v>159</v>
      </c>
      <c r="D186">
        <v>1</v>
      </c>
      <c r="E186">
        <v>1</v>
      </c>
      <c r="F186">
        <v>1</v>
      </c>
      <c r="G186">
        <v>30</v>
      </c>
      <c r="H186">
        <v>30</v>
      </c>
      <c r="I186" s="6"/>
      <c r="J186" s="6"/>
      <c r="K186" s="6"/>
      <c r="L186" s="6"/>
      <c r="M186" s="2" t="s">
        <v>263</v>
      </c>
      <c r="N186" s="6" t="s">
        <v>178</v>
      </c>
      <c r="O186" s="6" t="s">
        <v>198</v>
      </c>
      <c r="P186" s="6" t="s">
        <v>7</v>
      </c>
      <c r="Q186" s="6" t="s">
        <v>309</v>
      </c>
      <c r="R186" s="6" t="s">
        <v>616</v>
      </c>
      <c r="S186" s="6" t="s">
        <v>340</v>
      </c>
      <c r="T186" s="6"/>
      <c r="U186" s="6" t="s">
        <v>345</v>
      </c>
      <c r="V186" s="6" t="s">
        <v>348</v>
      </c>
      <c r="W186" s="6" t="s">
        <v>356</v>
      </c>
      <c r="X186" s="6"/>
      <c r="Y186" s="6" t="s">
        <v>394</v>
      </c>
      <c r="Z186" s="6"/>
      <c r="AA186" s="6"/>
      <c r="AB186" s="6"/>
      <c r="AC186" s="6"/>
      <c r="AD186">
        <v>327</v>
      </c>
    </row>
    <row r="187" spans="1:30" x14ac:dyDescent="0.25">
      <c r="A187" s="9">
        <f t="shared" si="2"/>
        <v>42674</v>
      </c>
      <c r="B187">
        <v>50177256</v>
      </c>
      <c r="C187" s="6" t="s">
        <v>159</v>
      </c>
      <c r="D187">
        <v>1</v>
      </c>
      <c r="E187">
        <v>1</v>
      </c>
      <c r="F187">
        <v>1</v>
      </c>
      <c r="G187">
        <v>2</v>
      </c>
      <c r="H187">
        <v>2</v>
      </c>
      <c r="I187" s="6"/>
      <c r="J187" s="6"/>
      <c r="K187" s="6"/>
      <c r="L187" s="6"/>
      <c r="M187" s="2" t="s">
        <v>169</v>
      </c>
      <c r="N187" s="6" t="s">
        <v>218</v>
      </c>
      <c r="O187" s="6" t="s">
        <v>178</v>
      </c>
      <c r="P187" s="6" t="s">
        <v>7</v>
      </c>
      <c r="Q187" s="6" t="s">
        <v>309</v>
      </c>
      <c r="R187" s="6"/>
      <c r="S187" s="6" t="s">
        <v>340</v>
      </c>
      <c r="T187" s="6"/>
      <c r="U187" s="6" t="s">
        <v>345</v>
      </c>
      <c r="V187" s="6" t="s">
        <v>348</v>
      </c>
      <c r="W187" s="6" t="s">
        <v>356</v>
      </c>
      <c r="X187" s="6" t="s">
        <v>369</v>
      </c>
      <c r="Y187" s="6"/>
      <c r="Z187" s="6"/>
      <c r="AA187" s="6"/>
      <c r="AB187" s="6"/>
      <c r="AC187" s="6"/>
      <c r="AD187">
        <v>328</v>
      </c>
    </row>
    <row r="188" spans="1:30" x14ac:dyDescent="0.25">
      <c r="A188" s="9">
        <f t="shared" si="2"/>
        <v>42674</v>
      </c>
      <c r="B188">
        <v>50177257</v>
      </c>
      <c r="C188" s="6" t="s">
        <v>159</v>
      </c>
      <c r="D188">
        <v>1</v>
      </c>
      <c r="E188">
        <v>1</v>
      </c>
      <c r="F188">
        <v>1</v>
      </c>
      <c r="G188">
        <v>1</v>
      </c>
      <c r="H188">
        <v>1</v>
      </c>
      <c r="I188" s="6"/>
      <c r="J188" s="6"/>
      <c r="K188" s="6"/>
      <c r="L188" s="6"/>
      <c r="M188" s="2" t="s">
        <v>169</v>
      </c>
      <c r="N188" s="6" t="s">
        <v>218</v>
      </c>
      <c r="O188" s="6" t="s">
        <v>178</v>
      </c>
      <c r="P188" s="6" t="s">
        <v>7</v>
      </c>
      <c r="Q188" s="6" t="s">
        <v>309</v>
      </c>
      <c r="R188" s="6"/>
      <c r="S188" s="6" t="s">
        <v>340</v>
      </c>
      <c r="T188" s="6"/>
      <c r="U188" s="6" t="s">
        <v>345</v>
      </c>
      <c r="V188" s="6" t="s">
        <v>348</v>
      </c>
      <c r="W188" s="6" t="s">
        <v>356</v>
      </c>
      <c r="X188" s="6" t="s">
        <v>369</v>
      </c>
      <c r="Y188" s="6"/>
      <c r="Z188" s="6"/>
      <c r="AA188" s="6"/>
      <c r="AB188" s="6"/>
      <c r="AC188" s="6"/>
      <c r="AD188">
        <v>329</v>
      </c>
    </row>
    <row r="189" spans="1:30" x14ac:dyDescent="0.25">
      <c r="A189" s="9">
        <f t="shared" si="2"/>
        <v>42734</v>
      </c>
      <c r="B189">
        <v>50180652</v>
      </c>
      <c r="C189" s="6" t="s">
        <v>159</v>
      </c>
      <c r="D189">
        <v>1</v>
      </c>
      <c r="E189">
        <v>1</v>
      </c>
      <c r="F189">
        <v>1</v>
      </c>
      <c r="G189">
        <v>30</v>
      </c>
      <c r="H189">
        <v>30</v>
      </c>
      <c r="I189" s="6"/>
      <c r="J189" s="6"/>
      <c r="K189" s="6"/>
      <c r="L189" s="6"/>
      <c r="M189" s="2" t="s">
        <v>194</v>
      </c>
      <c r="N189" s="6" t="s">
        <v>173</v>
      </c>
      <c r="O189" s="6" t="s">
        <v>278</v>
      </c>
      <c r="P189" s="6" t="s">
        <v>7</v>
      </c>
      <c r="Q189" s="6" t="s">
        <v>309</v>
      </c>
      <c r="R189" s="6" t="s">
        <v>617</v>
      </c>
      <c r="S189" s="6" t="s">
        <v>340</v>
      </c>
      <c r="T189" s="6"/>
      <c r="U189" s="6" t="s">
        <v>345</v>
      </c>
      <c r="V189" s="6" t="s">
        <v>348</v>
      </c>
      <c r="W189" s="6" t="s">
        <v>356</v>
      </c>
      <c r="X189" s="6" t="s">
        <v>384</v>
      </c>
      <c r="Y189" s="6" t="s">
        <v>394</v>
      </c>
      <c r="Z189" s="6"/>
      <c r="AA189" s="6"/>
      <c r="AB189" s="6"/>
      <c r="AC189" s="6"/>
      <c r="AD189">
        <v>332</v>
      </c>
    </row>
    <row r="190" spans="1:30" x14ac:dyDescent="0.25">
      <c r="A190" s="9">
        <f t="shared" si="2"/>
        <v>42734</v>
      </c>
      <c r="B190">
        <v>50180653</v>
      </c>
      <c r="C190" s="6" t="s">
        <v>159</v>
      </c>
      <c r="D190">
        <v>1</v>
      </c>
      <c r="E190">
        <v>1</v>
      </c>
      <c r="F190">
        <v>1</v>
      </c>
      <c r="G190">
        <v>25</v>
      </c>
      <c r="H190">
        <v>25</v>
      </c>
      <c r="I190" s="6"/>
      <c r="J190" s="6"/>
      <c r="K190" s="6"/>
      <c r="L190" s="6"/>
      <c r="M190" s="2" t="s">
        <v>194</v>
      </c>
      <c r="N190" s="6" t="s">
        <v>173</v>
      </c>
      <c r="O190" s="6" t="s">
        <v>278</v>
      </c>
      <c r="P190" s="6" t="s">
        <v>7</v>
      </c>
      <c r="Q190" s="6" t="s">
        <v>309</v>
      </c>
      <c r="R190" s="6" t="s">
        <v>618</v>
      </c>
      <c r="S190" s="6" t="s">
        <v>340</v>
      </c>
      <c r="T190" s="6"/>
      <c r="U190" s="6" t="s">
        <v>345</v>
      </c>
      <c r="V190" s="6" t="s">
        <v>348</v>
      </c>
      <c r="W190" s="6" t="s">
        <v>356</v>
      </c>
      <c r="X190" s="6" t="s">
        <v>384</v>
      </c>
      <c r="Y190" s="6" t="s">
        <v>394</v>
      </c>
      <c r="Z190" s="6"/>
      <c r="AA190" s="6"/>
      <c r="AB190" s="6"/>
      <c r="AC190" s="6"/>
      <c r="AD190">
        <v>333</v>
      </c>
    </row>
    <row r="191" spans="1:30" x14ac:dyDescent="0.25">
      <c r="A191" s="9">
        <f t="shared" si="2"/>
        <v>42573</v>
      </c>
      <c r="B191">
        <v>50181731</v>
      </c>
      <c r="C191" s="6" t="s">
        <v>159</v>
      </c>
      <c r="D191">
        <v>1</v>
      </c>
      <c r="E191">
        <v>1</v>
      </c>
      <c r="F191">
        <v>1</v>
      </c>
      <c r="G191">
        <v>4</v>
      </c>
      <c r="H191">
        <v>4</v>
      </c>
      <c r="I191" s="6"/>
      <c r="J191" s="6"/>
      <c r="K191" s="6"/>
      <c r="L191" s="6"/>
      <c r="M191" s="2" t="s">
        <v>192</v>
      </c>
      <c r="N191" s="6" t="s">
        <v>192</v>
      </c>
      <c r="O191" s="6" t="s">
        <v>551</v>
      </c>
      <c r="P191" s="6" t="s">
        <v>449</v>
      </c>
      <c r="Q191" s="6" t="s">
        <v>306</v>
      </c>
      <c r="R191" s="6"/>
      <c r="S191" s="6" t="s">
        <v>340</v>
      </c>
      <c r="T191" s="6"/>
      <c r="U191" s="6" t="s">
        <v>345</v>
      </c>
      <c r="V191" s="6" t="s">
        <v>348</v>
      </c>
      <c r="W191" s="6" t="s">
        <v>353</v>
      </c>
      <c r="X191" s="6" t="s">
        <v>454</v>
      </c>
      <c r="Y191" s="6"/>
      <c r="Z191" s="6" t="s">
        <v>454</v>
      </c>
      <c r="AA191" s="6"/>
      <c r="AB191" s="6"/>
      <c r="AC191" s="6"/>
      <c r="AD191">
        <v>339</v>
      </c>
    </row>
    <row r="192" spans="1:30" x14ac:dyDescent="0.25">
      <c r="A192" s="9">
        <f t="shared" si="2"/>
        <v>42579</v>
      </c>
      <c r="B192">
        <v>50178984</v>
      </c>
      <c r="C192" s="6" t="s">
        <v>159</v>
      </c>
      <c r="D192">
        <v>1</v>
      </c>
      <c r="E192">
        <v>1</v>
      </c>
      <c r="F192">
        <v>1</v>
      </c>
      <c r="G192">
        <v>28</v>
      </c>
      <c r="H192">
        <v>26</v>
      </c>
      <c r="I192" s="6"/>
      <c r="J192" s="6"/>
      <c r="K192" s="6"/>
      <c r="L192" s="6"/>
      <c r="M192" s="2" t="s">
        <v>186</v>
      </c>
      <c r="N192" s="6" t="s">
        <v>179</v>
      </c>
      <c r="O192" s="6" t="s">
        <v>548</v>
      </c>
      <c r="P192" s="6" t="s">
        <v>8</v>
      </c>
      <c r="Q192" s="6" t="s">
        <v>308</v>
      </c>
      <c r="R192" s="6" t="s">
        <v>520</v>
      </c>
      <c r="S192" s="6" t="s">
        <v>340</v>
      </c>
      <c r="T192" s="6"/>
      <c r="U192" s="6" t="s">
        <v>345</v>
      </c>
      <c r="V192" s="6" t="s">
        <v>348</v>
      </c>
      <c r="W192" s="6" t="s">
        <v>357</v>
      </c>
      <c r="X192" s="6" t="s">
        <v>372</v>
      </c>
      <c r="Y192" s="6" t="s">
        <v>640</v>
      </c>
      <c r="Z192" s="6"/>
      <c r="AA192" s="6"/>
      <c r="AB192" s="6"/>
      <c r="AC192" s="6"/>
      <c r="AD192">
        <v>340</v>
      </c>
    </row>
    <row r="193" spans="1:30" x14ac:dyDescent="0.25">
      <c r="A193" s="9">
        <f t="shared" si="2"/>
        <v>42632</v>
      </c>
      <c r="B193">
        <v>50181641</v>
      </c>
      <c r="C193" s="6" t="s">
        <v>159</v>
      </c>
      <c r="D193">
        <v>1</v>
      </c>
      <c r="E193">
        <v>1</v>
      </c>
      <c r="F193">
        <v>1</v>
      </c>
      <c r="G193">
        <v>25</v>
      </c>
      <c r="H193">
        <v>25</v>
      </c>
      <c r="I193" s="6"/>
      <c r="J193" s="6"/>
      <c r="K193" s="6"/>
      <c r="L193" s="6"/>
      <c r="M193" s="2" t="s">
        <v>177</v>
      </c>
      <c r="N193" s="6" t="s">
        <v>177</v>
      </c>
      <c r="O193" s="6" t="s">
        <v>170</v>
      </c>
      <c r="P193" s="6" t="s">
        <v>8</v>
      </c>
      <c r="Q193" s="6" t="s">
        <v>308</v>
      </c>
      <c r="R193" s="6" t="s">
        <v>570</v>
      </c>
      <c r="S193" s="6" t="s">
        <v>340</v>
      </c>
      <c r="T193" s="6"/>
      <c r="U193" s="6" t="s">
        <v>345</v>
      </c>
      <c r="V193" s="6" t="s">
        <v>348</v>
      </c>
      <c r="W193" s="6" t="s">
        <v>351</v>
      </c>
      <c r="X193" s="6"/>
      <c r="Y193" s="6" t="s">
        <v>394</v>
      </c>
      <c r="Z193" s="6"/>
      <c r="AA193" s="6"/>
      <c r="AB193" s="6"/>
      <c r="AC193" s="6"/>
      <c r="AD193">
        <v>341</v>
      </c>
    </row>
    <row r="194" spans="1:30" x14ac:dyDescent="0.25">
      <c r="A194" s="9">
        <f t="shared" si="2"/>
        <v>42559</v>
      </c>
      <c r="B194">
        <v>50180425</v>
      </c>
      <c r="C194" s="6" t="s">
        <v>159</v>
      </c>
      <c r="D194">
        <v>1</v>
      </c>
      <c r="E194">
        <v>1</v>
      </c>
      <c r="F194">
        <v>1</v>
      </c>
      <c r="G194">
        <v>4</v>
      </c>
      <c r="H194">
        <v>4</v>
      </c>
      <c r="I194" s="6"/>
      <c r="J194" s="6"/>
      <c r="K194" s="6"/>
      <c r="L194" s="6"/>
      <c r="M194" s="2" t="s">
        <v>200</v>
      </c>
      <c r="N194" s="6" t="s">
        <v>237</v>
      </c>
      <c r="O194" s="6" t="s">
        <v>225</v>
      </c>
      <c r="P194" s="6" t="s">
        <v>54</v>
      </c>
      <c r="Q194" s="6" t="s">
        <v>311</v>
      </c>
      <c r="R194" s="6"/>
      <c r="S194" s="6" t="s">
        <v>341</v>
      </c>
      <c r="T194" s="6"/>
      <c r="U194" s="6"/>
      <c r="V194" s="6" t="s">
        <v>348</v>
      </c>
      <c r="W194" s="6" t="s">
        <v>358</v>
      </c>
      <c r="X194" s="6"/>
      <c r="Y194" s="6"/>
      <c r="Z194" s="6"/>
      <c r="AA194" s="6"/>
      <c r="AB194" s="6"/>
      <c r="AC194" s="6"/>
      <c r="AD194">
        <v>346</v>
      </c>
    </row>
    <row r="195" spans="1:30" x14ac:dyDescent="0.25">
      <c r="A195" s="9">
        <f t="shared" ref="A195:A258" si="3">IF(M195="","",DATEVALUE(M195))</f>
        <v>42573</v>
      </c>
      <c r="B195">
        <v>50171416</v>
      </c>
      <c r="C195" s="6" t="s">
        <v>159</v>
      </c>
      <c r="D195">
        <v>1</v>
      </c>
      <c r="E195">
        <v>1</v>
      </c>
      <c r="F195">
        <v>1</v>
      </c>
      <c r="G195">
        <v>15</v>
      </c>
      <c r="H195">
        <v>15</v>
      </c>
      <c r="I195" s="6"/>
      <c r="J195" s="6"/>
      <c r="K195" s="6"/>
      <c r="L195" s="6"/>
      <c r="M195" s="2" t="s">
        <v>192</v>
      </c>
      <c r="N195" s="6" t="s">
        <v>238</v>
      </c>
      <c r="O195" s="6" t="s">
        <v>211</v>
      </c>
      <c r="P195" s="6" t="s">
        <v>54</v>
      </c>
      <c r="Q195" s="6" t="s">
        <v>311</v>
      </c>
      <c r="R195" s="6"/>
      <c r="S195" s="6" t="s">
        <v>341</v>
      </c>
      <c r="T195" s="6"/>
      <c r="U195" s="6" t="s">
        <v>347</v>
      </c>
      <c r="V195" s="6" t="s">
        <v>348</v>
      </c>
      <c r="W195" s="6" t="s">
        <v>358</v>
      </c>
      <c r="X195" s="6"/>
      <c r="Y195" s="6" t="s">
        <v>414</v>
      </c>
      <c r="Z195" s="6"/>
      <c r="AA195" s="6"/>
      <c r="AB195" s="6"/>
      <c r="AC195" s="6"/>
      <c r="AD195">
        <v>347</v>
      </c>
    </row>
    <row r="196" spans="1:30" x14ac:dyDescent="0.25">
      <c r="A196" s="9">
        <f t="shared" si="3"/>
        <v>42593</v>
      </c>
      <c r="B196">
        <v>50178449</v>
      </c>
      <c r="C196" s="6" t="s">
        <v>159</v>
      </c>
      <c r="D196">
        <v>1</v>
      </c>
      <c r="E196">
        <v>1</v>
      </c>
      <c r="F196">
        <v>1</v>
      </c>
      <c r="G196">
        <v>4</v>
      </c>
      <c r="H196">
        <v>4</v>
      </c>
      <c r="I196" s="6"/>
      <c r="J196" s="6"/>
      <c r="K196" s="6"/>
      <c r="L196" s="6"/>
      <c r="M196" s="2" t="s">
        <v>187</v>
      </c>
      <c r="N196" s="6" t="s">
        <v>239</v>
      </c>
      <c r="O196" s="6" t="s">
        <v>201</v>
      </c>
      <c r="P196" s="6" t="s">
        <v>54</v>
      </c>
      <c r="Q196" s="6" t="s">
        <v>311</v>
      </c>
      <c r="R196" s="6"/>
      <c r="S196" s="6" t="s">
        <v>341</v>
      </c>
      <c r="T196" s="6"/>
      <c r="U196" s="6"/>
      <c r="V196" s="6" t="s">
        <v>349</v>
      </c>
      <c r="W196" s="6" t="s">
        <v>358</v>
      </c>
      <c r="X196" s="6"/>
      <c r="Y196" s="6"/>
      <c r="Z196" s="6"/>
      <c r="AA196" s="6"/>
      <c r="AB196" s="6"/>
      <c r="AC196" s="6"/>
      <c r="AD196">
        <v>348</v>
      </c>
    </row>
    <row r="197" spans="1:30" x14ac:dyDescent="0.25">
      <c r="A197" s="9">
        <f t="shared" si="3"/>
        <v>42674</v>
      </c>
      <c r="B197">
        <v>50175076</v>
      </c>
      <c r="C197" s="6" t="s">
        <v>159</v>
      </c>
      <c r="D197">
        <v>1</v>
      </c>
      <c r="E197">
        <v>1</v>
      </c>
      <c r="F197">
        <v>1</v>
      </c>
      <c r="G197">
        <v>6</v>
      </c>
      <c r="H197">
        <v>1</v>
      </c>
      <c r="I197" s="6"/>
      <c r="J197" s="6"/>
      <c r="K197" s="6"/>
      <c r="L197" s="6"/>
      <c r="M197" s="2" t="s">
        <v>169</v>
      </c>
      <c r="N197" s="6" t="s">
        <v>220</v>
      </c>
      <c r="O197" s="6" t="s">
        <v>271</v>
      </c>
      <c r="P197" s="6" t="s">
        <v>54</v>
      </c>
      <c r="Q197" s="6" t="s">
        <v>311</v>
      </c>
      <c r="R197" s="6"/>
      <c r="S197" s="6" t="s">
        <v>341</v>
      </c>
      <c r="T197" s="6"/>
      <c r="U197" s="6" t="s">
        <v>347</v>
      </c>
      <c r="V197" s="6" t="s">
        <v>348</v>
      </c>
      <c r="W197" s="6" t="s">
        <v>358</v>
      </c>
      <c r="X197" s="6" t="s">
        <v>369</v>
      </c>
      <c r="Y197" s="6"/>
      <c r="Z197" s="6"/>
      <c r="AA197" s="6"/>
      <c r="AB197" s="6"/>
      <c r="AC197" s="6"/>
      <c r="AD197">
        <v>349</v>
      </c>
    </row>
    <row r="198" spans="1:30" x14ac:dyDescent="0.25">
      <c r="A198" s="9">
        <f t="shared" si="3"/>
        <v>42548</v>
      </c>
      <c r="B198">
        <v>50180424</v>
      </c>
      <c r="C198" s="6" t="s">
        <v>159</v>
      </c>
      <c r="D198">
        <v>1</v>
      </c>
      <c r="E198">
        <v>1</v>
      </c>
      <c r="F198">
        <v>1</v>
      </c>
      <c r="G198">
        <v>3</v>
      </c>
      <c r="H198">
        <v>3</v>
      </c>
      <c r="I198" s="6"/>
      <c r="J198" s="6"/>
      <c r="K198" s="6"/>
      <c r="L198" s="6"/>
      <c r="M198" s="2" t="s">
        <v>209</v>
      </c>
      <c r="N198" s="6" t="s">
        <v>237</v>
      </c>
      <c r="O198" s="6" t="s">
        <v>553</v>
      </c>
      <c r="P198" s="6" t="s">
        <v>55</v>
      </c>
      <c r="Q198" s="6" t="s">
        <v>312</v>
      </c>
      <c r="R198" s="6"/>
      <c r="S198" s="6" t="s">
        <v>341</v>
      </c>
      <c r="T198" s="6"/>
      <c r="U198" s="6"/>
      <c r="V198" s="6" t="s">
        <v>348</v>
      </c>
      <c r="W198" s="6" t="s">
        <v>358</v>
      </c>
      <c r="X198" s="6"/>
      <c r="Y198" s="6"/>
      <c r="Z198" s="6"/>
      <c r="AA198" s="6"/>
      <c r="AB198" s="6"/>
      <c r="AC198" s="6"/>
      <c r="AD198">
        <v>350</v>
      </c>
    </row>
    <row r="199" spans="1:30" x14ac:dyDescent="0.25">
      <c r="A199" s="9">
        <f t="shared" si="3"/>
        <v>42573</v>
      </c>
      <c r="B199">
        <v>50172157</v>
      </c>
      <c r="C199" s="6" t="s">
        <v>159</v>
      </c>
      <c r="D199">
        <v>1</v>
      </c>
      <c r="E199">
        <v>1</v>
      </c>
      <c r="F199">
        <v>1</v>
      </c>
      <c r="G199">
        <v>15</v>
      </c>
      <c r="H199">
        <v>15</v>
      </c>
      <c r="I199" s="6"/>
      <c r="J199" s="6"/>
      <c r="K199" s="6"/>
      <c r="L199" s="6"/>
      <c r="M199" s="2" t="s">
        <v>192</v>
      </c>
      <c r="N199" s="6" t="s">
        <v>238</v>
      </c>
      <c r="O199" s="6" t="s">
        <v>211</v>
      </c>
      <c r="P199" s="6" t="s">
        <v>55</v>
      </c>
      <c r="Q199" s="6" t="s">
        <v>312</v>
      </c>
      <c r="R199" s="6"/>
      <c r="S199" s="6" t="s">
        <v>341</v>
      </c>
      <c r="T199" s="6"/>
      <c r="U199" s="6" t="s">
        <v>347</v>
      </c>
      <c r="V199" s="6" t="s">
        <v>348</v>
      </c>
      <c r="W199" s="6" t="s">
        <v>358</v>
      </c>
      <c r="X199" s="6"/>
      <c r="Y199" s="6" t="s">
        <v>414</v>
      </c>
      <c r="Z199" s="6"/>
      <c r="AA199" s="6"/>
      <c r="AB199" s="6"/>
      <c r="AC199" s="6"/>
      <c r="AD199">
        <v>351</v>
      </c>
    </row>
    <row r="200" spans="1:30" x14ac:dyDescent="0.25">
      <c r="A200" s="9">
        <f t="shared" si="3"/>
        <v>42593</v>
      </c>
      <c r="B200">
        <v>50173086</v>
      </c>
      <c r="C200" s="6" t="s">
        <v>159</v>
      </c>
      <c r="D200">
        <v>1</v>
      </c>
      <c r="E200">
        <v>1</v>
      </c>
      <c r="F200">
        <v>1</v>
      </c>
      <c r="G200">
        <v>15</v>
      </c>
      <c r="H200">
        <v>15</v>
      </c>
      <c r="I200" s="6"/>
      <c r="J200" s="6"/>
      <c r="K200" s="6"/>
      <c r="L200" s="6"/>
      <c r="M200" s="2" t="s">
        <v>187</v>
      </c>
      <c r="N200" s="6" t="s">
        <v>240</v>
      </c>
      <c r="O200" s="6" t="s">
        <v>201</v>
      </c>
      <c r="P200" s="6" t="s">
        <v>55</v>
      </c>
      <c r="Q200" s="6" t="s">
        <v>312</v>
      </c>
      <c r="R200" s="6"/>
      <c r="S200" s="6" t="s">
        <v>341</v>
      </c>
      <c r="T200" s="6"/>
      <c r="U200" s="6" t="s">
        <v>347</v>
      </c>
      <c r="V200" s="6" t="s">
        <v>348</v>
      </c>
      <c r="W200" s="6" t="s">
        <v>358</v>
      </c>
      <c r="X200" s="6"/>
      <c r="Y200" s="6" t="s">
        <v>664</v>
      </c>
      <c r="Z200" s="6"/>
      <c r="AA200" s="6"/>
      <c r="AB200" s="6"/>
      <c r="AC200" s="6"/>
      <c r="AD200">
        <v>352</v>
      </c>
    </row>
    <row r="201" spans="1:30" x14ac:dyDescent="0.25">
      <c r="A201" s="9">
        <f t="shared" si="3"/>
        <v>42674</v>
      </c>
      <c r="B201">
        <v>50173089</v>
      </c>
      <c r="C201" s="6" t="s">
        <v>159</v>
      </c>
      <c r="D201">
        <v>1</v>
      </c>
      <c r="E201">
        <v>1</v>
      </c>
      <c r="F201">
        <v>1</v>
      </c>
      <c r="G201">
        <v>15</v>
      </c>
      <c r="H201">
        <v>15</v>
      </c>
      <c r="I201" s="6"/>
      <c r="J201" s="6"/>
      <c r="K201" s="6"/>
      <c r="L201" s="6"/>
      <c r="M201" s="2" t="s">
        <v>169</v>
      </c>
      <c r="N201" s="6" t="s">
        <v>241</v>
      </c>
      <c r="O201" s="6" t="s">
        <v>271</v>
      </c>
      <c r="P201" s="6" t="s">
        <v>55</v>
      </c>
      <c r="Q201" s="6" t="s">
        <v>312</v>
      </c>
      <c r="R201" s="6"/>
      <c r="S201" s="6" t="s">
        <v>341</v>
      </c>
      <c r="T201" s="6"/>
      <c r="U201" s="6" t="s">
        <v>347</v>
      </c>
      <c r="V201" s="6" t="s">
        <v>348</v>
      </c>
      <c r="W201" s="6" t="s">
        <v>358</v>
      </c>
      <c r="X201" s="6"/>
      <c r="Y201" s="6" t="s">
        <v>414</v>
      </c>
      <c r="Z201" s="6"/>
      <c r="AA201" s="6"/>
      <c r="AB201" s="6"/>
      <c r="AC201" s="6"/>
      <c r="AD201">
        <v>353</v>
      </c>
    </row>
    <row r="202" spans="1:30" x14ac:dyDescent="0.25">
      <c r="A202" s="9">
        <f t="shared" si="3"/>
        <v>42643</v>
      </c>
      <c r="B202">
        <v>50169423</v>
      </c>
      <c r="C202" s="6" t="s">
        <v>159</v>
      </c>
      <c r="D202">
        <v>1</v>
      </c>
      <c r="E202">
        <v>1</v>
      </c>
      <c r="F202">
        <v>1</v>
      </c>
      <c r="G202">
        <v>25</v>
      </c>
      <c r="H202">
        <v>25</v>
      </c>
      <c r="I202" s="6"/>
      <c r="J202" s="6"/>
      <c r="K202" s="6"/>
      <c r="L202" s="6"/>
      <c r="M202" s="2" t="s">
        <v>190</v>
      </c>
      <c r="N202" s="6" t="s">
        <v>242</v>
      </c>
      <c r="O202" s="6" t="s">
        <v>183</v>
      </c>
      <c r="P202" s="6" t="s">
        <v>64</v>
      </c>
      <c r="Q202" s="6" t="s">
        <v>313</v>
      </c>
      <c r="R202" s="6"/>
      <c r="S202" s="6" t="s">
        <v>341</v>
      </c>
      <c r="T202" s="6"/>
      <c r="U202" s="6" t="s">
        <v>347</v>
      </c>
      <c r="V202" s="6" t="s">
        <v>348</v>
      </c>
      <c r="W202" s="6" t="s">
        <v>362</v>
      </c>
      <c r="X202" s="6"/>
      <c r="Y202" s="6" t="s">
        <v>415</v>
      </c>
      <c r="Z202" s="6"/>
      <c r="AA202" s="6"/>
      <c r="AB202" s="6"/>
      <c r="AC202" s="6"/>
      <c r="AD202">
        <v>355</v>
      </c>
    </row>
    <row r="203" spans="1:30" x14ac:dyDescent="0.25">
      <c r="A203" s="9">
        <f t="shared" si="3"/>
        <v>42657</v>
      </c>
      <c r="B203">
        <v>50180222</v>
      </c>
      <c r="C203" s="6" t="s">
        <v>159</v>
      </c>
      <c r="D203">
        <v>1</v>
      </c>
      <c r="E203">
        <v>1</v>
      </c>
      <c r="F203">
        <v>1</v>
      </c>
      <c r="G203">
        <v>15</v>
      </c>
      <c r="H203">
        <v>15</v>
      </c>
      <c r="I203" s="6"/>
      <c r="J203" s="6"/>
      <c r="K203" s="6"/>
      <c r="L203" s="6"/>
      <c r="M203" s="2" t="s">
        <v>168</v>
      </c>
      <c r="N203" s="6" t="s">
        <v>217</v>
      </c>
      <c r="O203" s="6" t="s">
        <v>180</v>
      </c>
      <c r="P203" s="6" t="s">
        <v>64</v>
      </c>
      <c r="Q203" s="6" t="s">
        <v>313</v>
      </c>
      <c r="R203" s="6"/>
      <c r="S203" s="6" t="s">
        <v>341</v>
      </c>
      <c r="T203" s="6"/>
      <c r="U203" s="6"/>
      <c r="V203" s="6" t="s">
        <v>349</v>
      </c>
      <c r="W203" s="6" t="s">
        <v>362</v>
      </c>
      <c r="X203" s="6"/>
      <c r="Y203" s="6"/>
      <c r="Z203" s="6"/>
      <c r="AA203" s="6"/>
      <c r="AB203" s="6"/>
      <c r="AC203" s="6"/>
      <c r="AD203">
        <v>356</v>
      </c>
    </row>
    <row r="204" spans="1:30" x14ac:dyDescent="0.25">
      <c r="A204" s="9">
        <f t="shared" si="3"/>
        <v>42551</v>
      </c>
      <c r="B204">
        <v>50167416</v>
      </c>
      <c r="C204" s="6" t="s">
        <v>159</v>
      </c>
      <c r="D204">
        <v>1</v>
      </c>
      <c r="E204">
        <v>1</v>
      </c>
      <c r="F204">
        <v>0</v>
      </c>
      <c r="G204">
        <v>10</v>
      </c>
      <c r="H204">
        <v>10</v>
      </c>
      <c r="I204" s="6"/>
      <c r="J204" s="6"/>
      <c r="K204" s="6"/>
      <c r="L204" s="6"/>
      <c r="M204" s="2" t="s">
        <v>191</v>
      </c>
      <c r="N204" s="6" t="s">
        <v>446</v>
      </c>
      <c r="O204" s="6" t="s">
        <v>554</v>
      </c>
      <c r="P204" s="6" t="s">
        <v>65</v>
      </c>
      <c r="Q204" s="6" t="s">
        <v>451</v>
      </c>
      <c r="R204" s="6"/>
      <c r="S204" s="6" t="s">
        <v>341</v>
      </c>
      <c r="T204" s="6"/>
      <c r="U204" s="6" t="s">
        <v>345</v>
      </c>
      <c r="V204" s="6" t="s">
        <v>348</v>
      </c>
      <c r="W204" s="6" t="s">
        <v>356</v>
      </c>
      <c r="X204" s="6"/>
      <c r="Y204" s="6" t="s">
        <v>458</v>
      </c>
      <c r="Z204" s="6"/>
      <c r="AA204" s="6"/>
      <c r="AB204" s="6"/>
      <c r="AC204" s="6"/>
      <c r="AD204">
        <v>357</v>
      </c>
    </row>
    <row r="205" spans="1:30" x14ac:dyDescent="0.25">
      <c r="A205" s="9">
        <f t="shared" si="3"/>
        <v>42573</v>
      </c>
      <c r="B205">
        <v>50181261</v>
      </c>
      <c r="C205" s="6" t="s">
        <v>159</v>
      </c>
      <c r="D205">
        <v>1</v>
      </c>
      <c r="E205">
        <v>1</v>
      </c>
      <c r="F205">
        <v>0</v>
      </c>
      <c r="G205">
        <v>25</v>
      </c>
      <c r="H205">
        <v>25</v>
      </c>
      <c r="I205" s="6"/>
      <c r="J205" s="6"/>
      <c r="K205" s="6"/>
      <c r="L205" s="6"/>
      <c r="M205" s="2" t="s">
        <v>192</v>
      </c>
      <c r="N205" s="6" t="s">
        <v>178</v>
      </c>
      <c r="O205" s="6" t="s">
        <v>267</v>
      </c>
      <c r="P205" s="6" t="s">
        <v>99</v>
      </c>
      <c r="Q205" s="6" t="s">
        <v>314</v>
      </c>
      <c r="R205" s="6"/>
      <c r="S205" s="6" t="s">
        <v>341</v>
      </c>
      <c r="T205" s="6"/>
      <c r="U205" s="6" t="s">
        <v>347</v>
      </c>
      <c r="V205" s="6" t="s">
        <v>348</v>
      </c>
      <c r="W205" s="6" t="s">
        <v>360</v>
      </c>
      <c r="X205" s="6"/>
      <c r="Y205" s="6" t="s">
        <v>436</v>
      </c>
      <c r="Z205" s="6"/>
      <c r="AA205" s="6"/>
      <c r="AB205" s="6"/>
      <c r="AC205" s="6"/>
      <c r="AD205">
        <v>358</v>
      </c>
    </row>
    <row r="206" spans="1:30" x14ac:dyDescent="0.25">
      <c r="A206" s="9">
        <f t="shared" si="3"/>
        <v>42597</v>
      </c>
      <c r="B206">
        <v>50180212</v>
      </c>
      <c r="C206" s="6" t="s">
        <v>159</v>
      </c>
      <c r="D206">
        <v>1</v>
      </c>
      <c r="E206">
        <v>1</v>
      </c>
      <c r="F206">
        <v>0</v>
      </c>
      <c r="G206">
        <v>25</v>
      </c>
      <c r="H206">
        <v>25</v>
      </c>
      <c r="I206" s="6"/>
      <c r="J206" s="6"/>
      <c r="K206" s="6"/>
      <c r="L206" s="6"/>
      <c r="M206" s="2" t="s">
        <v>163</v>
      </c>
      <c r="N206" s="6" t="s">
        <v>167</v>
      </c>
      <c r="O206" s="6" t="s">
        <v>200</v>
      </c>
      <c r="P206" s="6" t="s">
        <v>99</v>
      </c>
      <c r="Q206" s="6" t="s">
        <v>314</v>
      </c>
      <c r="R206" s="6"/>
      <c r="S206" s="6" t="s">
        <v>341</v>
      </c>
      <c r="T206" s="6"/>
      <c r="U206" s="6" t="s">
        <v>347</v>
      </c>
      <c r="V206" s="6" t="s">
        <v>348</v>
      </c>
      <c r="W206" s="6" t="s">
        <v>360</v>
      </c>
      <c r="X206" s="6"/>
      <c r="Y206" s="6" t="s">
        <v>665</v>
      </c>
      <c r="Z206" s="6"/>
      <c r="AA206" s="6"/>
      <c r="AB206" s="6"/>
      <c r="AC206" s="6"/>
      <c r="AD206">
        <v>359</v>
      </c>
    </row>
    <row r="207" spans="1:30" x14ac:dyDescent="0.25">
      <c r="A207" s="9">
        <f t="shared" si="3"/>
        <v>42625</v>
      </c>
      <c r="B207">
        <v>50181555</v>
      </c>
      <c r="C207" s="6" t="s">
        <v>159</v>
      </c>
      <c r="D207">
        <v>1</v>
      </c>
      <c r="E207">
        <v>1</v>
      </c>
      <c r="F207">
        <v>0</v>
      </c>
      <c r="G207">
        <v>25</v>
      </c>
      <c r="H207">
        <v>25</v>
      </c>
      <c r="I207" s="6"/>
      <c r="J207" s="6"/>
      <c r="K207" s="6"/>
      <c r="L207" s="6"/>
      <c r="M207" s="2" t="s">
        <v>166</v>
      </c>
      <c r="N207" s="6" t="s">
        <v>166</v>
      </c>
      <c r="O207" s="6" t="s">
        <v>198</v>
      </c>
      <c r="P207" s="6" t="s">
        <v>99</v>
      </c>
      <c r="Q207" s="6" t="s">
        <v>314</v>
      </c>
      <c r="R207" s="6"/>
      <c r="S207" s="6" t="s">
        <v>341</v>
      </c>
      <c r="T207" s="6"/>
      <c r="U207" s="6" t="s">
        <v>347</v>
      </c>
      <c r="V207" s="6" t="s">
        <v>348</v>
      </c>
      <c r="W207" s="6" t="s">
        <v>360</v>
      </c>
      <c r="X207" s="6"/>
      <c r="Y207" s="6" t="s">
        <v>394</v>
      </c>
      <c r="Z207" s="6"/>
      <c r="AA207" s="6"/>
      <c r="AB207" s="6"/>
      <c r="AC207" s="6"/>
      <c r="AD207">
        <v>360</v>
      </c>
    </row>
    <row r="208" spans="1:30" x14ac:dyDescent="0.25">
      <c r="A208" s="9">
        <f t="shared" si="3"/>
        <v>42646</v>
      </c>
      <c r="B208">
        <v>50181825</v>
      </c>
      <c r="C208" s="6" t="s">
        <v>159</v>
      </c>
      <c r="D208">
        <v>1</v>
      </c>
      <c r="E208">
        <v>1</v>
      </c>
      <c r="F208">
        <v>0</v>
      </c>
      <c r="G208">
        <v>25</v>
      </c>
      <c r="H208">
        <v>25</v>
      </c>
      <c r="I208" s="6"/>
      <c r="J208" s="6"/>
      <c r="K208" s="6"/>
      <c r="L208" s="6"/>
      <c r="M208" s="2" t="s">
        <v>164</v>
      </c>
      <c r="N208" s="6" t="s">
        <v>177</v>
      </c>
      <c r="O208" s="6" t="s">
        <v>199</v>
      </c>
      <c r="P208" s="6" t="s">
        <v>99</v>
      </c>
      <c r="Q208" s="6" t="s">
        <v>314</v>
      </c>
      <c r="R208" s="6"/>
      <c r="S208" s="6" t="s">
        <v>341</v>
      </c>
      <c r="T208" s="6"/>
      <c r="U208" s="6" t="s">
        <v>347</v>
      </c>
      <c r="V208" s="6" t="s">
        <v>348</v>
      </c>
      <c r="W208" s="6" t="s">
        <v>360</v>
      </c>
      <c r="X208" s="6"/>
      <c r="Y208" s="6" t="s">
        <v>394</v>
      </c>
      <c r="Z208" s="6"/>
      <c r="AA208" s="6"/>
      <c r="AB208" s="6"/>
      <c r="AC208" s="6"/>
      <c r="AD208">
        <v>361</v>
      </c>
    </row>
    <row r="209" spans="1:30" x14ac:dyDescent="0.25">
      <c r="A209" s="9">
        <f t="shared" si="3"/>
        <v>42611</v>
      </c>
      <c r="B209">
        <v>50181262</v>
      </c>
      <c r="C209" s="6" t="s">
        <v>159</v>
      </c>
      <c r="D209">
        <v>1</v>
      </c>
      <c r="E209">
        <v>1</v>
      </c>
      <c r="F209">
        <v>0</v>
      </c>
      <c r="G209">
        <v>30</v>
      </c>
      <c r="H209">
        <v>30</v>
      </c>
      <c r="I209" s="6"/>
      <c r="J209" s="6"/>
      <c r="K209" s="6"/>
      <c r="L209" s="6"/>
      <c r="M209" s="2" t="s">
        <v>178</v>
      </c>
      <c r="N209" s="6" t="s">
        <v>178</v>
      </c>
      <c r="O209" s="6" t="s">
        <v>192</v>
      </c>
      <c r="P209" s="6" t="s">
        <v>100</v>
      </c>
      <c r="Q209" s="6" t="s">
        <v>314</v>
      </c>
      <c r="R209" s="6"/>
      <c r="S209" s="6" t="s">
        <v>341</v>
      </c>
      <c r="T209" s="6"/>
      <c r="U209" s="6" t="s">
        <v>347</v>
      </c>
      <c r="V209" s="6" t="s">
        <v>348</v>
      </c>
      <c r="W209" s="6" t="s">
        <v>358</v>
      </c>
      <c r="X209" s="6"/>
      <c r="Y209" s="6" t="s">
        <v>394</v>
      </c>
      <c r="Z209" s="6"/>
      <c r="AA209" s="6"/>
      <c r="AB209" s="6"/>
      <c r="AC209" s="6"/>
      <c r="AD209">
        <v>365</v>
      </c>
    </row>
    <row r="210" spans="1:30" x14ac:dyDescent="0.25">
      <c r="A210" s="9">
        <f t="shared" si="3"/>
        <v>42579</v>
      </c>
      <c r="B210">
        <v>50180213</v>
      </c>
      <c r="C210" s="6" t="s">
        <v>159</v>
      </c>
      <c r="D210">
        <v>1</v>
      </c>
      <c r="E210">
        <v>1</v>
      </c>
      <c r="F210">
        <v>1</v>
      </c>
      <c r="G210">
        <v>25</v>
      </c>
      <c r="H210">
        <v>25</v>
      </c>
      <c r="I210" s="6"/>
      <c r="J210" s="6"/>
      <c r="K210" s="6"/>
      <c r="L210" s="6"/>
      <c r="M210" s="2" t="s">
        <v>186</v>
      </c>
      <c r="N210" s="6" t="s">
        <v>167</v>
      </c>
      <c r="O210" s="6" t="s">
        <v>226</v>
      </c>
      <c r="P210" s="6" t="s">
        <v>82</v>
      </c>
      <c r="Q210" s="6" t="s">
        <v>315</v>
      </c>
      <c r="R210" s="6"/>
      <c r="S210" s="6" t="s">
        <v>341</v>
      </c>
      <c r="T210" s="6"/>
      <c r="U210" s="6" t="s">
        <v>347</v>
      </c>
      <c r="V210" s="6" t="s">
        <v>348</v>
      </c>
      <c r="W210" s="6" t="s">
        <v>355</v>
      </c>
      <c r="X210" s="6"/>
      <c r="Y210" s="6" t="s">
        <v>436</v>
      </c>
      <c r="Z210" s="6"/>
      <c r="AA210" s="6"/>
      <c r="AB210" s="6"/>
      <c r="AC210" s="6"/>
      <c r="AD210">
        <v>369</v>
      </c>
    </row>
    <row r="211" spans="1:30" x14ac:dyDescent="0.25">
      <c r="A211" s="9">
        <f t="shared" si="3"/>
        <v>42579</v>
      </c>
      <c r="B211">
        <v>50181688</v>
      </c>
      <c r="C211" s="6" t="s">
        <v>159</v>
      </c>
      <c r="D211">
        <v>1</v>
      </c>
      <c r="E211">
        <v>1</v>
      </c>
      <c r="F211">
        <v>1</v>
      </c>
      <c r="G211">
        <v>25</v>
      </c>
      <c r="H211">
        <v>25</v>
      </c>
      <c r="I211" s="6"/>
      <c r="J211" s="6"/>
      <c r="K211" s="6"/>
      <c r="L211" s="6"/>
      <c r="M211" s="2" t="s">
        <v>186</v>
      </c>
      <c r="N211" s="6" t="s">
        <v>164</v>
      </c>
      <c r="O211" s="6" t="s">
        <v>226</v>
      </c>
      <c r="P211" s="6" t="s">
        <v>82</v>
      </c>
      <c r="Q211" s="6" t="s">
        <v>315</v>
      </c>
      <c r="R211" s="6"/>
      <c r="S211" s="6" t="s">
        <v>341</v>
      </c>
      <c r="T211" s="6"/>
      <c r="U211" s="6" t="s">
        <v>347</v>
      </c>
      <c r="V211" s="6" t="s">
        <v>348</v>
      </c>
      <c r="W211" s="6" t="s">
        <v>355</v>
      </c>
      <c r="X211" s="6" t="s">
        <v>452</v>
      </c>
      <c r="Y211" s="6" t="s">
        <v>456</v>
      </c>
      <c r="Z211" s="6"/>
      <c r="AA211" s="6"/>
      <c r="AB211" s="6"/>
      <c r="AC211" s="6"/>
      <c r="AD211">
        <v>370</v>
      </c>
    </row>
    <row r="212" spans="1:30" x14ac:dyDescent="0.25">
      <c r="A212" s="9">
        <f t="shared" si="3"/>
        <v>42600</v>
      </c>
      <c r="B212">
        <v>50180214</v>
      </c>
      <c r="C212" s="6" t="s">
        <v>159</v>
      </c>
      <c r="D212">
        <v>1</v>
      </c>
      <c r="E212">
        <v>1</v>
      </c>
      <c r="F212">
        <v>1</v>
      </c>
      <c r="G212">
        <v>25</v>
      </c>
      <c r="H212">
        <v>25</v>
      </c>
      <c r="I212" s="6"/>
      <c r="J212" s="6"/>
      <c r="K212" s="6"/>
      <c r="L212" s="6"/>
      <c r="M212" s="2" t="s">
        <v>208</v>
      </c>
      <c r="N212" s="6" t="s">
        <v>163</v>
      </c>
      <c r="O212" s="6" t="s">
        <v>184</v>
      </c>
      <c r="P212" s="6" t="s">
        <v>82</v>
      </c>
      <c r="Q212" s="6" t="s">
        <v>315</v>
      </c>
      <c r="R212" s="6"/>
      <c r="S212" s="6" t="s">
        <v>341</v>
      </c>
      <c r="T212" s="6"/>
      <c r="U212" s="6" t="s">
        <v>347</v>
      </c>
      <c r="V212" s="6" t="s">
        <v>348</v>
      </c>
      <c r="W212" s="6" t="s">
        <v>355</v>
      </c>
      <c r="X212" s="6"/>
      <c r="Y212" s="6" t="s">
        <v>445</v>
      </c>
      <c r="Z212" s="6"/>
      <c r="AA212" s="6"/>
      <c r="AB212" s="6"/>
      <c r="AC212" s="6"/>
      <c r="AD212">
        <v>371</v>
      </c>
    </row>
    <row r="213" spans="1:30" x14ac:dyDescent="0.25">
      <c r="A213" s="9">
        <f t="shared" si="3"/>
        <v>42611</v>
      </c>
      <c r="B213">
        <v>50180807</v>
      </c>
      <c r="C213" s="6" t="s">
        <v>159</v>
      </c>
      <c r="D213">
        <v>1</v>
      </c>
      <c r="E213">
        <v>1</v>
      </c>
      <c r="F213">
        <v>1</v>
      </c>
      <c r="G213">
        <v>8</v>
      </c>
      <c r="H213">
        <v>8</v>
      </c>
      <c r="I213" s="6"/>
      <c r="J213" s="6"/>
      <c r="K213" s="6"/>
      <c r="L213" s="6"/>
      <c r="M213" s="2" t="s">
        <v>178</v>
      </c>
      <c r="N213" s="6" t="s">
        <v>178</v>
      </c>
      <c r="O213" s="6" t="s">
        <v>192</v>
      </c>
      <c r="P213" s="6" t="s">
        <v>82</v>
      </c>
      <c r="Q213" s="6" t="s">
        <v>315</v>
      </c>
      <c r="R213" s="6"/>
      <c r="S213" s="6" t="s">
        <v>341</v>
      </c>
      <c r="T213" s="6"/>
      <c r="U213" s="6" t="s">
        <v>347</v>
      </c>
      <c r="V213" s="6" t="s">
        <v>348</v>
      </c>
      <c r="W213" s="6" t="s">
        <v>355</v>
      </c>
      <c r="X213" s="6" t="s">
        <v>638</v>
      </c>
      <c r="Y213" s="6" t="s">
        <v>666</v>
      </c>
      <c r="Z213" s="6"/>
      <c r="AA213" s="6"/>
      <c r="AB213" s="6"/>
      <c r="AC213" s="6"/>
      <c r="AD213">
        <v>372</v>
      </c>
    </row>
    <row r="214" spans="1:30" x14ac:dyDescent="0.25">
      <c r="A214" s="9">
        <f t="shared" si="3"/>
        <v>42614</v>
      </c>
      <c r="B214">
        <v>50177392</v>
      </c>
      <c r="C214" s="6" t="s">
        <v>159</v>
      </c>
      <c r="D214">
        <v>1</v>
      </c>
      <c r="E214">
        <v>1</v>
      </c>
      <c r="F214">
        <v>1</v>
      </c>
      <c r="G214">
        <v>25</v>
      </c>
      <c r="H214">
        <v>25</v>
      </c>
      <c r="I214" s="6"/>
      <c r="J214" s="6"/>
      <c r="K214" s="6"/>
      <c r="L214" s="6"/>
      <c r="M214" s="2" t="s">
        <v>280</v>
      </c>
      <c r="N214" s="6" t="s">
        <v>243</v>
      </c>
      <c r="O214" s="6" t="s">
        <v>185</v>
      </c>
      <c r="P214" s="6" t="s">
        <v>82</v>
      </c>
      <c r="Q214" s="6" t="s">
        <v>315</v>
      </c>
      <c r="R214" s="6"/>
      <c r="S214" s="6" t="s">
        <v>341</v>
      </c>
      <c r="T214" s="6"/>
      <c r="U214" s="6" t="s">
        <v>347</v>
      </c>
      <c r="V214" s="6" t="s">
        <v>348</v>
      </c>
      <c r="W214" s="6" t="s">
        <v>355</v>
      </c>
      <c r="X214" s="6"/>
      <c r="Y214" s="6" t="s">
        <v>416</v>
      </c>
      <c r="Z214" s="6"/>
      <c r="AA214" s="6"/>
      <c r="AB214" s="6"/>
      <c r="AC214" s="6"/>
      <c r="AD214">
        <v>373</v>
      </c>
    </row>
    <row r="215" spans="1:30" x14ac:dyDescent="0.25">
      <c r="A215" s="9">
        <f t="shared" si="3"/>
        <v>42632</v>
      </c>
      <c r="B215">
        <v>50181687</v>
      </c>
      <c r="C215" s="6" t="s">
        <v>159</v>
      </c>
      <c r="D215">
        <v>1</v>
      </c>
      <c r="E215">
        <v>1</v>
      </c>
      <c r="F215">
        <v>1</v>
      </c>
      <c r="G215">
        <v>25</v>
      </c>
      <c r="H215">
        <v>25</v>
      </c>
      <c r="I215" s="6"/>
      <c r="J215" s="6"/>
      <c r="K215" s="6"/>
      <c r="L215" s="6"/>
      <c r="M215" s="2" t="s">
        <v>177</v>
      </c>
      <c r="N215" s="6" t="s">
        <v>177</v>
      </c>
      <c r="O215" s="6" t="s">
        <v>187</v>
      </c>
      <c r="P215" s="6" t="s">
        <v>82</v>
      </c>
      <c r="Q215" s="6" t="s">
        <v>315</v>
      </c>
      <c r="R215" s="6"/>
      <c r="S215" s="6" t="s">
        <v>341</v>
      </c>
      <c r="T215" s="6"/>
      <c r="U215" s="6" t="s">
        <v>347</v>
      </c>
      <c r="V215" s="6" t="s">
        <v>348</v>
      </c>
      <c r="W215" s="6" t="s">
        <v>355</v>
      </c>
      <c r="X215" s="6" t="s">
        <v>452</v>
      </c>
      <c r="Y215" s="6" t="s">
        <v>459</v>
      </c>
      <c r="Z215" s="6"/>
      <c r="AA215" s="6"/>
      <c r="AB215" s="6"/>
      <c r="AC215" s="6"/>
      <c r="AD215">
        <v>374</v>
      </c>
    </row>
    <row r="216" spans="1:30" x14ac:dyDescent="0.25">
      <c r="A216" s="9">
        <f t="shared" si="3"/>
        <v>42643</v>
      </c>
      <c r="B216">
        <v>50181263</v>
      </c>
      <c r="C216" s="6" t="s">
        <v>159</v>
      </c>
      <c r="D216">
        <v>1</v>
      </c>
      <c r="E216">
        <v>1</v>
      </c>
      <c r="F216">
        <v>1</v>
      </c>
      <c r="G216">
        <v>25</v>
      </c>
      <c r="H216">
        <v>25</v>
      </c>
      <c r="I216" s="6"/>
      <c r="J216" s="6"/>
      <c r="K216" s="6"/>
      <c r="L216" s="6"/>
      <c r="M216" s="2" t="s">
        <v>190</v>
      </c>
      <c r="N216" s="6" t="s">
        <v>178</v>
      </c>
      <c r="O216" s="6" t="s">
        <v>281</v>
      </c>
      <c r="P216" s="6" t="s">
        <v>82</v>
      </c>
      <c r="Q216" s="6" t="s">
        <v>315</v>
      </c>
      <c r="R216" s="6"/>
      <c r="S216" s="6" t="s">
        <v>341</v>
      </c>
      <c r="T216" s="6"/>
      <c r="U216" s="6" t="s">
        <v>347</v>
      </c>
      <c r="V216" s="6" t="s">
        <v>348</v>
      </c>
      <c r="W216" s="6" t="s">
        <v>355</v>
      </c>
      <c r="X216" s="6"/>
      <c r="Y216" s="6" t="s">
        <v>394</v>
      </c>
      <c r="Z216" s="6"/>
      <c r="AA216" s="6"/>
      <c r="AB216" s="6"/>
      <c r="AC216" s="6"/>
      <c r="AD216">
        <v>375</v>
      </c>
    </row>
    <row r="217" spans="1:30" x14ac:dyDescent="0.25">
      <c r="A217" s="9">
        <f t="shared" si="3"/>
        <v>42579</v>
      </c>
      <c r="B217">
        <v>50180696</v>
      </c>
      <c r="C217" s="6" t="s">
        <v>159</v>
      </c>
      <c r="D217">
        <v>1</v>
      </c>
      <c r="E217">
        <v>1</v>
      </c>
      <c r="F217">
        <v>1</v>
      </c>
      <c r="G217">
        <v>25</v>
      </c>
      <c r="H217">
        <v>6</v>
      </c>
      <c r="I217" s="6"/>
      <c r="J217" s="6"/>
      <c r="K217" s="6"/>
      <c r="L217" s="6"/>
      <c r="M217" s="2" t="s">
        <v>186</v>
      </c>
      <c r="N217" s="6" t="s">
        <v>201</v>
      </c>
      <c r="O217" s="6" t="s">
        <v>226</v>
      </c>
      <c r="P217" s="6" t="s">
        <v>101</v>
      </c>
      <c r="Q217" s="6" t="s">
        <v>316</v>
      </c>
      <c r="R217" s="6" t="s">
        <v>520</v>
      </c>
      <c r="S217" s="6" t="s">
        <v>341</v>
      </c>
      <c r="T217" s="6"/>
      <c r="U217" s="6" t="s">
        <v>347</v>
      </c>
      <c r="V217" s="6" t="s">
        <v>348</v>
      </c>
      <c r="W217" s="6" t="s">
        <v>360</v>
      </c>
      <c r="X217" s="6" t="s">
        <v>385</v>
      </c>
      <c r="Y217" s="6" t="s">
        <v>436</v>
      </c>
      <c r="Z217" s="6"/>
      <c r="AA217" s="6"/>
      <c r="AB217" s="6"/>
      <c r="AC217" s="6"/>
      <c r="AD217">
        <v>381</v>
      </c>
    </row>
    <row r="218" spans="1:30" x14ac:dyDescent="0.25">
      <c r="A218" s="9">
        <f t="shared" si="3"/>
        <v>42583</v>
      </c>
      <c r="B218">
        <v>50181089</v>
      </c>
      <c r="C218" s="6" t="s">
        <v>159</v>
      </c>
      <c r="D218">
        <v>1</v>
      </c>
      <c r="E218">
        <v>1</v>
      </c>
      <c r="F218">
        <v>1</v>
      </c>
      <c r="G218">
        <v>25</v>
      </c>
      <c r="H218">
        <v>25</v>
      </c>
      <c r="I218" s="6"/>
      <c r="J218" s="6"/>
      <c r="K218" s="6"/>
      <c r="L218" s="6"/>
      <c r="M218" s="2" t="s">
        <v>167</v>
      </c>
      <c r="N218" s="6" t="s">
        <v>167</v>
      </c>
      <c r="O218" s="6" t="s">
        <v>230</v>
      </c>
      <c r="P218" s="6" t="s">
        <v>101</v>
      </c>
      <c r="Q218" s="6" t="s">
        <v>316</v>
      </c>
      <c r="R218" s="6" t="s">
        <v>519</v>
      </c>
      <c r="S218" s="6" t="s">
        <v>341</v>
      </c>
      <c r="T218" s="6"/>
      <c r="U218" s="6" t="s">
        <v>347</v>
      </c>
      <c r="V218" s="6" t="s">
        <v>348</v>
      </c>
      <c r="W218" s="6" t="s">
        <v>360</v>
      </c>
      <c r="X218" s="6"/>
      <c r="Y218" s="6" t="s">
        <v>667</v>
      </c>
      <c r="Z218" s="6"/>
      <c r="AA218" s="6"/>
      <c r="AB218" s="6"/>
      <c r="AC218" s="6"/>
      <c r="AD218">
        <v>382</v>
      </c>
    </row>
    <row r="219" spans="1:30" x14ac:dyDescent="0.25">
      <c r="A219" s="9">
        <f t="shared" si="3"/>
        <v>42583</v>
      </c>
      <c r="B219">
        <v>50181090</v>
      </c>
      <c r="C219" s="6" t="s">
        <v>159</v>
      </c>
      <c r="D219">
        <v>1</v>
      </c>
      <c r="E219">
        <v>1</v>
      </c>
      <c r="F219">
        <v>1</v>
      </c>
      <c r="G219">
        <v>25</v>
      </c>
      <c r="H219">
        <v>25</v>
      </c>
      <c r="I219" s="6"/>
      <c r="J219" s="6"/>
      <c r="K219" s="6"/>
      <c r="L219" s="6"/>
      <c r="M219" s="2" t="s">
        <v>167</v>
      </c>
      <c r="N219" s="6" t="s">
        <v>167</v>
      </c>
      <c r="O219" s="6" t="s">
        <v>230</v>
      </c>
      <c r="P219" s="6" t="s">
        <v>101</v>
      </c>
      <c r="Q219" s="6" t="s">
        <v>316</v>
      </c>
      <c r="R219" s="6" t="s">
        <v>519</v>
      </c>
      <c r="S219" s="6" t="s">
        <v>341</v>
      </c>
      <c r="T219" s="6"/>
      <c r="U219" s="6" t="s">
        <v>347</v>
      </c>
      <c r="V219" s="6" t="s">
        <v>348</v>
      </c>
      <c r="W219" s="6" t="s">
        <v>360</v>
      </c>
      <c r="X219" s="6"/>
      <c r="Y219" s="6" t="s">
        <v>667</v>
      </c>
      <c r="Z219" s="6"/>
      <c r="AA219" s="6"/>
      <c r="AB219" s="6"/>
      <c r="AC219" s="6"/>
      <c r="AD219">
        <v>383</v>
      </c>
    </row>
    <row r="220" spans="1:30" x14ac:dyDescent="0.25">
      <c r="A220" s="9">
        <f t="shared" si="3"/>
        <v>42583</v>
      </c>
      <c r="B220">
        <v>50181673</v>
      </c>
      <c r="C220" s="6" t="s">
        <v>159</v>
      </c>
      <c r="D220">
        <v>1</v>
      </c>
      <c r="E220">
        <v>1</v>
      </c>
      <c r="F220">
        <v>1</v>
      </c>
      <c r="G220">
        <v>25</v>
      </c>
      <c r="H220">
        <v>25</v>
      </c>
      <c r="I220" s="6"/>
      <c r="J220" s="6"/>
      <c r="K220" s="6"/>
      <c r="L220" s="6"/>
      <c r="M220" s="2" t="s">
        <v>167</v>
      </c>
      <c r="N220" s="6" t="s">
        <v>165</v>
      </c>
      <c r="O220" s="6" t="s">
        <v>230</v>
      </c>
      <c r="P220" s="6" t="s">
        <v>101</v>
      </c>
      <c r="Q220" s="6" t="s">
        <v>316</v>
      </c>
      <c r="R220" s="6" t="s">
        <v>519</v>
      </c>
      <c r="S220" s="6" t="s">
        <v>341</v>
      </c>
      <c r="T220" s="6"/>
      <c r="U220" s="6" t="s">
        <v>347</v>
      </c>
      <c r="V220" s="6" t="s">
        <v>348</v>
      </c>
      <c r="W220" s="6" t="s">
        <v>360</v>
      </c>
      <c r="X220" s="6" t="s">
        <v>452</v>
      </c>
      <c r="Y220" s="6" t="s">
        <v>668</v>
      </c>
      <c r="Z220" s="6"/>
      <c r="AA220" s="6"/>
      <c r="AB220" s="6"/>
      <c r="AC220" s="6"/>
      <c r="AD220">
        <v>384</v>
      </c>
    </row>
    <row r="221" spans="1:30" x14ac:dyDescent="0.25">
      <c r="A221" s="9">
        <f t="shared" si="3"/>
        <v>42643</v>
      </c>
      <c r="B221">
        <v>50175228</v>
      </c>
      <c r="C221" s="6" t="s">
        <v>159</v>
      </c>
      <c r="D221">
        <v>1</v>
      </c>
      <c r="E221">
        <v>1</v>
      </c>
      <c r="F221">
        <v>1</v>
      </c>
      <c r="G221">
        <v>5</v>
      </c>
      <c r="H221">
        <v>5</v>
      </c>
      <c r="I221" s="6"/>
      <c r="J221" s="6"/>
      <c r="K221" s="6"/>
      <c r="L221" s="6"/>
      <c r="M221" s="2" t="s">
        <v>190</v>
      </c>
      <c r="N221" s="6" t="s">
        <v>244</v>
      </c>
      <c r="O221" s="6" t="s">
        <v>281</v>
      </c>
      <c r="P221" s="6" t="s">
        <v>101</v>
      </c>
      <c r="Q221" s="6" t="s">
        <v>316</v>
      </c>
      <c r="R221" s="6"/>
      <c r="S221" s="6" t="s">
        <v>341</v>
      </c>
      <c r="T221" s="6"/>
      <c r="U221" s="6" t="s">
        <v>347</v>
      </c>
      <c r="V221" s="6" t="s">
        <v>348</v>
      </c>
      <c r="W221" s="6" t="s">
        <v>360</v>
      </c>
      <c r="X221" s="6"/>
      <c r="Y221" s="6" t="s">
        <v>416</v>
      </c>
      <c r="Z221" s="6"/>
      <c r="AA221" s="6"/>
      <c r="AB221" s="6"/>
      <c r="AC221" s="6"/>
      <c r="AD221">
        <v>385</v>
      </c>
    </row>
    <row r="222" spans="1:30" x14ac:dyDescent="0.25">
      <c r="A222" s="9">
        <f t="shared" si="3"/>
        <v>42643</v>
      </c>
      <c r="B222">
        <v>50179304</v>
      </c>
      <c r="C222" s="6" t="s">
        <v>159</v>
      </c>
      <c r="D222">
        <v>1</v>
      </c>
      <c r="E222">
        <v>1</v>
      </c>
      <c r="F222">
        <v>1</v>
      </c>
      <c r="G222">
        <v>3</v>
      </c>
      <c r="H222">
        <v>3</v>
      </c>
      <c r="I222" s="6"/>
      <c r="J222" s="6"/>
      <c r="K222" s="6"/>
      <c r="L222" s="6"/>
      <c r="M222" s="2" t="s">
        <v>190</v>
      </c>
      <c r="N222" s="6" t="s">
        <v>545</v>
      </c>
      <c r="O222" s="6" t="s">
        <v>281</v>
      </c>
      <c r="P222" s="6" t="s">
        <v>101</v>
      </c>
      <c r="Q222" s="6" t="s">
        <v>316</v>
      </c>
      <c r="R222" s="6"/>
      <c r="S222" s="6" t="s">
        <v>341</v>
      </c>
      <c r="T222" s="6"/>
      <c r="U222" s="6" t="s">
        <v>347</v>
      </c>
      <c r="V222" s="6" t="s">
        <v>348</v>
      </c>
      <c r="W222" s="6" t="s">
        <v>360</v>
      </c>
      <c r="X222" s="6"/>
      <c r="Y222" s="6" t="s">
        <v>669</v>
      </c>
      <c r="Z222" s="6"/>
      <c r="AA222" s="6"/>
      <c r="AB222" s="6"/>
      <c r="AC222" s="6"/>
      <c r="AD222">
        <v>386</v>
      </c>
    </row>
    <row r="223" spans="1:30" x14ac:dyDescent="0.25">
      <c r="A223" s="9">
        <f t="shared" si="3"/>
        <v>42579</v>
      </c>
      <c r="B223">
        <v>50180694</v>
      </c>
      <c r="C223" s="6" t="s">
        <v>159</v>
      </c>
      <c r="D223">
        <v>1</v>
      </c>
      <c r="E223">
        <v>1</v>
      </c>
      <c r="F223">
        <v>1</v>
      </c>
      <c r="G223">
        <v>200</v>
      </c>
      <c r="H223">
        <v>200</v>
      </c>
      <c r="I223" s="6"/>
      <c r="J223" s="6"/>
      <c r="K223" s="6"/>
      <c r="L223" s="6"/>
      <c r="M223" s="2" t="s">
        <v>186</v>
      </c>
      <c r="N223" s="6" t="s">
        <v>195</v>
      </c>
      <c r="O223" s="6" t="s">
        <v>226</v>
      </c>
      <c r="P223" s="6" t="s">
        <v>102</v>
      </c>
      <c r="Q223" s="6" t="s">
        <v>317</v>
      </c>
      <c r="R223" s="6"/>
      <c r="S223" s="6" t="s">
        <v>341</v>
      </c>
      <c r="T223" s="6"/>
      <c r="U223" s="6" t="s">
        <v>347</v>
      </c>
      <c r="V223" s="6" t="s">
        <v>348</v>
      </c>
      <c r="W223" s="6" t="s">
        <v>360</v>
      </c>
      <c r="X223" s="6" t="s">
        <v>373</v>
      </c>
      <c r="Y223" s="6" t="s">
        <v>407</v>
      </c>
      <c r="Z223" s="6"/>
      <c r="AA223" s="6"/>
      <c r="AB223" s="6"/>
      <c r="AC223" s="6"/>
      <c r="AD223">
        <v>390</v>
      </c>
    </row>
    <row r="224" spans="1:30" x14ac:dyDescent="0.25">
      <c r="A224" s="9">
        <f t="shared" si="3"/>
        <v>42583</v>
      </c>
      <c r="B224">
        <v>50177930</v>
      </c>
      <c r="C224" s="6" t="s">
        <v>159</v>
      </c>
      <c r="D224">
        <v>1</v>
      </c>
      <c r="E224">
        <v>1</v>
      </c>
      <c r="F224">
        <v>0</v>
      </c>
      <c r="G224">
        <v>10</v>
      </c>
      <c r="H224">
        <v>10</v>
      </c>
      <c r="I224" s="6"/>
      <c r="J224" s="6"/>
      <c r="K224" s="6"/>
      <c r="L224" s="6"/>
      <c r="M224" s="2" t="s">
        <v>167</v>
      </c>
      <c r="N224" s="6" t="s">
        <v>546</v>
      </c>
      <c r="O224" s="6" t="s">
        <v>230</v>
      </c>
      <c r="P224" s="6" t="s">
        <v>103</v>
      </c>
      <c r="Q224" s="6" t="s">
        <v>318</v>
      </c>
      <c r="R224" s="6"/>
      <c r="S224" s="6" t="s">
        <v>341</v>
      </c>
      <c r="T224" s="6"/>
      <c r="U224" s="6" t="s">
        <v>347</v>
      </c>
      <c r="V224" s="6" t="s">
        <v>348</v>
      </c>
      <c r="W224" s="6" t="s">
        <v>361</v>
      </c>
      <c r="X224" s="6"/>
      <c r="Y224" s="6" t="s">
        <v>399</v>
      </c>
      <c r="Z224" s="6"/>
      <c r="AA224" s="6"/>
      <c r="AB224" s="6"/>
      <c r="AC224" s="6"/>
      <c r="AD224">
        <v>391</v>
      </c>
    </row>
    <row r="225" spans="1:30" x14ac:dyDescent="0.25">
      <c r="A225" s="9">
        <f t="shared" si="3"/>
        <v>42583</v>
      </c>
      <c r="B225">
        <v>50179483</v>
      </c>
      <c r="C225" s="6" t="s">
        <v>159</v>
      </c>
      <c r="D225">
        <v>1</v>
      </c>
      <c r="E225">
        <v>1</v>
      </c>
      <c r="F225">
        <v>0</v>
      </c>
      <c r="G225">
        <v>30</v>
      </c>
      <c r="H225">
        <v>30</v>
      </c>
      <c r="I225" s="6"/>
      <c r="J225" s="6"/>
      <c r="K225" s="6"/>
      <c r="L225" s="6"/>
      <c r="M225" s="2" t="s">
        <v>167</v>
      </c>
      <c r="N225" s="6" t="s">
        <v>210</v>
      </c>
      <c r="O225" s="6" t="s">
        <v>230</v>
      </c>
      <c r="P225" s="6" t="s">
        <v>103</v>
      </c>
      <c r="Q225" s="6" t="s">
        <v>318</v>
      </c>
      <c r="R225" s="6"/>
      <c r="S225" s="6" t="s">
        <v>341</v>
      </c>
      <c r="T225" s="6"/>
      <c r="U225" s="6" t="s">
        <v>347</v>
      </c>
      <c r="V225" s="6" t="s">
        <v>348</v>
      </c>
      <c r="W225" s="6" t="s">
        <v>361</v>
      </c>
      <c r="X225" s="6"/>
      <c r="Y225" s="6" t="s">
        <v>411</v>
      </c>
      <c r="Z225" s="6" t="s">
        <v>426</v>
      </c>
      <c r="AA225" s="6"/>
      <c r="AB225" s="6"/>
      <c r="AC225" s="6"/>
      <c r="AD225">
        <v>392</v>
      </c>
    </row>
    <row r="226" spans="1:30" x14ac:dyDescent="0.25">
      <c r="A226" s="9">
        <f t="shared" si="3"/>
        <v>42583</v>
      </c>
      <c r="B226">
        <v>50179484</v>
      </c>
      <c r="C226" s="6" t="s">
        <v>159</v>
      </c>
      <c r="D226">
        <v>1</v>
      </c>
      <c r="E226">
        <v>1</v>
      </c>
      <c r="F226">
        <v>0</v>
      </c>
      <c r="G226">
        <v>30</v>
      </c>
      <c r="H226">
        <v>30</v>
      </c>
      <c r="I226" s="6"/>
      <c r="J226" s="6"/>
      <c r="K226" s="6"/>
      <c r="L226" s="6"/>
      <c r="M226" s="2" t="s">
        <v>167</v>
      </c>
      <c r="N226" s="6" t="s">
        <v>195</v>
      </c>
      <c r="O226" s="6" t="s">
        <v>230</v>
      </c>
      <c r="P226" s="6" t="s">
        <v>103</v>
      </c>
      <c r="Q226" s="6" t="s">
        <v>318</v>
      </c>
      <c r="R226" s="6"/>
      <c r="S226" s="6" t="s">
        <v>341</v>
      </c>
      <c r="T226" s="6"/>
      <c r="U226" s="6" t="s">
        <v>347</v>
      </c>
      <c r="V226" s="6" t="s">
        <v>348</v>
      </c>
      <c r="W226" s="6" t="s">
        <v>361</v>
      </c>
      <c r="X226" s="6"/>
      <c r="Y226" s="6" t="s">
        <v>411</v>
      </c>
      <c r="Z226" s="6" t="s">
        <v>426</v>
      </c>
      <c r="AA226" s="6"/>
      <c r="AB226" s="6"/>
      <c r="AC226" s="6"/>
      <c r="AD226">
        <v>393</v>
      </c>
    </row>
    <row r="227" spans="1:30" x14ac:dyDescent="0.25">
      <c r="A227" s="9">
        <f t="shared" si="3"/>
        <v>42597</v>
      </c>
      <c r="B227">
        <v>50179608</v>
      </c>
      <c r="C227" s="6" t="s">
        <v>159</v>
      </c>
      <c r="D227">
        <v>1</v>
      </c>
      <c r="E227">
        <v>1</v>
      </c>
      <c r="F227">
        <v>0</v>
      </c>
      <c r="G227">
        <v>15</v>
      </c>
      <c r="H227">
        <v>14</v>
      </c>
      <c r="I227" s="6"/>
      <c r="J227" s="6"/>
      <c r="K227" s="6"/>
      <c r="L227" s="6"/>
      <c r="M227" s="2" t="s">
        <v>163</v>
      </c>
      <c r="N227" s="6" t="s">
        <v>195</v>
      </c>
      <c r="O227" s="6" t="s">
        <v>200</v>
      </c>
      <c r="P227" s="6" t="s">
        <v>103</v>
      </c>
      <c r="Q227" s="6" t="s">
        <v>318</v>
      </c>
      <c r="R227" s="6"/>
      <c r="S227" s="6" t="s">
        <v>341</v>
      </c>
      <c r="T227" s="6"/>
      <c r="U227" s="6" t="s">
        <v>347</v>
      </c>
      <c r="V227" s="6" t="s">
        <v>348</v>
      </c>
      <c r="W227" s="6" t="s">
        <v>361</v>
      </c>
      <c r="X227" s="6"/>
      <c r="Y227" s="6" t="s">
        <v>670</v>
      </c>
      <c r="Z227" s="6" t="s">
        <v>426</v>
      </c>
      <c r="AA227" s="6"/>
      <c r="AB227" s="6"/>
      <c r="AC227" s="6"/>
      <c r="AD227">
        <v>394</v>
      </c>
    </row>
    <row r="228" spans="1:30" x14ac:dyDescent="0.25">
      <c r="A228" s="9">
        <f t="shared" si="3"/>
        <v>42597</v>
      </c>
      <c r="B228">
        <v>50180009</v>
      </c>
      <c r="C228" s="6" t="s">
        <v>159</v>
      </c>
      <c r="D228">
        <v>1</v>
      </c>
      <c r="E228">
        <v>1</v>
      </c>
      <c r="F228">
        <v>0</v>
      </c>
      <c r="G228">
        <v>25</v>
      </c>
      <c r="H228">
        <v>25</v>
      </c>
      <c r="I228" s="6"/>
      <c r="J228" s="6"/>
      <c r="K228" s="6"/>
      <c r="L228" s="6"/>
      <c r="M228" s="2" t="s">
        <v>163</v>
      </c>
      <c r="N228" s="6" t="s">
        <v>195</v>
      </c>
      <c r="O228" s="6" t="s">
        <v>200</v>
      </c>
      <c r="P228" s="6" t="s">
        <v>103</v>
      </c>
      <c r="Q228" s="6" t="s">
        <v>318</v>
      </c>
      <c r="R228" s="6"/>
      <c r="S228" s="6" t="s">
        <v>341</v>
      </c>
      <c r="T228" s="6"/>
      <c r="U228" s="6" t="s">
        <v>347</v>
      </c>
      <c r="V228" s="6" t="s">
        <v>348</v>
      </c>
      <c r="W228" s="6" t="s">
        <v>361</v>
      </c>
      <c r="X228" s="6"/>
      <c r="Y228" s="6" t="s">
        <v>671</v>
      </c>
      <c r="Z228" s="6"/>
      <c r="AA228" s="6"/>
      <c r="AB228" s="6"/>
      <c r="AC228" s="6"/>
      <c r="AD228">
        <v>395</v>
      </c>
    </row>
    <row r="229" spans="1:30" x14ac:dyDescent="0.25">
      <c r="A229" s="9">
        <f t="shared" si="3"/>
        <v>42611</v>
      </c>
      <c r="B229">
        <v>50181264</v>
      </c>
      <c r="C229" s="6" t="s">
        <v>159</v>
      </c>
      <c r="D229">
        <v>1</v>
      </c>
      <c r="E229">
        <v>1</v>
      </c>
      <c r="F229">
        <v>0</v>
      </c>
      <c r="G229">
        <v>40</v>
      </c>
      <c r="H229">
        <v>40</v>
      </c>
      <c r="I229" s="6"/>
      <c r="J229" s="6"/>
      <c r="K229" s="6"/>
      <c r="L229" s="6"/>
      <c r="M229" s="2" t="s">
        <v>178</v>
      </c>
      <c r="N229" s="6" t="s">
        <v>178</v>
      </c>
      <c r="O229" s="6" t="s">
        <v>192</v>
      </c>
      <c r="P229" s="6" t="s">
        <v>103</v>
      </c>
      <c r="Q229" s="6" t="s">
        <v>318</v>
      </c>
      <c r="R229" s="6"/>
      <c r="S229" s="6" t="s">
        <v>341</v>
      </c>
      <c r="T229" s="6"/>
      <c r="U229" s="6" t="s">
        <v>347</v>
      </c>
      <c r="V229" s="6" t="s">
        <v>348</v>
      </c>
      <c r="W229" s="6" t="s">
        <v>361</v>
      </c>
      <c r="X229" s="6"/>
      <c r="Y229" s="6" t="s">
        <v>394</v>
      </c>
      <c r="Z229" s="6"/>
      <c r="AA229" s="6"/>
      <c r="AB229" s="6"/>
      <c r="AC229" s="6"/>
      <c r="AD229">
        <v>396</v>
      </c>
    </row>
    <row r="230" spans="1:30" x14ac:dyDescent="0.25">
      <c r="A230" s="9">
        <f t="shared" si="3"/>
        <v>42615</v>
      </c>
      <c r="B230">
        <v>50181636</v>
      </c>
      <c r="C230" s="6" t="s">
        <v>159</v>
      </c>
      <c r="D230">
        <v>1</v>
      </c>
      <c r="E230">
        <v>1</v>
      </c>
      <c r="F230">
        <v>0</v>
      </c>
      <c r="G230">
        <v>25</v>
      </c>
      <c r="H230">
        <v>25</v>
      </c>
      <c r="I230" s="6"/>
      <c r="J230" s="6"/>
      <c r="K230" s="6"/>
      <c r="L230" s="6"/>
      <c r="M230" s="2" t="s">
        <v>189</v>
      </c>
      <c r="N230" s="6" t="s">
        <v>178</v>
      </c>
      <c r="O230" s="6" t="s">
        <v>186</v>
      </c>
      <c r="P230" s="6" t="s">
        <v>103</v>
      </c>
      <c r="Q230" s="6" t="s">
        <v>318</v>
      </c>
      <c r="R230" s="6"/>
      <c r="S230" s="6" t="s">
        <v>341</v>
      </c>
      <c r="T230" s="6"/>
      <c r="U230" s="6" t="s">
        <v>347</v>
      </c>
      <c r="V230" s="6" t="s">
        <v>348</v>
      </c>
      <c r="W230" s="6" t="s">
        <v>361</v>
      </c>
      <c r="X230" s="6"/>
      <c r="Y230" s="6" t="s">
        <v>394</v>
      </c>
      <c r="Z230" s="6"/>
      <c r="AA230" s="6"/>
      <c r="AB230" s="6"/>
      <c r="AC230" s="6"/>
      <c r="AD230">
        <v>397</v>
      </c>
    </row>
    <row r="231" spans="1:30" x14ac:dyDescent="0.25">
      <c r="A231" s="9">
        <f t="shared" si="3"/>
        <v>42583</v>
      </c>
      <c r="B231">
        <v>50180698</v>
      </c>
      <c r="C231" s="6" t="s">
        <v>159</v>
      </c>
      <c r="D231">
        <v>1</v>
      </c>
      <c r="E231">
        <v>1</v>
      </c>
      <c r="F231">
        <v>1</v>
      </c>
      <c r="G231">
        <v>148</v>
      </c>
      <c r="H231">
        <v>148</v>
      </c>
      <c r="I231" s="6"/>
      <c r="J231" s="6"/>
      <c r="K231" s="6"/>
      <c r="L231" s="6"/>
      <c r="M231" s="2" t="s">
        <v>167</v>
      </c>
      <c r="N231" s="6" t="s">
        <v>167</v>
      </c>
      <c r="O231" s="6" t="s">
        <v>230</v>
      </c>
      <c r="P231" s="6" t="s">
        <v>104</v>
      </c>
      <c r="Q231" s="6" t="s">
        <v>319</v>
      </c>
      <c r="R231" s="6"/>
      <c r="S231" s="6" t="s">
        <v>341</v>
      </c>
      <c r="T231" s="6"/>
      <c r="U231" s="6" t="s">
        <v>347</v>
      </c>
      <c r="V231" s="6" t="s">
        <v>348</v>
      </c>
      <c r="W231" s="6" t="s">
        <v>355</v>
      </c>
      <c r="X231" s="6" t="s">
        <v>634</v>
      </c>
      <c r="Y231" s="6" t="s">
        <v>401</v>
      </c>
      <c r="Z231" s="6"/>
      <c r="AA231" s="6"/>
      <c r="AB231" s="6"/>
      <c r="AC231" s="6"/>
      <c r="AD231">
        <v>404</v>
      </c>
    </row>
    <row r="232" spans="1:30" x14ac:dyDescent="0.25">
      <c r="A232" s="9">
        <f t="shared" si="3"/>
        <v>42590</v>
      </c>
      <c r="B232">
        <v>50181265</v>
      </c>
      <c r="C232" s="6" t="s">
        <v>159</v>
      </c>
      <c r="D232">
        <v>1</v>
      </c>
      <c r="E232">
        <v>1</v>
      </c>
      <c r="F232">
        <v>0</v>
      </c>
      <c r="G232">
        <v>50</v>
      </c>
      <c r="H232">
        <v>50</v>
      </c>
      <c r="I232" s="6"/>
      <c r="J232" s="6"/>
      <c r="K232" s="6"/>
      <c r="L232" s="6"/>
      <c r="M232" s="2" t="s">
        <v>170</v>
      </c>
      <c r="N232" s="6" t="s">
        <v>178</v>
      </c>
      <c r="O232" s="6" t="s">
        <v>191</v>
      </c>
      <c r="P232" s="6" t="s">
        <v>104</v>
      </c>
      <c r="Q232" s="6" t="s">
        <v>319</v>
      </c>
      <c r="R232" s="6"/>
      <c r="S232" s="6" t="s">
        <v>341</v>
      </c>
      <c r="T232" s="6"/>
      <c r="U232" s="6" t="s">
        <v>347</v>
      </c>
      <c r="V232" s="6" t="s">
        <v>348</v>
      </c>
      <c r="W232" s="6" t="s">
        <v>355</v>
      </c>
      <c r="X232" s="6"/>
      <c r="Y232" s="6" t="s">
        <v>394</v>
      </c>
      <c r="Z232" s="6"/>
      <c r="AA232" s="6"/>
      <c r="AB232" s="6"/>
      <c r="AC232" s="6"/>
      <c r="AD232">
        <v>405</v>
      </c>
    </row>
    <row r="233" spans="1:30" x14ac:dyDescent="0.25">
      <c r="A233" s="9">
        <f t="shared" si="3"/>
        <v>42611</v>
      </c>
      <c r="B233">
        <v>50181266</v>
      </c>
      <c r="C233" s="6" t="s">
        <v>159</v>
      </c>
      <c r="D233">
        <v>1</v>
      </c>
      <c r="E233">
        <v>1</v>
      </c>
      <c r="F233">
        <v>0</v>
      </c>
      <c r="G233">
        <v>40</v>
      </c>
      <c r="H233">
        <v>40</v>
      </c>
      <c r="I233" s="6"/>
      <c r="J233" s="6"/>
      <c r="K233" s="6"/>
      <c r="L233" s="6"/>
      <c r="M233" s="2" t="s">
        <v>178</v>
      </c>
      <c r="N233" s="6" t="s">
        <v>178</v>
      </c>
      <c r="O233" s="6" t="s">
        <v>192</v>
      </c>
      <c r="P233" s="6" t="s">
        <v>104</v>
      </c>
      <c r="Q233" s="6" t="s">
        <v>319</v>
      </c>
      <c r="R233" s="6"/>
      <c r="S233" s="6" t="s">
        <v>341</v>
      </c>
      <c r="T233" s="6"/>
      <c r="U233" s="6" t="s">
        <v>347</v>
      </c>
      <c r="V233" s="6" t="s">
        <v>348</v>
      </c>
      <c r="W233" s="6" t="s">
        <v>355</v>
      </c>
      <c r="X233" s="6"/>
      <c r="Y233" s="6" t="s">
        <v>394</v>
      </c>
      <c r="Z233" s="6"/>
      <c r="AA233" s="6"/>
      <c r="AB233" s="6"/>
      <c r="AC233" s="6"/>
      <c r="AD233">
        <v>406</v>
      </c>
    </row>
    <row r="234" spans="1:30" x14ac:dyDescent="0.25">
      <c r="A234" s="9">
        <f t="shared" si="3"/>
        <v>42611</v>
      </c>
      <c r="B234">
        <v>50181823</v>
      </c>
      <c r="C234" s="6" t="s">
        <v>159</v>
      </c>
      <c r="D234">
        <v>1</v>
      </c>
      <c r="E234">
        <v>1</v>
      </c>
      <c r="F234">
        <v>0</v>
      </c>
      <c r="G234">
        <v>25</v>
      </c>
      <c r="H234">
        <v>25</v>
      </c>
      <c r="I234" s="6"/>
      <c r="J234" s="6"/>
      <c r="K234" s="6"/>
      <c r="L234" s="6"/>
      <c r="M234" s="2" t="s">
        <v>178</v>
      </c>
      <c r="N234" s="6" t="s">
        <v>178</v>
      </c>
      <c r="O234" s="6" t="s">
        <v>192</v>
      </c>
      <c r="P234" s="6" t="s">
        <v>104</v>
      </c>
      <c r="Q234" s="6" t="s">
        <v>319</v>
      </c>
      <c r="R234" s="6"/>
      <c r="S234" s="6" t="s">
        <v>341</v>
      </c>
      <c r="T234" s="6"/>
      <c r="U234" s="6" t="s">
        <v>347</v>
      </c>
      <c r="V234" s="6" t="s">
        <v>348</v>
      </c>
      <c r="W234" s="6" t="s">
        <v>355</v>
      </c>
      <c r="X234" s="6"/>
      <c r="Y234" s="6" t="s">
        <v>394</v>
      </c>
      <c r="Z234" s="6"/>
      <c r="AA234" s="6"/>
      <c r="AB234" s="6"/>
      <c r="AC234" s="6"/>
      <c r="AD234">
        <v>407</v>
      </c>
    </row>
    <row r="235" spans="1:30" x14ac:dyDescent="0.25">
      <c r="A235" s="9">
        <f t="shared" si="3"/>
        <v>42625</v>
      </c>
      <c r="B235">
        <v>50181824</v>
      </c>
      <c r="C235" s="6" t="s">
        <v>159</v>
      </c>
      <c r="D235">
        <v>1</v>
      </c>
      <c r="E235">
        <v>1</v>
      </c>
      <c r="F235">
        <v>0</v>
      </c>
      <c r="G235">
        <v>25</v>
      </c>
      <c r="H235">
        <v>25</v>
      </c>
      <c r="I235" s="6"/>
      <c r="J235" s="6"/>
      <c r="K235" s="6"/>
      <c r="L235" s="6"/>
      <c r="M235" s="2" t="s">
        <v>166</v>
      </c>
      <c r="N235" s="6" t="s">
        <v>166</v>
      </c>
      <c r="O235" s="6" t="s">
        <v>198</v>
      </c>
      <c r="P235" s="6" t="s">
        <v>104</v>
      </c>
      <c r="Q235" s="6" t="s">
        <v>319</v>
      </c>
      <c r="R235" s="6"/>
      <c r="S235" s="6" t="s">
        <v>341</v>
      </c>
      <c r="T235" s="6"/>
      <c r="U235" s="6" t="s">
        <v>347</v>
      </c>
      <c r="V235" s="6" t="s">
        <v>348</v>
      </c>
      <c r="W235" s="6" t="s">
        <v>355</v>
      </c>
      <c r="X235" s="6"/>
      <c r="Y235" s="6" t="s">
        <v>394</v>
      </c>
      <c r="Z235" s="6"/>
      <c r="AA235" s="6"/>
      <c r="AB235" s="6"/>
      <c r="AC235" s="6"/>
      <c r="AD235">
        <v>408</v>
      </c>
    </row>
    <row r="236" spans="1:30" x14ac:dyDescent="0.25">
      <c r="A236" s="9">
        <f t="shared" si="3"/>
        <v>42632</v>
      </c>
      <c r="B236">
        <v>50181949</v>
      </c>
      <c r="C236" s="6" t="s">
        <v>159</v>
      </c>
      <c r="D236">
        <v>1</v>
      </c>
      <c r="E236">
        <v>1</v>
      </c>
      <c r="F236">
        <v>0</v>
      </c>
      <c r="G236">
        <v>25</v>
      </c>
      <c r="H236">
        <v>25</v>
      </c>
      <c r="I236" s="6"/>
      <c r="J236" s="6"/>
      <c r="K236" s="6"/>
      <c r="L236" s="6"/>
      <c r="M236" s="2" t="s">
        <v>177</v>
      </c>
      <c r="N236" s="6" t="s">
        <v>177</v>
      </c>
      <c r="O236" s="6" t="s">
        <v>187</v>
      </c>
      <c r="P236" s="6" t="s">
        <v>104</v>
      </c>
      <c r="Q236" s="6" t="s">
        <v>319</v>
      </c>
      <c r="R236" s="6" t="s">
        <v>339</v>
      </c>
      <c r="S236" s="6" t="s">
        <v>341</v>
      </c>
      <c r="T236" s="6"/>
      <c r="U236" s="6" t="s">
        <v>347</v>
      </c>
      <c r="V236" s="6" t="s">
        <v>348</v>
      </c>
      <c r="W236" s="6" t="s">
        <v>355</v>
      </c>
      <c r="X236" s="6"/>
      <c r="Y236" s="6" t="s">
        <v>394</v>
      </c>
      <c r="Z236" s="6"/>
      <c r="AA236" s="6"/>
      <c r="AB236" s="6"/>
      <c r="AC236" s="6"/>
      <c r="AD236">
        <v>409</v>
      </c>
    </row>
    <row r="237" spans="1:30" x14ac:dyDescent="0.25">
      <c r="A237" s="9">
        <f t="shared" si="3"/>
        <v>42639</v>
      </c>
      <c r="B237">
        <v>50181950</v>
      </c>
      <c r="C237" s="6" t="s">
        <v>159</v>
      </c>
      <c r="D237">
        <v>1</v>
      </c>
      <c r="E237">
        <v>1</v>
      </c>
      <c r="F237">
        <v>0</v>
      </c>
      <c r="G237">
        <v>25</v>
      </c>
      <c r="H237">
        <v>25</v>
      </c>
      <c r="I237" s="6"/>
      <c r="J237" s="6"/>
      <c r="K237" s="6"/>
      <c r="L237" s="6"/>
      <c r="M237" s="2" t="s">
        <v>173</v>
      </c>
      <c r="N237" s="6" t="s">
        <v>173</v>
      </c>
      <c r="O237" s="6" t="s">
        <v>208</v>
      </c>
      <c r="P237" s="6" t="s">
        <v>104</v>
      </c>
      <c r="Q237" s="6" t="s">
        <v>319</v>
      </c>
      <c r="R237" s="6" t="s">
        <v>339</v>
      </c>
      <c r="S237" s="6" t="s">
        <v>341</v>
      </c>
      <c r="T237" s="6"/>
      <c r="U237" s="6" t="s">
        <v>347</v>
      </c>
      <c r="V237" s="6" t="s">
        <v>348</v>
      </c>
      <c r="W237" s="6" t="s">
        <v>355</v>
      </c>
      <c r="X237" s="6"/>
      <c r="Y237" s="6" t="s">
        <v>394</v>
      </c>
      <c r="Z237" s="6"/>
      <c r="AA237" s="6"/>
      <c r="AB237" s="6"/>
      <c r="AC237" s="6"/>
      <c r="AD237">
        <v>410</v>
      </c>
    </row>
    <row r="238" spans="1:30" x14ac:dyDescent="0.25">
      <c r="A238" s="9">
        <f t="shared" si="3"/>
        <v>42578</v>
      </c>
      <c r="B238">
        <v>50181411</v>
      </c>
      <c r="C238" s="6" t="s">
        <v>159</v>
      </c>
      <c r="D238">
        <v>1</v>
      </c>
      <c r="E238">
        <v>1</v>
      </c>
      <c r="F238">
        <v>1</v>
      </c>
      <c r="G238">
        <v>10</v>
      </c>
      <c r="H238">
        <v>10</v>
      </c>
      <c r="I238" s="6"/>
      <c r="J238" s="6"/>
      <c r="K238" s="6"/>
      <c r="L238" s="6"/>
      <c r="M238" s="2" t="s">
        <v>185</v>
      </c>
      <c r="N238" s="6" t="s">
        <v>195</v>
      </c>
      <c r="O238" s="6" t="s">
        <v>517</v>
      </c>
      <c r="P238" s="6" t="s">
        <v>105</v>
      </c>
      <c r="Q238" s="6" t="s">
        <v>319</v>
      </c>
      <c r="R238" s="6"/>
      <c r="S238" s="6" t="s">
        <v>341</v>
      </c>
      <c r="T238" s="6"/>
      <c r="U238" s="6" t="s">
        <v>347</v>
      </c>
      <c r="V238" s="6" t="s">
        <v>348</v>
      </c>
      <c r="W238" s="6" t="s">
        <v>360</v>
      </c>
      <c r="X238" s="6"/>
      <c r="Y238" s="6" t="s">
        <v>417</v>
      </c>
      <c r="Z238" s="6"/>
      <c r="AA238" s="6"/>
      <c r="AB238" s="6"/>
      <c r="AC238" s="6"/>
      <c r="AD238">
        <v>417</v>
      </c>
    </row>
    <row r="239" spans="1:30" x14ac:dyDescent="0.25">
      <c r="A239" s="9">
        <f t="shared" si="3"/>
        <v>42565</v>
      </c>
      <c r="B239">
        <v>50180669</v>
      </c>
      <c r="C239" s="6" t="s">
        <v>159</v>
      </c>
      <c r="D239">
        <v>1</v>
      </c>
      <c r="E239">
        <v>1</v>
      </c>
      <c r="F239">
        <v>1</v>
      </c>
      <c r="G239">
        <v>25</v>
      </c>
      <c r="H239">
        <v>25</v>
      </c>
      <c r="I239" s="6"/>
      <c r="J239" s="6"/>
      <c r="K239" s="6"/>
      <c r="L239" s="6"/>
      <c r="M239" s="2" t="s">
        <v>176</v>
      </c>
      <c r="N239" s="6" t="s">
        <v>224</v>
      </c>
      <c r="O239" s="6" t="s">
        <v>553</v>
      </c>
      <c r="P239" s="6" t="s">
        <v>106</v>
      </c>
      <c r="Q239" s="6" t="s">
        <v>320</v>
      </c>
      <c r="R239" s="6"/>
      <c r="S239" s="6" t="s">
        <v>341</v>
      </c>
      <c r="T239" s="6"/>
      <c r="U239" s="6" t="s">
        <v>347</v>
      </c>
      <c r="V239" s="6" t="s">
        <v>348</v>
      </c>
      <c r="W239" s="6" t="s">
        <v>355</v>
      </c>
      <c r="X239" s="6"/>
      <c r="Y239" s="6" t="s">
        <v>401</v>
      </c>
      <c r="Z239" s="6"/>
      <c r="AA239" s="6"/>
      <c r="AB239" s="6"/>
      <c r="AC239" s="6"/>
      <c r="AD239">
        <v>418</v>
      </c>
    </row>
    <row r="240" spans="1:30" x14ac:dyDescent="0.25">
      <c r="A240" s="9">
        <f t="shared" si="3"/>
        <v>42579</v>
      </c>
      <c r="B240">
        <v>50181086</v>
      </c>
      <c r="C240" s="6" t="s">
        <v>159</v>
      </c>
      <c r="D240">
        <v>1</v>
      </c>
      <c r="E240">
        <v>1</v>
      </c>
      <c r="F240">
        <v>1</v>
      </c>
      <c r="G240">
        <v>20</v>
      </c>
      <c r="H240">
        <v>20</v>
      </c>
      <c r="I240" s="6"/>
      <c r="J240" s="6"/>
      <c r="K240" s="6"/>
      <c r="L240" s="6"/>
      <c r="M240" s="2" t="s">
        <v>186</v>
      </c>
      <c r="N240" s="6" t="s">
        <v>170</v>
      </c>
      <c r="O240" s="6" t="s">
        <v>226</v>
      </c>
      <c r="P240" s="6" t="s">
        <v>106</v>
      </c>
      <c r="Q240" s="6" t="s">
        <v>320</v>
      </c>
      <c r="R240" s="6"/>
      <c r="S240" s="6" t="s">
        <v>341</v>
      </c>
      <c r="T240" s="6"/>
      <c r="U240" s="6" t="s">
        <v>347</v>
      </c>
      <c r="V240" s="6" t="s">
        <v>348</v>
      </c>
      <c r="W240" s="6" t="s">
        <v>355</v>
      </c>
      <c r="X240" s="6"/>
      <c r="Y240" s="6" t="s">
        <v>401</v>
      </c>
      <c r="Z240" s="6"/>
      <c r="AA240" s="6"/>
      <c r="AB240" s="6"/>
      <c r="AC240" s="6"/>
      <c r="AD240">
        <v>419</v>
      </c>
    </row>
    <row r="241" spans="1:30" x14ac:dyDescent="0.25">
      <c r="A241" s="9">
        <f t="shared" si="3"/>
        <v>42579</v>
      </c>
      <c r="B241">
        <v>50181087</v>
      </c>
      <c r="C241" s="6" t="s">
        <v>159</v>
      </c>
      <c r="D241">
        <v>1</v>
      </c>
      <c r="E241">
        <v>1</v>
      </c>
      <c r="F241">
        <v>1</v>
      </c>
      <c r="G241">
        <v>30</v>
      </c>
      <c r="H241">
        <v>30</v>
      </c>
      <c r="I241" s="6"/>
      <c r="J241" s="6"/>
      <c r="K241" s="6"/>
      <c r="L241" s="6"/>
      <c r="M241" s="2" t="s">
        <v>186</v>
      </c>
      <c r="N241" s="6" t="s">
        <v>224</v>
      </c>
      <c r="O241" s="6" t="s">
        <v>226</v>
      </c>
      <c r="P241" s="6" t="s">
        <v>106</v>
      </c>
      <c r="Q241" s="6" t="s">
        <v>320</v>
      </c>
      <c r="R241" s="6"/>
      <c r="S241" s="6" t="s">
        <v>341</v>
      </c>
      <c r="T241" s="6"/>
      <c r="U241" s="6" t="s">
        <v>347</v>
      </c>
      <c r="V241" s="6" t="s">
        <v>348</v>
      </c>
      <c r="W241" s="6" t="s">
        <v>355</v>
      </c>
      <c r="X241" s="6"/>
      <c r="Y241" s="6" t="s">
        <v>667</v>
      </c>
      <c r="Z241" s="6"/>
      <c r="AA241" s="6"/>
      <c r="AB241" s="6"/>
      <c r="AC241" s="6"/>
      <c r="AD241">
        <v>420</v>
      </c>
    </row>
    <row r="242" spans="1:30" x14ac:dyDescent="0.25">
      <c r="A242" s="9">
        <f t="shared" si="3"/>
        <v>42613</v>
      </c>
      <c r="B242">
        <v>50181720</v>
      </c>
      <c r="C242" s="6" t="s">
        <v>159</v>
      </c>
      <c r="D242">
        <v>1</v>
      </c>
      <c r="E242">
        <v>1</v>
      </c>
      <c r="F242">
        <v>1</v>
      </c>
      <c r="G242">
        <v>12</v>
      </c>
      <c r="H242">
        <v>12</v>
      </c>
      <c r="I242" s="6"/>
      <c r="J242" s="6"/>
      <c r="K242" s="6"/>
      <c r="L242" s="6"/>
      <c r="M242" s="2" t="s">
        <v>188</v>
      </c>
      <c r="N242" s="6" t="s">
        <v>167</v>
      </c>
      <c r="O242" s="6" t="s">
        <v>202</v>
      </c>
      <c r="P242" s="6" t="s">
        <v>107</v>
      </c>
      <c r="Q242" s="6" t="s">
        <v>561</v>
      </c>
      <c r="R242" s="6" t="s">
        <v>524</v>
      </c>
      <c r="S242" s="6" t="s">
        <v>341</v>
      </c>
      <c r="T242" s="6"/>
      <c r="U242" s="6" t="s">
        <v>347</v>
      </c>
      <c r="V242" s="6" t="s">
        <v>348</v>
      </c>
      <c r="W242" s="6" t="s">
        <v>362</v>
      </c>
      <c r="X242" s="6" t="s">
        <v>452</v>
      </c>
      <c r="Y242" s="6" t="s">
        <v>660</v>
      </c>
      <c r="Z242" s="6"/>
      <c r="AA242" s="6"/>
      <c r="AB242" s="6"/>
      <c r="AC242" s="6"/>
      <c r="AD242">
        <v>423</v>
      </c>
    </row>
    <row r="243" spans="1:30" x14ac:dyDescent="0.25">
      <c r="A243" s="9">
        <f t="shared" si="3"/>
        <v>42551</v>
      </c>
      <c r="B243">
        <v>50180780</v>
      </c>
      <c r="C243" s="6" t="s">
        <v>159</v>
      </c>
      <c r="D243">
        <v>1</v>
      </c>
      <c r="E243">
        <v>1</v>
      </c>
      <c r="F243">
        <v>1</v>
      </c>
      <c r="G243">
        <v>25</v>
      </c>
      <c r="H243">
        <v>25</v>
      </c>
      <c r="I243" s="6"/>
      <c r="J243" s="6"/>
      <c r="K243" s="6"/>
      <c r="L243" s="6"/>
      <c r="M243" s="2" t="s">
        <v>191</v>
      </c>
      <c r="N243" s="6" t="s">
        <v>189</v>
      </c>
      <c r="O243" s="6" t="s">
        <v>261</v>
      </c>
      <c r="P243" s="6" t="s">
        <v>108</v>
      </c>
      <c r="Q243" s="6" t="s">
        <v>321</v>
      </c>
      <c r="R243" s="6"/>
      <c r="S243" s="6" t="s">
        <v>341</v>
      </c>
      <c r="T243" s="6"/>
      <c r="U243" s="6" t="s">
        <v>347</v>
      </c>
      <c r="V243" s="6" t="s">
        <v>348</v>
      </c>
      <c r="W243" s="6" t="s">
        <v>361</v>
      </c>
      <c r="X243" s="6"/>
      <c r="Y243" s="6" t="s">
        <v>407</v>
      </c>
      <c r="Z243" s="6"/>
      <c r="AA243" s="6"/>
      <c r="AB243" s="6"/>
      <c r="AC243" s="6"/>
      <c r="AD243">
        <v>425</v>
      </c>
    </row>
    <row r="244" spans="1:30" x14ac:dyDescent="0.25">
      <c r="A244" s="9">
        <f t="shared" si="3"/>
        <v>42573</v>
      </c>
      <c r="B244">
        <v>50181088</v>
      </c>
      <c r="C244" s="6" t="s">
        <v>159</v>
      </c>
      <c r="D244">
        <v>1</v>
      </c>
      <c r="E244">
        <v>1</v>
      </c>
      <c r="F244">
        <v>0</v>
      </c>
      <c r="G244">
        <v>25</v>
      </c>
      <c r="H244">
        <v>25</v>
      </c>
      <c r="I244" s="6"/>
      <c r="J244" s="6"/>
      <c r="K244" s="6"/>
      <c r="L244" s="6"/>
      <c r="M244" s="2" t="s">
        <v>192</v>
      </c>
      <c r="N244" s="6" t="s">
        <v>195</v>
      </c>
      <c r="O244" s="6" t="s">
        <v>555</v>
      </c>
      <c r="P244" s="6" t="s">
        <v>67</v>
      </c>
      <c r="Q244" s="6" t="s">
        <v>322</v>
      </c>
      <c r="R244" s="6"/>
      <c r="S244" s="6" t="s">
        <v>341</v>
      </c>
      <c r="T244" s="6"/>
      <c r="U244" s="6" t="s">
        <v>347</v>
      </c>
      <c r="V244" s="6" t="s">
        <v>348</v>
      </c>
      <c r="W244" s="6" t="s">
        <v>362</v>
      </c>
      <c r="X244" s="6"/>
      <c r="Y244" s="6" t="s">
        <v>401</v>
      </c>
      <c r="Z244" s="6"/>
      <c r="AA244" s="6"/>
      <c r="AB244" s="6"/>
      <c r="AC244" s="6"/>
      <c r="AD244">
        <v>426</v>
      </c>
    </row>
    <row r="245" spans="1:30" x14ac:dyDescent="0.25">
      <c r="A245" s="9">
        <f t="shared" si="3"/>
        <v>42562</v>
      </c>
      <c r="B245">
        <v>50181234</v>
      </c>
      <c r="C245" s="6" t="s">
        <v>159</v>
      </c>
      <c r="D245">
        <v>1</v>
      </c>
      <c r="E245">
        <v>1</v>
      </c>
      <c r="F245">
        <v>1</v>
      </c>
      <c r="G245">
        <v>7</v>
      </c>
      <c r="H245">
        <v>7</v>
      </c>
      <c r="I245" s="6"/>
      <c r="J245" s="6"/>
      <c r="K245" s="6"/>
      <c r="L245" s="6"/>
      <c r="M245" s="2" t="s">
        <v>210</v>
      </c>
      <c r="N245" s="6" t="s">
        <v>210</v>
      </c>
      <c r="O245" s="6" t="s">
        <v>268</v>
      </c>
      <c r="P245" s="6" t="s">
        <v>68</v>
      </c>
      <c r="Q245" s="6" t="s">
        <v>323</v>
      </c>
      <c r="R245" s="6" t="s">
        <v>339</v>
      </c>
      <c r="S245" s="6" t="s">
        <v>341</v>
      </c>
      <c r="T245" s="6"/>
      <c r="U245" s="6" t="s">
        <v>347</v>
      </c>
      <c r="V245" s="6" t="s">
        <v>348</v>
      </c>
      <c r="W245" s="6" t="s">
        <v>365</v>
      </c>
      <c r="X245" s="6"/>
      <c r="Y245" s="6" t="s">
        <v>394</v>
      </c>
      <c r="Z245" s="6"/>
      <c r="AA245" s="6"/>
      <c r="AB245" s="6"/>
      <c r="AC245" s="6"/>
      <c r="AD245">
        <v>428</v>
      </c>
    </row>
    <row r="246" spans="1:30" x14ac:dyDescent="0.25">
      <c r="A246" s="9">
        <f t="shared" si="3"/>
        <v>42590</v>
      </c>
      <c r="B246">
        <v>50180670</v>
      </c>
      <c r="C246" s="6" t="s">
        <v>159</v>
      </c>
      <c r="D246">
        <v>1</v>
      </c>
      <c r="E246">
        <v>1</v>
      </c>
      <c r="F246">
        <v>1</v>
      </c>
      <c r="G246">
        <v>50</v>
      </c>
      <c r="H246">
        <v>50</v>
      </c>
      <c r="I246" s="6"/>
      <c r="J246" s="6"/>
      <c r="K246" s="6"/>
      <c r="L246" s="6"/>
      <c r="M246" s="2" t="s">
        <v>170</v>
      </c>
      <c r="N246" s="6" t="s">
        <v>224</v>
      </c>
      <c r="O246" s="6" t="s">
        <v>201</v>
      </c>
      <c r="P246" s="6" t="s">
        <v>109</v>
      </c>
      <c r="Q246" s="6" t="s">
        <v>324</v>
      </c>
      <c r="R246" s="6"/>
      <c r="S246" s="6" t="s">
        <v>341</v>
      </c>
      <c r="T246" s="6"/>
      <c r="U246" s="6" t="s">
        <v>347</v>
      </c>
      <c r="V246" s="6" t="s">
        <v>348</v>
      </c>
      <c r="W246" s="6" t="s">
        <v>366</v>
      </c>
      <c r="X246" s="6"/>
      <c r="Y246" s="6" t="s">
        <v>401</v>
      </c>
      <c r="Z246" s="6"/>
      <c r="AA246" s="6"/>
      <c r="AB246" s="6"/>
      <c r="AC246" s="6"/>
      <c r="AD246">
        <v>429</v>
      </c>
    </row>
    <row r="247" spans="1:30" x14ac:dyDescent="0.25">
      <c r="A247" s="9">
        <f t="shared" si="3"/>
        <v>42611</v>
      </c>
      <c r="B247">
        <v>50181547</v>
      </c>
      <c r="C247" s="6" t="s">
        <v>159</v>
      </c>
      <c r="D247">
        <v>1</v>
      </c>
      <c r="E247">
        <v>1</v>
      </c>
      <c r="F247">
        <v>0</v>
      </c>
      <c r="G247">
        <v>25</v>
      </c>
      <c r="H247">
        <v>25</v>
      </c>
      <c r="I247" s="6"/>
      <c r="J247" s="6"/>
      <c r="K247" s="6"/>
      <c r="L247" s="6"/>
      <c r="M247" s="2" t="s">
        <v>178</v>
      </c>
      <c r="N247" s="6" t="s">
        <v>178</v>
      </c>
      <c r="O247" s="6" t="s">
        <v>198</v>
      </c>
      <c r="P247" s="6" t="s">
        <v>83</v>
      </c>
      <c r="Q247" s="6" t="s">
        <v>325</v>
      </c>
      <c r="R247" s="6"/>
      <c r="S247" s="6" t="s">
        <v>341</v>
      </c>
      <c r="T247" s="6"/>
      <c r="U247" s="6" t="s">
        <v>347</v>
      </c>
      <c r="V247" s="6" t="s">
        <v>348</v>
      </c>
      <c r="W247" s="6" t="s">
        <v>355</v>
      </c>
      <c r="X247" s="6"/>
      <c r="Y247" s="6" t="s">
        <v>394</v>
      </c>
      <c r="Z247" s="6"/>
      <c r="AA247" s="6"/>
      <c r="AB247" s="6"/>
      <c r="AC247" s="6"/>
      <c r="AD247">
        <v>432</v>
      </c>
    </row>
    <row r="248" spans="1:30" x14ac:dyDescent="0.25">
      <c r="A248" s="9">
        <f t="shared" si="3"/>
        <v>42625</v>
      </c>
      <c r="B248">
        <v>50181548</v>
      </c>
      <c r="C248" s="6" t="s">
        <v>159</v>
      </c>
      <c r="D248">
        <v>1</v>
      </c>
      <c r="E248">
        <v>1</v>
      </c>
      <c r="F248">
        <v>0</v>
      </c>
      <c r="G248">
        <v>25</v>
      </c>
      <c r="H248">
        <v>25</v>
      </c>
      <c r="I248" s="6"/>
      <c r="J248" s="6"/>
      <c r="K248" s="6"/>
      <c r="L248" s="6"/>
      <c r="M248" s="2" t="s">
        <v>166</v>
      </c>
      <c r="N248" s="6" t="s">
        <v>173</v>
      </c>
      <c r="O248" s="6" t="s">
        <v>523</v>
      </c>
      <c r="P248" s="6" t="s">
        <v>83</v>
      </c>
      <c r="Q248" s="6" t="s">
        <v>325</v>
      </c>
      <c r="R248" s="6"/>
      <c r="S248" s="6" t="s">
        <v>341</v>
      </c>
      <c r="T248" s="6"/>
      <c r="U248" s="6" t="s">
        <v>347</v>
      </c>
      <c r="V248" s="6" t="s">
        <v>348</v>
      </c>
      <c r="W248" s="6" t="s">
        <v>355</v>
      </c>
      <c r="X248" s="6"/>
      <c r="Y248" s="6" t="s">
        <v>394</v>
      </c>
      <c r="Z248" s="6"/>
      <c r="AA248" s="6"/>
      <c r="AB248" s="6"/>
      <c r="AC248" s="6"/>
      <c r="AD248">
        <v>433</v>
      </c>
    </row>
    <row r="249" spans="1:30" x14ac:dyDescent="0.25">
      <c r="A249" s="9">
        <f t="shared" si="3"/>
        <v>42599</v>
      </c>
      <c r="B249">
        <v>50181942</v>
      </c>
      <c r="C249" s="6" t="s">
        <v>159</v>
      </c>
      <c r="D249">
        <v>1</v>
      </c>
      <c r="E249">
        <v>1</v>
      </c>
      <c r="F249">
        <v>0</v>
      </c>
      <c r="G249">
        <v>25</v>
      </c>
      <c r="H249">
        <v>25</v>
      </c>
      <c r="I249" s="6"/>
      <c r="J249" s="6"/>
      <c r="K249" s="6"/>
      <c r="L249" s="6"/>
      <c r="M249" s="2" t="s">
        <v>523</v>
      </c>
      <c r="N249" s="6" t="s">
        <v>163</v>
      </c>
      <c r="O249" s="6" t="s">
        <v>556</v>
      </c>
      <c r="P249" s="6" t="s">
        <v>84</v>
      </c>
      <c r="Q249" s="6" t="s">
        <v>475</v>
      </c>
      <c r="R249" s="6" t="s">
        <v>339</v>
      </c>
      <c r="S249" s="6" t="s">
        <v>341</v>
      </c>
      <c r="T249" s="6"/>
      <c r="U249" s="6" t="s">
        <v>347</v>
      </c>
      <c r="V249" s="6" t="s">
        <v>348</v>
      </c>
      <c r="W249" s="6" t="s">
        <v>358</v>
      </c>
      <c r="X249" s="6"/>
      <c r="Y249" s="6" t="s">
        <v>394</v>
      </c>
      <c r="Z249" s="6"/>
      <c r="AA249" s="6"/>
      <c r="AB249" s="6"/>
      <c r="AC249" s="6"/>
      <c r="AD249">
        <v>436</v>
      </c>
    </row>
    <row r="250" spans="1:30" x14ac:dyDescent="0.25">
      <c r="A250" s="9">
        <f t="shared" si="3"/>
        <v>42579</v>
      </c>
      <c r="B250">
        <v>50180750</v>
      </c>
      <c r="C250" s="6" t="s">
        <v>159</v>
      </c>
      <c r="D250">
        <v>1</v>
      </c>
      <c r="E250">
        <v>1</v>
      </c>
      <c r="F250">
        <v>1</v>
      </c>
      <c r="G250">
        <v>25</v>
      </c>
      <c r="H250">
        <v>25</v>
      </c>
      <c r="I250" s="6"/>
      <c r="J250" s="6"/>
      <c r="K250" s="6"/>
      <c r="L250" s="6"/>
      <c r="M250" s="2" t="s">
        <v>186</v>
      </c>
      <c r="N250" s="6" t="s">
        <v>191</v>
      </c>
      <c r="O250" s="6" t="s">
        <v>176</v>
      </c>
      <c r="P250" s="6" t="s">
        <v>85</v>
      </c>
      <c r="Q250" s="6" t="s">
        <v>325</v>
      </c>
      <c r="R250" s="6"/>
      <c r="S250" s="6" t="s">
        <v>341</v>
      </c>
      <c r="T250" s="6"/>
      <c r="U250" s="6" t="s">
        <v>347</v>
      </c>
      <c r="V250" s="6" t="s">
        <v>348</v>
      </c>
      <c r="W250" s="6" t="s">
        <v>355</v>
      </c>
      <c r="X250" s="6"/>
      <c r="Y250" s="6" t="s">
        <v>403</v>
      </c>
      <c r="Z250" s="6"/>
      <c r="AA250" s="6"/>
      <c r="AB250" s="6"/>
      <c r="AC250" s="6"/>
      <c r="AD250">
        <v>443</v>
      </c>
    </row>
    <row r="251" spans="1:30" x14ac:dyDescent="0.25">
      <c r="A251" s="9">
        <f t="shared" si="3"/>
        <v>42597</v>
      </c>
      <c r="B251">
        <v>50181686</v>
      </c>
      <c r="C251" s="6" t="s">
        <v>159</v>
      </c>
      <c r="D251">
        <v>1</v>
      </c>
      <c r="E251">
        <v>1</v>
      </c>
      <c r="F251">
        <v>1</v>
      </c>
      <c r="G251">
        <v>50</v>
      </c>
      <c r="H251">
        <v>50</v>
      </c>
      <c r="I251" s="6"/>
      <c r="J251" s="6"/>
      <c r="K251" s="6"/>
      <c r="L251" s="6"/>
      <c r="M251" s="2" t="s">
        <v>163</v>
      </c>
      <c r="N251" s="6" t="s">
        <v>165</v>
      </c>
      <c r="O251" s="6" t="s">
        <v>167</v>
      </c>
      <c r="P251" s="6" t="s">
        <v>85</v>
      </c>
      <c r="Q251" s="6" t="s">
        <v>325</v>
      </c>
      <c r="R251" s="6"/>
      <c r="S251" s="6" t="s">
        <v>341</v>
      </c>
      <c r="T251" s="6"/>
      <c r="U251" s="6" t="s">
        <v>347</v>
      </c>
      <c r="V251" s="6" t="s">
        <v>348</v>
      </c>
      <c r="W251" s="6" t="s">
        <v>355</v>
      </c>
      <c r="X251" s="6" t="s">
        <v>452</v>
      </c>
      <c r="Y251" s="6" t="s">
        <v>460</v>
      </c>
      <c r="Z251" s="6"/>
      <c r="AA251" s="6"/>
      <c r="AB251" s="6"/>
      <c r="AC251" s="6"/>
      <c r="AD251">
        <v>444</v>
      </c>
    </row>
    <row r="252" spans="1:30" x14ac:dyDescent="0.25">
      <c r="A252" s="9">
        <f t="shared" si="3"/>
        <v>42573</v>
      </c>
      <c r="B252">
        <v>50181214</v>
      </c>
      <c r="C252" s="6" t="s">
        <v>159</v>
      </c>
      <c r="D252">
        <v>1</v>
      </c>
      <c r="E252">
        <v>1</v>
      </c>
      <c r="F252">
        <v>1</v>
      </c>
      <c r="G252">
        <v>50</v>
      </c>
      <c r="H252">
        <v>50</v>
      </c>
      <c r="I252" s="6"/>
      <c r="J252" s="6"/>
      <c r="K252" s="6"/>
      <c r="L252" s="6"/>
      <c r="M252" s="2" t="s">
        <v>192</v>
      </c>
      <c r="N252" s="6" t="s">
        <v>167</v>
      </c>
      <c r="O252" s="6" t="s">
        <v>200</v>
      </c>
      <c r="P252" s="6" t="s">
        <v>86</v>
      </c>
      <c r="Q252" s="6" t="s">
        <v>325</v>
      </c>
      <c r="R252" s="6"/>
      <c r="S252" s="6" t="s">
        <v>341</v>
      </c>
      <c r="T252" s="6"/>
      <c r="U252" s="6" t="s">
        <v>347</v>
      </c>
      <c r="V252" s="6" t="s">
        <v>348</v>
      </c>
      <c r="W252" s="6" t="s">
        <v>355</v>
      </c>
      <c r="X252" s="6"/>
      <c r="Y252" s="6" t="s">
        <v>445</v>
      </c>
      <c r="Z252" s="6"/>
      <c r="AA252" s="6"/>
      <c r="AB252" s="6"/>
      <c r="AC252" s="6"/>
      <c r="AD252">
        <v>447</v>
      </c>
    </row>
    <row r="253" spans="1:30" x14ac:dyDescent="0.25">
      <c r="A253" s="9">
        <f t="shared" si="3"/>
        <v>42573</v>
      </c>
      <c r="B253">
        <v>50180711</v>
      </c>
      <c r="C253" s="6" t="s">
        <v>159</v>
      </c>
      <c r="D253">
        <v>1</v>
      </c>
      <c r="E253">
        <v>1</v>
      </c>
      <c r="F253">
        <v>1</v>
      </c>
      <c r="G253">
        <v>50</v>
      </c>
      <c r="H253">
        <v>50</v>
      </c>
      <c r="I253" s="6"/>
      <c r="J253" s="6"/>
      <c r="K253" s="6"/>
      <c r="L253" s="6"/>
      <c r="M253" s="2" t="s">
        <v>192</v>
      </c>
      <c r="N253" s="6" t="s">
        <v>195</v>
      </c>
      <c r="O253" s="6" t="s">
        <v>200</v>
      </c>
      <c r="P253" s="6" t="s">
        <v>86</v>
      </c>
      <c r="Q253" s="6" t="s">
        <v>325</v>
      </c>
      <c r="R253" s="6"/>
      <c r="S253" s="6" t="s">
        <v>341</v>
      </c>
      <c r="T253" s="6"/>
      <c r="U253" s="6" t="s">
        <v>347</v>
      </c>
      <c r="V253" s="6" t="s">
        <v>348</v>
      </c>
      <c r="W253" s="6" t="s">
        <v>355</v>
      </c>
      <c r="X253" s="6"/>
      <c r="Y253" s="6" t="s">
        <v>401</v>
      </c>
      <c r="Z253" s="6"/>
      <c r="AA253" s="6"/>
      <c r="AB253" s="6"/>
      <c r="AC253" s="6"/>
      <c r="AD253">
        <v>448</v>
      </c>
    </row>
    <row r="254" spans="1:30" x14ac:dyDescent="0.25">
      <c r="A254" s="9">
        <f t="shared" si="3"/>
        <v>42573</v>
      </c>
      <c r="B254">
        <v>50181093</v>
      </c>
      <c r="C254" s="6" t="s">
        <v>159</v>
      </c>
      <c r="D254">
        <v>1</v>
      </c>
      <c r="E254">
        <v>1</v>
      </c>
      <c r="F254">
        <v>1</v>
      </c>
      <c r="G254">
        <v>50</v>
      </c>
      <c r="H254">
        <v>50</v>
      </c>
      <c r="I254" s="6"/>
      <c r="J254" s="6"/>
      <c r="K254" s="6"/>
      <c r="L254" s="6"/>
      <c r="M254" s="2" t="s">
        <v>192</v>
      </c>
      <c r="N254" s="6" t="s">
        <v>201</v>
      </c>
      <c r="O254" s="6" t="s">
        <v>200</v>
      </c>
      <c r="P254" s="6" t="s">
        <v>86</v>
      </c>
      <c r="Q254" s="6" t="s">
        <v>325</v>
      </c>
      <c r="R254" s="6"/>
      <c r="S254" s="6" t="s">
        <v>341</v>
      </c>
      <c r="T254" s="6"/>
      <c r="U254" s="6" t="s">
        <v>347</v>
      </c>
      <c r="V254" s="6" t="s">
        <v>348</v>
      </c>
      <c r="W254" s="6" t="s">
        <v>355</v>
      </c>
      <c r="X254" s="6"/>
      <c r="Y254" s="6" t="s">
        <v>436</v>
      </c>
      <c r="Z254" s="6"/>
      <c r="AA254" s="6"/>
      <c r="AB254" s="6"/>
      <c r="AC254" s="6"/>
      <c r="AD254">
        <v>449</v>
      </c>
    </row>
    <row r="255" spans="1:30" x14ac:dyDescent="0.25">
      <c r="A255" s="9">
        <f t="shared" si="3"/>
        <v>42587</v>
      </c>
      <c r="B255">
        <v>50180712</v>
      </c>
      <c r="C255" s="6" t="s">
        <v>159</v>
      </c>
      <c r="D255">
        <v>1</v>
      </c>
      <c r="E255">
        <v>1</v>
      </c>
      <c r="F255">
        <v>1</v>
      </c>
      <c r="G255">
        <v>50</v>
      </c>
      <c r="H255">
        <v>50</v>
      </c>
      <c r="I255" s="6"/>
      <c r="J255" s="6"/>
      <c r="K255" s="6"/>
      <c r="L255" s="6"/>
      <c r="M255" s="2" t="s">
        <v>206</v>
      </c>
      <c r="N255" s="6" t="s">
        <v>167</v>
      </c>
      <c r="O255" s="6" t="s">
        <v>192</v>
      </c>
      <c r="P255" s="6" t="s">
        <v>86</v>
      </c>
      <c r="Q255" s="6" t="s">
        <v>325</v>
      </c>
      <c r="R255" s="6"/>
      <c r="S255" s="6" t="s">
        <v>341</v>
      </c>
      <c r="T255" s="6"/>
      <c r="U255" s="6" t="s">
        <v>347</v>
      </c>
      <c r="V255" s="6" t="s">
        <v>348</v>
      </c>
      <c r="W255" s="6" t="s">
        <v>355</v>
      </c>
      <c r="X255" s="6" t="s">
        <v>452</v>
      </c>
      <c r="Y255" s="6" t="s">
        <v>397</v>
      </c>
      <c r="Z255" s="6"/>
      <c r="AA255" s="6"/>
      <c r="AB255" s="6"/>
      <c r="AC255" s="6"/>
      <c r="AD255">
        <v>450</v>
      </c>
    </row>
    <row r="256" spans="1:30" x14ac:dyDescent="0.25">
      <c r="A256" s="9">
        <f t="shared" si="3"/>
        <v>42590</v>
      </c>
      <c r="B256">
        <v>50181259</v>
      </c>
      <c r="C256" s="6" t="s">
        <v>159</v>
      </c>
      <c r="D256">
        <v>1</v>
      </c>
      <c r="E256">
        <v>1</v>
      </c>
      <c r="F256">
        <v>0</v>
      </c>
      <c r="G256">
        <v>50</v>
      </c>
      <c r="H256">
        <v>50</v>
      </c>
      <c r="I256" s="6"/>
      <c r="J256" s="6"/>
      <c r="K256" s="6"/>
      <c r="L256" s="6"/>
      <c r="M256" s="2" t="s">
        <v>170</v>
      </c>
      <c r="N256" s="6" t="s">
        <v>170</v>
      </c>
      <c r="O256" s="6" t="s">
        <v>176</v>
      </c>
      <c r="P256" s="6" t="s">
        <v>87</v>
      </c>
      <c r="Q256" s="6" t="s">
        <v>325</v>
      </c>
      <c r="R256" s="6"/>
      <c r="S256" s="6" t="s">
        <v>341</v>
      </c>
      <c r="T256" s="6"/>
      <c r="U256" s="6" t="s">
        <v>347</v>
      </c>
      <c r="V256" s="6" t="s">
        <v>348</v>
      </c>
      <c r="W256" s="6" t="s">
        <v>361</v>
      </c>
      <c r="X256" s="6"/>
      <c r="Y256" s="6" t="s">
        <v>445</v>
      </c>
      <c r="Z256" s="6"/>
      <c r="AA256" s="6"/>
      <c r="AB256" s="6"/>
      <c r="AC256" s="6"/>
      <c r="AD256">
        <v>451</v>
      </c>
    </row>
    <row r="257" spans="1:30" x14ac:dyDescent="0.25">
      <c r="A257" s="9">
        <f t="shared" si="3"/>
        <v>42597</v>
      </c>
      <c r="B257">
        <v>50181552</v>
      </c>
      <c r="C257" s="6" t="s">
        <v>159</v>
      </c>
      <c r="D257">
        <v>1</v>
      </c>
      <c r="E257">
        <v>1</v>
      </c>
      <c r="F257">
        <v>0</v>
      </c>
      <c r="G257">
        <v>50</v>
      </c>
      <c r="H257">
        <v>50</v>
      </c>
      <c r="I257" s="6"/>
      <c r="J257" s="6"/>
      <c r="K257" s="6"/>
      <c r="L257" s="6"/>
      <c r="M257" s="2" t="s">
        <v>163</v>
      </c>
      <c r="N257" s="6" t="s">
        <v>178</v>
      </c>
      <c r="O257" s="6" t="s">
        <v>212</v>
      </c>
      <c r="P257" s="6" t="s">
        <v>87</v>
      </c>
      <c r="Q257" s="6" t="s">
        <v>325</v>
      </c>
      <c r="R257" s="6"/>
      <c r="S257" s="6" t="s">
        <v>341</v>
      </c>
      <c r="T257" s="6"/>
      <c r="U257" s="6" t="s">
        <v>347</v>
      </c>
      <c r="V257" s="6" t="s">
        <v>348</v>
      </c>
      <c r="W257" s="6" t="s">
        <v>361</v>
      </c>
      <c r="X257" s="6"/>
      <c r="Y257" s="6" t="s">
        <v>394</v>
      </c>
      <c r="Z257" s="6"/>
      <c r="AA257" s="6"/>
      <c r="AB257" s="6"/>
      <c r="AC257" s="6"/>
      <c r="AD257">
        <v>452</v>
      </c>
    </row>
    <row r="258" spans="1:30" x14ac:dyDescent="0.25">
      <c r="A258" s="9">
        <f t="shared" si="3"/>
        <v>42611</v>
      </c>
      <c r="B258">
        <v>50181553</v>
      </c>
      <c r="C258" s="6" t="s">
        <v>159</v>
      </c>
      <c r="D258">
        <v>1</v>
      </c>
      <c r="E258">
        <v>1</v>
      </c>
      <c r="F258">
        <v>0</v>
      </c>
      <c r="G258">
        <v>50</v>
      </c>
      <c r="H258">
        <v>50</v>
      </c>
      <c r="I258" s="6"/>
      <c r="J258" s="6"/>
      <c r="K258" s="6"/>
      <c r="L258" s="6"/>
      <c r="M258" s="2" t="s">
        <v>178</v>
      </c>
      <c r="N258" s="6" t="s">
        <v>178</v>
      </c>
      <c r="O258" s="6" t="s">
        <v>198</v>
      </c>
      <c r="P258" s="6" t="s">
        <v>87</v>
      </c>
      <c r="Q258" s="6" t="s">
        <v>325</v>
      </c>
      <c r="R258" s="6"/>
      <c r="S258" s="6" t="s">
        <v>341</v>
      </c>
      <c r="T258" s="6"/>
      <c r="U258" s="6" t="s">
        <v>347</v>
      </c>
      <c r="V258" s="6" t="s">
        <v>348</v>
      </c>
      <c r="W258" s="6" t="s">
        <v>361</v>
      </c>
      <c r="X258" s="6"/>
      <c r="Y258" s="6" t="s">
        <v>394</v>
      </c>
      <c r="Z258" s="6"/>
      <c r="AA258" s="6"/>
      <c r="AB258" s="6"/>
      <c r="AC258" s="6"/>
      <c r="AD258">
        <v>453</v>
      </c>
    </row>
    <row r="259" spans="1:30" x14ac:dyDescent="0.25">
      <c r="A259" s="9">
        <f t="shared" ref="A259:A322" si="4">IF(M259="","",DATEVALUE(M259))</f>
        <v>42660</v>
      </c>
      <c r="B259">
        <v>50180717</v>
      </c>
      <c r="C259" s="6" t="s">
        <v>159</v>
      </c>
      <c r="D259">
        <v>1</v>
      </c>
      <c r="E259">
        <v>1</v>
      </c>
      <c r="F259">
        <v>0</v>
      </c>
      <c r="G259">
        <v>50</v>
      </c>
      <c r="H259">
        <v>50</v>
      </c>
      <c r="I259" s="6"/>
      <c r="J259" s="6"/>
      <c r="K259" s="6"/>
      <c r="L259" s="6"/>
      <c r="M259" s="2" t="s">
        <v>175</v>
      </c>
      <c r="N259" s="6" t="s">
        <v>163</v>
      </c>
      <c r="O259" s="6" t="s">
        <v>282</v>
      </c>
      <c r="P259" s="6" t="s">
        <v>88</v>
      </c>
      <c r="Q259" s="6" t="s">
        <v>325</v>
      </c>
      <c r="R259" s="6"/>
      <c r="S259" s="6" t="s">
        <v>341</v>
      </c>
      <c r="T259" s="6"/>
      <c r="U259" s="6" t="s">
        <v>347</v>
      </c>
      <c r="V259" s="6" t="s">
        <v>348</v>
      </c>
      <c r="W259" s="6" t="s">
        <v>360</v>
      </c>
      <c r="X259" s="6"/>
      <c r="Y259" s="6" t="s">
        <v>436</v>
      </c>
      <c r="Z259" s="6"/>
      <c r="AA259" s="6"/>
      <c r="AB259" s="6"/>
      <c r="AC259" s="6"/>
      <c r="AD259">
        <v>459</v>
      </c>
    </row>
    <row r="260" spans="1:30" x14ac:dyDescent="0.25">
      <c r="A260" s="9">
        <f t="shared" si="4"/>
        <v>42660</v>
      </c>
      <c r="B260">
        <v>50180718</v>
      </c>
      <c r="C260" s="6" t="s">
        <v>159</v>
      </c>
      <c r="D260">
        <v>1</v>
      </c>
      <c r="E260">
        <v>1</v>
      </c>
      <c r="F260">
        <v>0</v>
      </c>
      <c r="G260">
        <v>50</v>
      </c>
      <c r="H260">
        <v>50</v>
      </c>
      <c r="I260" s="6"/>
      <c r="J260" s="6"/>
      <c r="K260" s="6"/>
      <c r="L260" s="6"/>
      <c r="M260" s="2" t="s">
        <v>175</v>
      </c>
      <c r="N260" s="6" t="s">
        <v>175</v>
      </c>
      <c r="O260" s="6" t="s">
        <v>282</v>
      </c>
      <c r="P260" s="6" t="s">
        <v>88</v>
      </c>
      <c r="Q260" s="6" t="s">
        <v>325</v>
      </c>
      <c r="R260" s="6"/>
      <c r="S260" s="6" t="s">
        <v>341</v>
      </c>
      <c r="T260" s="6"/>
      <c r="U260" s="6" t="s">
        <v>347</v>
      </c>
      <c r="V260" s="6" t="s">
        <v>348</v>
      </c>
      <c r="W260" s="6" t="s">
        <v>360</v>
      </c>
      <c r="X260" s="6"/>
      <c r="Y260" s="6" t="s">
        <v>394</v>
      </c>
      <c r="Z260" s="6"/>
      <c r="AA260" s="6"/>
      <c r="AB260" s="6"/>
      <c r="AC260" s="6"/>
      <c r="AD260">
        <v>460</v>
      </c>
    </row>
    <row r="261" spans="1:30" x14ac:dyDescent="0.25">
      <c r="A261" s="9">
        <f t="shared" si="4"/>
        <v>42660</v>
      </c>
      <c r="B261">
        <v>50180707</v>
      </c>
      <c r="C261" s="6" t="s">
        <v>159</v>
      </c>
      <c r="D261">
        <v>1</v>
      </c>
      <c r="E261">
        <v>1</v>
      </c>
      <c r="F261">
        <v>0</v>
      </c>
      <c r="G261">
        <v>50</v>
      </c>
      <c r="H261">
        <v>50</v>
      </c>
      <c r="I261" s="6"/>
      <c r="J261" s="6"/>
      <c r="K261" s="6"/>
      <c r="L261" s="6"/>
      <c r="M261" s="2" t="s">
        <v>175</v>
      </c>
      <c r="N261" s="6" t="s">
        <v>175</v>
      </c>
      <c r="O261" s="6" t="s">
        <v>282</v>
      </c>
      <c r="P261" s="6" t="s">
        <v>89</v>
      </c>
      <c r="Q261" s="6" t="s">
        <v>326</v>
      </c>
      <c r="R261" s="6"/>
      <c r="S261" s="6" t="s">
        <v>341</v>
      </c>
      <c r="T261" s="6"/>
      <c r="U261" s="6" t="s">
        <v>347</v>
      </c>
      <c r="V261" s="6" t="s">
        <v>348</v>
      </c>
      <c r="W261" s="6" t="s">
        <v>358</v>
      </c>
      <c r="X261" s="6"/>
      <c r="Y261" s="6" t="s">
        <v>394</v>
      </c>
      <c r="Z261" s="6"/>
      <c r="AA261" s="6"/>
      <c r="AB261" s="6"/>
      <c r="AC261" s="6"/>
      <c r="AD261">
        <v>463</v>
      </c>
    </row>
    <row r="262" spans="1:30" x14ac:dyDescent="0.25">
      <c r="A262" s="9">
        <f t="shared" si="4"/>
        <v>42660</v>
      </c>
      <c r="B262">
        <v>50180703</v>
      </c>
      <c r="C262" s="6" t="s">
        <v>159</v>
      </c>
      <c r="D262">
        <v>1</v>
      </c>
      <c r="E262">
        <v>1</v>
      </c>
      <c r="F262">
        <v>0</v>
      </c>
      <c r="G262">
        <v>50</v>
      </c>
      <c r="H262">
        <v>50</v>
      </c>
      <c r="I262" s="6"/>
      <c r="J262" s="6"/>
      <c r="K262" s="6"/>
      <c r="L262" s="6"/>
      <c r="M262" s="2" t="s">
        <v>175</v>
      </c>
      <c r="N262" s="6" t="s">
        <v>163</v>
      </c>
      <c r="O262" s="6" t="s">
        <v>164</v>
      </c>
      <c r="P262" s="6" t="s">
        <v>90</v>
      </c>
      <c r="Q262" s="6" t="s">
        <v>327</v>
      </c>
      <c r="R262" s="6"/>
      <c r="S262" s="6" t="s">
        <v>341</v>
      </c>
      <c r="T262" s="6"/>
      <c r="U262" s="6" t="s">
        <v>347</v>
      </c>
      <c r="V262" s="6" t="s">
        <v>348</v>
      </c>
      <c r="W262" s="6" t="s">
        <v>358</v>
      </c>
      <c r="X262" s="6"/>
      <c r="Y262" s="6" t="s">
        <v>436</v>
      </c>
      <c r="Z262" s="6"/>
      <c r="AA262" s="6"/>
      <c r="AB262" s="6"/>
      <c r="AC262" s="6"/>
      <c r="AD262">
        <v>466</v>
      </c>
    </row>
    <row r="263" spans="1:30" x14ac:dyDescent="0.25">
      <c r="A263" s="9">
        <f t="shared" si="4"/>
        <v>42660</v>
      </c>
      <c r="B263">
        <v>50180704</v>
      </c>
      <c r="C263" s="6" t="s">
        <v>159</v>
      </c>
      <c r="D263">
        <v>1</v>
      </c>
      <c r="E263">
        <v>1</v>
      </c>
      <c r="F263">
        <v>0</v>
      </c>
      <c r="G263">
        <v>50</v>
      </c>
      <c r="H263">
        <v>50</v>
      </c>
      <c r="I263" s="6"/>
      <c r="J263" s="6"/>
      <c r="K263" s="6"/>
      <c r="L263" s="6"/>
      <c r="M263" s="2" t="s">
        <v>175</v>
      </c>
      <c r="N263" s="6" t="s">
        <v>175</v>
      </c>
      <c r="O263" s="6" t="s">
        <v>164</v>
      </c>
      <c r="P263" s="6" t="s">
        <v>90</v>
      </c>
      <c r="Q263" s="6" t="s">
        <v>327</v>
      </c>
      <c r="R263" s="6"/>
      <c r="S263" s="6" t="s">
        <v>341</v>
      </c>
      <c r="T263" s="6"/>
      <c r="U263" s="6" t="s">
        <v>347</v>
      </c>
      <c r="V263" s="6" t="s">
        <v>348</v>
      </c>
      <c r="W263" s="6" t="s">
        <v>358</v>
      </c>
      <c r="X263" s="6"/>
      <c r="Y263" s="6" t="s">
        <v>394</v>
      </c>
      <c r="Z263" s="6"/>
      <c r="AA263" s="6"/>
      <c r="AB263" s="6"/>
      <c r="AC263" s="6"/>
      <c r="AD263">
        <v>467</v>
      </c>
    </row>
    <row r="264" spans="1:30" x14ac:dyDescent="0.25">
      <c r="A264" s="9">
        <f t="shared" si="4"/>
        <v>42590</v>
      </c>
      <c r="B264">
        <v>50181716</v>
      </c>
      <c r="C264" s="6" t="s">
        <v>159</v>
      </c>
      <c r="D264">
        <v>1</v>
      </c>
      <c r="E264">
        <v>1</v>
      </c>
      <c r="F264">
        <v>0</v>
      </c>
      <c r="G264">
        <v>50</v>
      </c>
      <c r="H264">
        <v>50</v>
      </c>
      <c r="I264" s="6"/>
      <c r="J264" s="6"/>
      <c r="K264" s="6"/>
      <c r="L264" s="6"/>
      <c r="M264" s="2" t="s">
        <v>170</v>
      </c>
      <c r="N264" s="6" t="s">
        <v>210</v>
      </c>
      <c r="O264" s="6" t="s">
        <v>201</v>
      </c>
      <c r="P264" s="6" t="s">
        <v>91</v>
      </c>
      <c r="Q264" s="6" t="s">
        <v>325</v>
      </c>
      <c r="R264" s="6"/>
      <c r="S264" s="6" t="s">
        <v>341</v>
      </c>
      <c r="T264" s="6"/>
      <c r="U264" s="6" t="s">
        <v>347</v>
      </c>
      <c r="V264" s="6" t="s">
        <v>348</v>
      </c>
      <c r="W264" s="6" t="s">
        <v>360</v>
      </c>
      <c r="X264" s="6"/>
      <c r="Y264" s="6" t="s">
        <v>672</v>
      </c>
      <c r="Z264" s="6"/>
      <c r="AA264" s="6"/>
      <c r="AB264" s="6"/>
      <c r="AC264" s="6"/>
      <c r="AD264">
        <v>469</v>
      </c>
    </row>
    <row r="265" spans="1:30" x14ac:dyDescent="0.25">
      <c r="A265" s="9">
        <f t="shared" si="4"/>
        <v>42576</v>
      </c>
      <c r="B265">
        <v>50180204</v>
      </c>
      <c r="C265" s="6" t="s">
        <v>159</v>
      </c>
      <c r="D265">
        <v>1</v>
      </c>
      <c r="E265">
        <v>1</v>
      </c>
      <c r="F265">
        <v>1</v>
      </c>
      <c r="G265">
        <v>25</v>
      </c>
      <c r="H265">
        <v>25</v>
      </c>
      <c r="I265" s="6"/>
      <c r="J265" s="6"/>
      <c r="K265" s="6"/>
      <c r="L265" s="6"/>
      <c r="M265" s="2" t="s">
        <v>201</v>
      </c>
      <c r="N265" s="6" t="s">
        <v>191</v>
      </c>
      <c r="O265" s="6" t="s">
        <v>210</v>
      </c>
      <c r="P265" s="6" t="s">
        <v>92</v>
      </c>
      <c r="Q265" s="6" t="s">
        <v>525</v>
      </c>
      <c r="R265" s="6"/>
      <c r="S265" s="6" t="s">
        <v>341</v>
      </c>
      <c r="T265" s="6"/>
      <c r="U265" s="6" t="s">
        <v>347</v>
      </c>
      <c r="V265" s="6" t="s">
        <v>348</v>
      </c>
      <c r="W265" s="6" t="s">
        <v>358</v>
      </c>
      <c r="X265" s="6"/>
      <c r="Y265" s="6" t="s">
        <v>434</v>
      </c>
      <c r="Z265" s="6"/>
      <c r="AA265" s="6"/>
      <c r="AB265" s="6"/>
      <c r="AC265" s="6"/>
      <c r="AD265">
        <v>473</v>
      </c>
    </row>
    <row r="266" spans="1:30" x14ac:dyDescent="0.25">
      <c r="A266" s="9">
        <f t="shared" si="4"/>
        <v>42576</v>
      </c>
      <c r="B266">
        <v>50180714</v>
      </c>
      <c r="C266" s="6" t="s">
        <v>159</v>
      </c>
      <c r="D266">
        <v>1</v>
      </c>
      <c r="E266">
        <v>1</v>
      </c>
      <c r="F266">
        <v>1</v>
      </c>
      <c r="G266">
        <v>25</v>
      </c>
      <c r="H266">
        <v>25</v>
      </c>
      <c r="I266" s="6"/>
      <c r="J266" s="6"/>
      <c r="K266" s="6"/>
      <c r="L266" s="6"/>
      <c r="M266" s="2" t="s">
        <v>201</v>
      </c>
      <c r="N266" s="6" t="s">
        <v>195</v>
      </c>
      <c r="O266" s="6" t="s">
        <v>210</v>
      </c>
      <c r="P266" s="6" t="s">
        <v>92</v>
      </c>
      <c r="Q266" s="6" t="s">
        <v>525</v>
      </c>
      <c r="R266" s="6"/>
      <c r="S266" s="6" t="s">
        <v>341</v>
      </c>
      <c r="T266" s="6"/>
      <c r="U266" s="6" t="s">
        <v>347</v>
      </c>
      <c r="V266" s="6" t="s">
        <v>348</v>
      </c>
      <c r="W266" s="6" t="s">
        <v>358</v>
      </c>
      <c r="X266" s="6"/>
      <c r="Y266" s="6" t="s">
        <v>434</v>
      </c>
      <c r="Z266" s="6"/>
      <c r="AA266" s="6"/>
      <c r="AB266" s="6"/>
      <c r="AC266" s="6"/>
      <c r="AD266">
        <v>474</v>
      </c>
    </row>
    <row r="267" spans="1:30" x14ac:dyDescent="0.25">
      <c r="A267" s="9">
        <f t="shared" si="4"/>
        <v>42576</v>
      </c>
      <c r="B267">
        <v>50180715</v>
      </c>
      <c r="C267" s="6" t="s">
        <v>159</v>
      </c>
      <c r="D267">
        <v>1</v>
      </c>
      <c r="E267">
        <v>1</v>
      </c>
      <c r="F267">
        <v>1</v>
      </c>
      <c r="G267">
        <v>25</v>
      </c>
      <c r="H267">
        <v>25</v>
      </c>
      <c r="I267" s="6"/>
      <c r="J267" s="6"/>
      <c r="K267" s="6"/>
      <c r="L267" s="6"/>
      <c r="M267" s="2" t="s">
        <v>201</v>
      </c>
      <c r="N267" s="6" t="s">
        <v>179</v>
      </c>
      <c r="O267" s="6" t="s">
        <v>210</v>
      </c>
      <c r="P267" s="6" t="s">
        <v>92</v>
      </c>
      <c r="Q267" s="6" t="s">
        <v>525</v>
      </c>
      <c r="R267" s="6"/>
      <c r="S267" s="6" t="s">
        <v>341</v>
      </c>
      <c r="T267" s="6"/>
      <c r="U267" s="6" t="s">
        <v>347</v>
      </c>
      <c r="V267" s="6" t="s">
        <v>348</v>
      </c>
      <c r="W267" s="6" t="s">
        <v>358</v>
      </c>
      <c r="X267" s="6"/>
      <c r="Y267" s="6" t="s">
        <v>434</v>
      </c>
      <c r="Z267" s="6"/>
      <c r="AA267" s="6"/>
      <c r="AB267" s="6"/>
      <c r="AC267" s="6"/>
      <c r="AD267">
        <v>475</v>
      </c>
    </row>
    <row r="268" spans="1:30" x14ac:dyDescent="0.25">
      <c r="A268" s="9">
        <f t="shared" si="4"/>
        <v>42604</v>
      </c>
      <c r="B268">
        <v>50181554</v>
      </c>
      <c r="C268" s="6" t="s">
        <v>159</v>
      </c>
      <c r="D268">
        <v>1</v>
      </c>
      <c r="E268">
        <v>1</v>
      </c>
      <c r="F268">
        <v>1</v>
      </c>
      <c r="G268">
        <v>25</v>
      </c>
      <c r="H268">
        <v>25</v>
      </c>
      <c r="I268" s="6"/>
      <c r="J268" s="6"/>
      <c r="K268" s="6"/>
      <c r="L268" s="6"/>
      <c r="M268" s="2" t="s">
        <v>179</v>
      </c>
      <c r="N268" s="6" t="s">
        <v>179</v>
      </c>
      <c r="O268" s="6" t="s">
        <v>170</v>
      </c>
      <c r="P268" s="6" t="s">
        <v>92</v>
      </c>
      <c r="Q268" s="6" t="s">
        <v>525</v>
      </c>
      <c r="R268" s="6"/>
      <c r="S268" s="6" t="s">
        <v>341</v>
      </c>
      <c r="T268" s="6"/>
      <c r="U268" s="6" t="s">
        <v>347</v>
      </c>
      <c r="V268" s="6" t="s">
        <v>348</v>
      </c>
      <c r="W268" s="6" t="s">
        <v>358</v>
      </c>
      <c r="X268" s="6"/>
      <c r="Y268" s="6" t="s">
        <v>394</v>
      </c>
      <c r="Z268" s="6"/>
      <c r="AA268" s="6"/>
      <c r="AB268" s="6"/>
      <c r="AC268" s="6"/>
      <c r="AD268">
        <v>476</v>
      </c>
    </row>
    <row r="269" spans="1:30" x14ac:dyDescent="0.25">
      <c r="A269" s="9">
        <f t="shared" si="4"/>
        <v>42597</v>
      </c>
      <c r="B269">
        <v>50181539</v>
      </c>
      <c r="C269" s="6" t="s">
        <v>159</v>
      </c>
      <c r="D269">
        <v>1</v>
      </c>
      <c r="E269">
        <v>1</v>
      </c>
      <c r="F269">
        <v>0</v>
      </c>
      <c r="G269">
        <v>25</v>
      </c>
      <c r="H269">
        <v>25</v>
      </c>
      <c r="I269" s="6"/>
      <c r="J269" s="6"/>
      <c r="K269" s="6"/>
      <c r="L269" s="6"/>
      <c r="M269" s="2" t="s">
        <v>163</v>
      </c>
      <c r="N269" s="6" t="s">
        <v>163</v>
      </c>
      <c r="O269" s="6" t="s">
        <v>167</v>
      </c>
      <c r="P269" s="6" t="s">
        <v>93</v>
      </c>
      <c r="Q269" s="6" t="s">
        <v>328</v>
      </c>
      <c r="R269" s="6"/>
      <c r="S269" s="6" t="s">
        <v>341</v>
      </c>
      <c r="T269" s="6"/>
      <c r="U269" s="6" t="s">
        <v>347</v>
      </c>
      <c r="V269" s="6" t="s">
        <v>348</v>
      </c>
      <c r="W269" s="6" t="s">
        <v>362</v>
      </c>
      <c r="X269" s="6"/>
      <c r="Y269" s="6" t="s">
        <v>394</v>
      </c>
      <c r="Z269" s="6"/>
      <c r="AA269" s="6"/>
      <c r="AB269" s="6"/>
      <c r="AC269" s="6"/>
      <c r="AD269">
        <v>485</v>
      </c>
    </row>
    <row r="270" spans="1:30" x14ac:dyDescent="0.25">
      <c r="A270" s="9">
        <f t="shared" si="4"/>
        <v>42559</v>
      </c>
      <c r="B270">
        <v>50180274</v>
      </c>
      <c r="C270" s="6" t="s">
        <v>159</v>
      </c>
      <c r="D270">
        <v>1</v>
      </c>
      <c r="E270">
        <v>1</v>
      </c>
      <c r="F270">
        <v>1</v>
      </c>
      <c r="G270">
        <v>10</v>
      </c>
      <c r="H270">
        <v>10</v>
      </c>
      <c r="I270" s="6"/>
      <c r="J270" s="6"/>
      <c r="K270" s="6"/>
      <c r="L270" s="6"/>
      <c r="M270" s="2" t="s">
        <v>200</v>
      </c>
      <c r="N270" s="6" t="s">
        <v>225</v>
      </c>
      <c r="O270" s="6" t="s">
        <v>230</v>
      </c>
      <c r="P270" s="6" t="s">
        <v>94</v>
      </c>
      <c r="Q270" s="6" t="s">
        <v>325</v>
      </c>
      <c r="R270" s="6" t="s">
        <v>619</v>
      </c>
      <c r="S270" s="6" t="s">
        <v>341</v>
      </c>
      <c r="T270" s="6"/>
      <c r="U270" s="6" t="s">
        <v>347</v>
      </c>
      <c r="V270" s="6" t="s">
        <v>348</v>
      </c>
      <c r="W270" s="6" t="s">
        <v>362</v>
      </c>
      <c r="X270" s="6"/>
      <c r="Y270" s="6" t="s">
        <v>673</v>
      </c>
      <c r="Z270" s="6"/>
      <c r="AA270" s="6"/>
      <c r="AB270" s="6"/>
      <c r="AC270" s="6"/>
      <c r="AD270">
        <v>486</v>
      </c>
    </row>
    <row r="271" spans="1:30" x14ac:dyDescent="0.25">
      <c r="A271" s="9">
        <f t="shared" si="4"/>
        <v>42611</v>
      </c>
      <c r="B271">
        <v>50181943</v>
      </c>
      <c r="C271" s="6" t="s">
        <v>159</v>
      </c>
      <c r="D271">
        <v>1</v>
      </c>
      <c r="E271">
        <v>1</v>
      </c>
      <c r="F271">
        <v>0</v>
      </c>
      <c r="G271">
        <v>25</v>
      </c>
      <c r="H271">
        <v>25</v>
      </c>
      <c r="I271" s="6"/>
      <c r="J271" s="6"/>
      <c r="K271" s="6"/>
      <c r="L271" s="6"/>
      <c r="M271" s="2" t="s">
        <v>178</v>
      </c>
      <c r="N271" s="6" t="s">
        <v>178</v>
      </c>
      <c r="O271" s="6" t="s">
        <v>163</v>
      </c>
      <c r="P271" s="6" t="s">
        <v>94</v>
      </c>
      <c r="Q271" s="6" t="s">
        <v>325</v>
      </c>
      <c r="R271" s="6"/>
      <c r="S271" s="6" t="s">
        <v>341</v>
      </c>
      <c r="T271" s="6"/>
      <c r="U271" s="6" t="s">
        <v>347</v>
      </c>
      <c r="V271" s="6" t="s">
        <v>348</v>
      </c>
      <c r="W271" s="6" t="s">
        <v>362</v>
      </c>
      <c r="X271" s="6"/>
      <c r="Y271" s="6"/>
      <c r="Z271" s="6"/>
      <c r="AA271" s="6"/>
      <c r="AB271" s="6"/>
      <c r="AC271" s="6"/>
      <c r="AD271">
        <v>487</v>
      </c>
    </row>
    <row r="272" spans="1:30" x14ac:dyDescent="0.25">
      <c r="A272" s="9">
        <f t="shared" si="4"/>
        <v>42611</v>
      </c>
      <c r="B272">
        <v>50181644</v>
      </c>
      <c r="C272" s="6" t="s">
        <v>159</v>
      </c>
      <c r="D272">
        <v>1</v>
      </c>
      <c r="E272">
        <v>1</v>
      </c>
      <c r="F272">
        <v>0</v>
      </c>
      <c r="G272">
        <v>20</v>
      </c>
      <c r="H272">
        <v>20</v>
      </c>
      <c r="I272" s="6"/>
      <c r="J272" s="6"/>
      <c r="K272" s="6"/>
      <c r="L272" s="6"/>
      <c r="M272" s="2" t="s">
        <v>178</v>
      </c>
      <c r="N272" s="6" t="s">
        <v>178</v>
      </c>
      <c r="O272" s="6" t="s">
        <v>163</v>
      </c>
      <c r="P272" s="6" t="s">
        <v>94</v>
      </c>
      <c r="Q272" s="6" t="s">
        <v>325</v>
      </c>
      <c r="R272" s="6" t="s">
        <v>595</v>
      </c>
      <c r="S272" s="6" t="s">
        <v>341</v>
      </c>
      <c r="T272" s="6"/>
      <c r="U272" s="6" t="s">
        <v>347</v>
      </c>
      <c r="V272" s="6" t="s">
        <v>348</v>
      </c>
      <c r="W272" s="6" t="s">
        <v>362</v>
      </c>
      <c r="X272" s="6"/>
      <c r="Y272" s="6" t="s">
        <v>394</v>
      </c>
      <c r="Z272" s="6"/>
      <c r="AA272" s="6"/>
      <c r="AB272" s="6"/>
      <c r="AC272" s="6"/>
      <c r="AD272">
        <v>488</v>
      </c>
    </row>
    <row r="273" spans="1:30" x14ac:dyDescent="0.25">
      <c r="A273" s="9">
        <f t="shared" si="4"/>
        <v>42583</v>
      </c>
      <c r="B273">
        <v>50180019</v>
      </c>
      <c r="C273" s="6" t="s">
        <v>159</v>
      </c>
      <c r="D273">
        <v>1</v>
      </c>
      <c r="E273">
        <v>1</v>
      </c>
      <c r="F273">
        <v>0</v>
      </c>
      <c r="G273">
        <v>50</v>
      </c>
      <c r="H273">
        <v>50</v>
      </c>
      <c r="I273" s="6"/>
      <c r="J273" s="6"/>
      <c r="K273" s="6"/>
      <c r="L273" s="6"/>
      <c r="M273" s="2" t="s">
        <v>167</v>
      </c>
      <c r="N273" s="6" t="s">
        <v>195</v>
      </c>
      <c r="O273" s="6" t="s">
        <v>195</v>
      </c>
      <c r="P273" s="6" t="s">
        <v>95</v>
      </c>
      <c r="Q273" s="6" t="s">
        <v>329</v>
      </c>
      <c r="R273" s="6"/>
      <c r="S273" s="6" t="s">
        <v>341</v>
      </c>
      <c r="T273" s="6"/>
      <c r="U273" s="6" t="s">
        <v>347</v>
      </c>
      <c r="V273" s="6" t="s">
        <v>348</v>
      </c>
      <c r="W273" s="6" t="s">
        <v>365</v>
      </c>
      <c r="X273" s="6"/>
      <c r="Y273" s="6" t="s">
        <v>654</v>
      </c>
      <c r="Z273" s="6"/>
      <c r="AA273" s="6"/>
      <c r="AB273" s="6"/>
      <c r="AC273" s="6"/>
      <c r="AD273">
        <v>489</v>
      </c>
    </row>
    <row r="274" spans="1:30" x14ac:dyDescent="0.25">
      <c r="A274" s="9">
        <f t="shared" si="4"/>
        <v>42597</v>
      </c>
      <c r="B274">
        <v>50181537</v>
      </c>
      <c r="C274" s="6" t="s">
        <v>159</v>
      </c>
      <c r="D274">
        <v>1</v>
      </c>
      <c r="E274">
        <v>1</v>
      </c>
      <c r="F274">
        <v>0</v>
      </c>
      <c r="G274">
        <v>50</v>
      </c>
      <c r="H274">
        <v>50</v>
      </c>
      <c r="I274" s="6"/>
      <c r="J274" s="6"/>
      <c r="K274" s="6"/>
      <c r="L274" s="6"/>
      <c r="M274" s="2" t="s">
        <v>163</v>
      </c>
      <c r="N274" s="6" t="s">
        <v>163</v>
      </c>
      <c r="O274" s="6" t="s">
        <v>167</v>
      </c>
      <c r="P274" s="6" t="s">
        <v>95</v>
      </c>
      <c r="Q274" s="6" t="s">
        <v>329</v>
      </c>
      <c r="R274" s="6"/>
      <c r="S274" s="6" t="s">
        <v>341</v>
      </c>
      <c r="T274" s="6"/>
      <c r="U274" s="6" t="s">
        <v>347</v>
      </c>
      <c r="V274" s="6" t="s">
        <v>348</v>
      </c>
      <c r="W274" s="6" t="s">
        <v>365</v>
      </c>
      <c r="X274" s="6"/>
      <c r="Y274" s="6" t="s">
        <v>394</v>
      </c>
      <c r="Z274" s="6"/>
      <c r="AA274" s="6"/>
      <c r="AB274" s="6"/>
      <c r="AC274" s="6"/>
      <c r="AD274">
        <v>490</v>
      </c>
    </row>
    <row r="275" spans="1:30" x14ac:dyDescent="0.25">
      <c r="A275" s="9">
        <f t="shared" si="4"/>
        <v>42611</v>
      </c>
      <c r="B275">
        <v>50181538</v>
      </c>
      <c r="C275" s="6" t="s">
        <v>159</v>
      </c>
      <c r="D275">
        <v>1</v>
      </c>
      <c r="E275">
        <v>1</v>
      </c>
      <c r="F275">
        <v>0</v>
      </c>
      <c r="G275">
        <v>50</v>
      </c>
      <c r="H275">
        <v>50</v>
      </c>
      <c r="I275" s="6"/>
      <c r="J275" s="6"/>
      <c r="K275" s="6"/>
      <c r="L275" s="6"/>
      <c r="M275" s="2" t="s">
        <v>178</v>
      </c>
      <c r="N275" s="6" t="s">
        <v>178</v>
      </c>
      <c r="O275" s="6" t="s">
        <v>163</v>
      </c>
      <c r="P275" s="6" t="s">
        <v>95</v>
      </c>
      <c r="Q275" s="6" t="s">
        <v>329</v>
      </c>
      <c r="R275" s="6"/>
      <c r="S275" s="6" t="s">
        <v>341</v>
      </c>
      <c r="T275" s="6"/>
      <c r="U275" s="6" t="s">
        <v>347</v>
      </c>
      <c r="V275" s="6" t="s">
        <v>348</v>
      </c>
      <c r="W275" s="6" t="s">
        <v>365</v>
      </c>
      <c r="X275" s="6"/>
      <c r="Y275" s="6" t="s">
        <v>394</v>
      </c>
      <c r="Z275" s="6"/>
      <c r="AA275" s="6"/>
      <c r="AB275" s="6"/>
      <c r="AC275" s="6"/>
      <c r="AD275">
        <v>491</v>
      </c>
    </row>
    <row r="276" spans="1:30" x14ac:dyDescent="0.25">
      <c r="A276" s="9">
        <f t="shared" si="4"/>
        <v>42597</v>
      </c>
      <c r="B276">
        <v>50180975</v>
      </c>
      <c r="C276" s="6" t="s">
        <v>159</v>
      </c>
      <c r="D276">
        <v>1</v>
      </c>
      <c r="E276">
        <v>1</v>
      </c>
      <c r="F276">
        <v>0</v>
      </c>
      <c r="G276">
        <v>100</v>
      </c>
      <c r="H276">
        <v>100</v>
      </c>
      <c r="I276" s="6"/>
      <c r="J276" s="6"/>
      <c r="K276" s="6"/>
      <c r="L276" s="6"/>
      <c r="M276" s="2" t="s">
        <v>163</v>
      </c>
      <c r="N276" s="6" t="s">
        <v>210</v>
      </c>
      <c r="O276" s="6" t="s">
        <v>186</v>
      </c>
      <c r="P276" s="6" t="s">
        <v>70</v>
      </c>
      <c r="Q276" s="6" t="s">
        <v>330</v>
      </c>
      <c r="R276" s="6"/>
      <c r="S276" s="6" t="s">
        <v>341</v>
      </c>
      <c r="T276" s="6"/>
      <c r="U276" s="6" t="s">
        <v>347</v>
      </c>
      <c r="V276" s="6" t="s">
        <v>348</v>
      </c>
      <c r="W276" s="6" t="s">
        <v>358</v>
      </c>
      <c r="X276" s="6"/>
      <c r="Y276" s="6" t="s">
        <v>418</v>
      </c>
      <c r="Z276" s="6"/>
      <c r="AA276" s="6"/>
      <c r="AB276" s="6"/>
      <c r="AC276" s="6"/>
      <c r="AD276">
        <v>497</v>
      </c>
    </row>
    <row r="277" spans="1:30" x14ac:dyDescent="0.25">
      <c r="A277" s="9">
        <f t="shared" si="4"/>
        <v>42611</v>
      </c>
      <c r="B277">
        <v>50181642</v>
      </c>
      <c r="C277" s="6" t="s">
        <v>159</v>
      </c>
      <c r="D277">
        <v>1</v>
      </c>
      <c r="E277">
        <v>1</v>
      </c>
      <c r="F277">
        <v>0</v>
      </c>
      <c r="G277">
        <v>250</v>
      </c>
      <c r="H277">
        <v>250</v>
      </c>
      <c r="I277" s="6"/>
      <c r="J277" s="6"/>
      <c r="K277" s="6"/>
      <c r="L277" s="6"/>
      <c r="M277" s="2" t="s">
        <v>178</v>
      </c>
      <c r="N277" s="6" t="s">
        <v>178</v>
      </c>
      <c r="O277" s="6" t="s">
        <v>187</v>
      </c>
      <c r="P277" s="6" t="s">
        <v>70</v>
      </c>
      <c r="Q277" s="6" t="s">
        <v>330</v>
      </c>
      <c r="R277" s="6"/>
      <c r="S277" s="6" t="s">
        <v>341</v>
      </c>
      <c r="T277" s="6"/>
      <c r="U277" s="6" t="s">
        <v>347</v>
      </c>
      <c r="V277" s="6" t="s">
        <v>348</v>
      </c>
      <c r="W277" s="6" t="s">
        <v>358</v>
      </c>
      <c r="X277" s="6"/>
      <c r="Y277" s="6" t="s">
        <v>394</v>
      </c>
      <c r="Z277" s="6"/>
      <c r="AA277" s="6"/>
      <c r="AB277" s="6"/>
      <c r="AC277" s="6"/>
      <c r="AD277">
        <v>498</v>
      </c>
    </row>
    <row r="278" spans="1:30" x14ac:dyDescent="0.25">
      <c r="A278" s="9">
        <f t="shared" si="4"/>
        <v>42551</v>
      </c>
      <c r="B278">
        <v>50179610</v>
      </c>
      <c r="C278" s="6" t="s">
        <v>159</v>
      </c>
      <c r="D278">
        <v>1</v>
      </c>
      <c r="E278">
        <v>1</v>
      </c>
      <c r="F278">
        <v>0</v>
      </c>
      <c r="G278">
        <v>250</v>
      </c>
      <c r="H278">
        <v>250</v>
      </c>
      <c r="I278" s="6"/>
      <c r="J278" s="6"/>
      <c r="K278" s="6"/>
      <c r="L278" s="6"/>
      <c r="M278" s="2" t="s">
        <v>191</v>
      </c>
      <c r="N278" s="6" t="s">
        <v>210</v>
      </c>
      <c r="O278" s="6" t="s">
        <v>224</v>
      </c>
      <c r="P278" s="6" t="s">
        <v>110</v>
      </c>
      <c r="Q278" s="6" t="s">
        <v>331</v>
      </c>
      <c r="R278" s="6"/>
      <c r="S278" s="6" t="s">
        <v>341</v>
      </c>
      <c r="T278" s="6"/>
      <c r="U278" s="6" t="s">
        <v>347</v>
      </c>
      <c r="V278" s="6" t="s">
        <v>348</v>
      </c>
      <c r="W278" s="6" t="s">
        <v>360</v>
      </c>
      <c r="X278" s="6" t="s">
        <v>452</v>
      </c>
      <c r="Y278" s="6" t="s">
        <v>674</v>
      </c>
      <c r="Z278" s="6"/>
      <c r="AA278" s="6"/>
      <c r="AB278" s="6"/>
      <c r="AC278" s="6"/>
      <c r="AD278">
        <v>499</v>
      </c>
    </row>
    <row r="279" spans="1:30" x14ac:dyDescent="0.25">
      <c r="A279" s="9">
        <f t="shared" si="4"/>
        <v>42604</v>
      </c>
      <c r="B279">
        <v>50181092</v>
      </c>
      <c r="C279" s="6" t="s">
        <v>159</v>
      </c>
      <c r="D279">
        <v>1</v>
      </c>
      <c r="E279">
        <v>1</v>
      </c>
      <c r="F279">
        <v>0</v>
      </c>
      <c r="G279">
        <v>250</v>
      </c>
      <c r="H279">
        <v>250</v>
      </c>
      <c r="I279" s="6"/>
      <c r="J279" s="6"/>
      <c r="K279" s="6"/>
      <c r="L279" s="6"/>
      <c r="M279" s="2" t="s">
        <v>179</v>
      </c>
      <c r="N279" s="6" t="s">
        <v>167</v>
      </c>
      <c r="O279" s="6" t="s">
        <v>202</v>
      </c>
      <c r="P279" s="6" t="s">
        <v>110</v>
      </c>
      <c r="Q279" s="6" t="s">
        <v>331</v>
      </c>
      <c r="R279" s="6"/>
      <c r="S279" s="6" t="s">
        <v>341</v>
      </c>
      <c r="T279" s="6"/>
      <c r="U279" s="6" t="s">
        <v>347</v>
      </c>
      <c r="V279" s="6" t="s">
        <v>348</v>
      </c>
      <c r="W279" s="6" t="s">
        <v>360</v>
      </c>
      <c r="X279" s="6"/>
      <c r="Y279" s="6" t="s">
        <v>397</v>
      </c>
      <c r="Z279" s="6"/>
      <c r="AA279" s="6"/>
      <c r="AB279" s="6"/>
      <c r="AC279" s="6"/>
      <c r="AD279">
        <v>500</v>
      </c>
    </row>
    <row r="280" spans="1:30" x14ac:dyDescent="0.25">
      <c r="A280" s="9">
        <f t="shared" si="4"/>
        <v>42576</v>
      </c>
      <c r="B280">
        <v>50178604</v>
      </c>
      <c r="C280" s="6" t="s">
        <v>159</v>
      </c>
      <c r="D280">
        <v>1</v>
      </c>
      <c r="E280">
        <v>1</v>
      </c>
      <c r="F280">
        <v>0</v>
      </c>
      <c r="G280">
        <v>250</v>
      </c>
      <c r="H280">
        <v>38</v>
      </c>
      <c r="I280" s="6"/>
      <c r="J280" s="6"/>
      <c r="K280" s="6"/>
      <c r="L280" s="6"/>
      <c r="M280" s="2" t="s">
        <v>201</v>
      </c>
      <c r="N280" s="6" t="s">
        <v>177</v>
      </c>
      <c r="O280" s="6" t="s">
        <v>200</v>
      </c>
      <c r="P280" s="6" t="s">
        <v>111</v>
      </c>
      <c r="Q280" s="6" t="s">
        <v>330</v>
      </c>
      <c r="R280" s="6" t="s">
        <v>339</v>
      </c>
      <c r="S280" s="6" t="s">
        <v>341</v>
      </c>
      <c r="T280" s="6"/>
      <c r="U280" s="6" t="s">
        <v>630</v>
      </c>
      <c r="V280" s="6" t="s">
        <v>348</v>
      </c>
      <c r="W280" s="6" t="s">
        <v>366</v>
      </c>
      <c r="X280" s="6"/>
      <c r="Y280" s="6" t="s">
        <v>675</v>
      </c>
      <c r="Z280" s="6"/>
      <c r="AA280" s="6"/>
      <c r="AB280" s="6"/>
      <c r="AC280" s="6"/>
      <c r="AD280">
        <v>506</v>
      </c>
    </row>
    <row r="281" spans="1:30" x14ac:dyDescent="0.25">
      <c r="A281" s="9">
        <f t="shared" si="4"/>
        <v>42583</v>
      </c>
      <c r="B281">
        <v>50181643</v>
      </c>
      <c r="C281" s="6" t="s">
        <v>159</v>
      </c>
      <c r="D281">
        <v>1</v>
      </c>
      <c r="E281">
        <v>1</v>
      </c>
      <c r="F281">
        <v>0</v>
      </c>
      <c r="G281">
        <v>250</v>
      </c>
      <c r="H281">
        <v>250</v>
      </c>
      <c r="I281" s="6"/>
      <c r="J281" s="6"/>
      <c r="K281" s="6"/>
      <c r="L281" s="6"/>
      <c r="M281" s="2" t="s">
        <v>167</v>
      </c>
      <c r="N281" s="6" t="s">
        <v>178</v>
      </c>
      <c r="O281" s="6" t="s">
        <v>176</v>
      </c>
      <c r="P281" s="6" t="s">
        <v>111</v>
      </c>
      <c r="Q281" s="6" t="s">
        <v>330</v>
      </c>
      <c r="R281" s="6"/>
      <c r="S281" s="6" t="s">
        <v>341</v>
      </c>
      <c r="T281" s="6"/>
      <c r="U281" s="6" t="s">
        <v>347</v>
      </c>
      <c r="V281" s="6" t="s">
        <v>348</v>
      </c>
      <c r="W281" s="6" t="s">
        <v>366</v>
      </c>
      <c r="X281" s="6"/>
      <c r="Y281" s="6" t="s">
        <v>394</v>
      </c>
      <c r="Z281" s="6"/>
      <c r="AA281" s="6"/>
      <c r="AB281" s="6"/>
      <c r="AC281" s="6"/>
      <c r="AD281">
        <v>507</v>
      </c>
    </row>
    <row r="282" spans="1:30" x14ac:dyDescent="0.25">
      <c r="A282" s="9">
        <f t="shared" si="4"/>
        <v>42583</v>
      </c>
      <c r="B282">
        <v>50179971</v>
      </c>
      <c r="C282" s="6" t="s">
        <v>159</v>
      </c>
      <c r="D282">
        <v>1</v>
      </c>
      <c r="E282">
        <v>1</v>
      </c>
      <c r="F282">
        <v>0</v>
      </c>
      <c r="G282">
        <v>150</v>
      </c>
      <c r="H282">
        <v>150</v>
      </c>
      <c r="I282" s="6"/>
      <c r="J282" s="6"/>
      <c r="K282" s="6"/>
      <c r="L282" s="6"/>
      <c r="M282" s="2" t="s">
        <v>167</v>
      </c>
      <c r="N282" s="6" t="s">
        <v>195</v>
      </c>
      <c r="O282" s="6" t="s">
        <v>176</v>
      </c>
      <c r="P282" s="6" t="s">
        <v>112</v>
      </c>
      <c r="Q282" s="6" t="s">
        <v>330</v>
      </c>
      <c r="R282" s="6" t="s">
        <v>571</v>
      </c>
      <c r="S282" s="6" t="s">
        <v>341</v>
      </c>
      <c r="T282" s="6"/>
      <c r="U282" s="6" t="s">
        <v>347</v>
      </c>
      <c r="V282" s="6" t="s">
        <v>348</v>
      </c>
      <c r="W282" s="6" t="s">
        <v>362</v>
      </c>
      <c r="X282" s="6"/>
      <c r="Y282" s="6" t="s">
        <v>400</v>
      </c>
      <c r="Z282" s="6"/>
      <c r="AA282" s="6"/>
      <c r="AB282" s="6"/>
      <c r="AC282" s="6"/>
      <c r="AD282">
        <v>510</v>
      </c>
    </row>
    <row r="283" spans="1:30" x14ac:dyDescent="0.25">
      <c r="A283" s="9">
        <f t="shared" si="4"/>
        <v>42597</v>
      </c>
      <c r="B283">
        <v>50181536</v>
      </c>
      <c r="C283" s="6" t="s">
        <v>159</v>
      </c>
      <c r="D283">
        <v>1</v>
      </c>
      <c r="E283">
        <v>1</v>
      </c>
      <c r="F283">
        <v>0</v>
      </c>
      <c r="G283">
        <v>250</v>
      </c>
      <c r="H283">
        <v>250</v>
      </c>
      <c r="I283" s="6"/>
      <c r="J283" s="6"/>
      <c r="K283" s="6"/>
      <c r="L283" s="6"/>
      <c r="M283" s="2" t="s">
        <v>163</v>
      </c>
      <c r="N283" s="6" t="s">
        <v>163</v>
      </c>
      <c r="O283" s="6" t="s">
        <v>186</v>
      </c>
      <c r="P283" s="6" t="s">
        <v>112</v>
      </c>
      <c r="Q283" s="6" t="s">
        <v>330</v>
      </c>
      <c r="R283" s="6"/>
      <c r="S283" s="6" t="s">
        <v>341</v>
      </c>
      <c r="T283" s="6"/>
      <c r="U283" s="6" t="s">
        <v>347</v>
      </c>
      <c r="V283" s="6" t="s">
        <v>348</v>
      </c>
      <c r="W283" s="6" t="s">
        <v>362</v>
      </c>
      <c r="X283" s="6"/>
      <c r="Y283" s="6" t="s">
        <v>394</v>
      </c>
      <c r="Z283" s="6"/>
      <c r="AA283" s="6"/>
      <c r="AB283" s="6"/>
      <c r="AC283" s="6"/>
      <c r="AD283">
        <v>511</v>
      </c>
    </row>
    <row r="284" spans="1:30" x14ac:dyDescent="0.25">
      <c r="A284" s="9">
        <f t="shared" si="4"/>
        <v>42583</v>
      </c>
      <c r="B284">
        <v>50180699</v>
      </c>
      <c r="C284" s="6" t="s">
        <v>159</v>
      </c>
      <c r="D284">
        <v>1</v>
      </c>
      <c r="E284">
        <v>1</v>
      </c>
      <c r="F284">
        <v>0</v>
      </c>
      <c r="G284">
        <v>250</v>
      </c>
      <c r="H284">
        <v>250</v>
      </c>
      <c r="I284" s="6"/>
      <c r="J284" s="6"/>
      <c r="K284" s="6"/>
      <c r="L284" s="6"/>
      <c r="M284" s="2" t="s">
        <v>167</v>
      </c>
      <c r="N284" s="6" t="s">
        <v>195</v>
      </c>
      <c r="O284" s="6" t="s">
        <v>176</v>
      </c>
      <c r="P284" s="6" t="s">
        <v>113</v>
      </c>
      <c r="Q284" s="6" t="s">
        <v>330</v>
      </c>
      <c r="R284" s="6"/>
      <c r="S284" s="6" t="s">
        <v>341</v>
      </c>
      <c r="T284" s="6"/>
      <c r="U284" s="6" t="s">
        <v>347</v>
      </c>
      <c r="V284" s="6" t="s">
        <v>348</v>
      </c>
      <c r="W284" s="6" t="s">
        <v>358</v>
      </c>
      <c r="X284" s="6" t="s">
        <v>384</v>
      </c>
      <c r="Y284" s="6" t="s">
        <v>397</v>
      </c>
      <c r="Z284" s="6"/>
      <c r="AA284" s="6"/>
      <c r="AB284" s="6"/>
      <c r="AC284" s="6"/>
      <c r="AD284">
        <v>514</v>
      </c>
    </row>
    <row r="285" spans="1:30" x14ac:dyDescent="0.25">
      <c r="A285" s="9">
        <f t="shared" si="4"/>
        <v>42835</v>
      </c>
      <c r="B285">
        <v>50180700</v>
      </c>
      <c r="C285" s="6" t="s">
        <v>159</v>
      </c>
      <c r="D285">
        <v>1</v>
      </c>
      <c r="E285">
        <v>1</v>
      </c>
      <c r="F285">
        <v>0</v>
      </c>
      <c r="G285">
        <v>250</v>
      </c>
      <c r="H285">
        <v>250</v>
      </c>
      <c r="I285" s="6"/>
      <c r="J285" s="6"/>
      <c r="K285" s="6"/>
      <c r="L285" s="6"/>
      <c r="M285" s="2" t="s">
        <v>539</v>
      </c>
      <c r="N285" s="6" t="s">
        <v>163</v>
      </c>
      <c r="O285" s="6" t="s">
        <v>547</v>
      </c>
      <c r="P285" s="6" t="s">
        <v>113</v>
      </c>
      <c r="Q285" s="6" t="s">
        <v>330</v>
      </c>
      <c r="R285" s="6"/>
      <c r="S285" s="6" t="s">
        <v>341</v>
      </c>
      <c r="T285" s="6"/>
      <c r="U285" s="6" t="s">
        <v>347</v>
      </c>
      <c r="V285" s="6" t="s">
        <v>348</v>
      </c>
      <c r="W285" s="6" t="s">
        <v>358</v>
      </c>
      <c r="X285" s="6"/>
      <c r="Y285" s="6" t="s">
        <v>394</v>
      </c>
      <c r="Z285" s="6"/>
      <c r="AA285" s="6"/>
      <c r="AB285" s="6"/>
      <c r="AC285" s="6"/>
      <c r="AD285">
        <v>515</v>
      </c>
    </row>
    <row r="286" spans="1:30" x14ac:dyDescent="0.25">
      <c r="A286" s="9">
        <f t="shared" si="4"/>
        <v>42332</v>
      </c>
      <c r="B286">
        <v>50172724</v>
      </c>
      <c r="C286" s="6" t="s">
        <v>159</v>
      </c>
      <c r="D286">
        <v>1</v>
      </c>
      <c r="E286">
        <v>1</v>
      </c>
      <c r="F286">
        <v>1</v>
      </c>
      <c r="G286">
        <v>1</v>
      </c>
      <c r="H286">
        <v>1</v>
      </c>
      <c r="I286" s="6"/>
      <c r="J286" s="6"/>
      <c r="K286" s="6"/>
      <c r="L286" s="6"/>
      <c r="M286" s="2" t="s">
        <v>213</v>
      </c>
      <c r="N286" s="6" t="s">
        <v>213</v>
      </c>
      <c r="O286" s="6" t="s">
        <v>283</v>
      </c>
      <c r="P286" s="6" t="s">
        <v>288</v>
      </c>
      <c r="Q286" s="6" t="s">
        <v>332</v>
      </c>
      <c r="R286" s="6" t="s">
        <v>339</v>
      </c>
      <c r="S286" s="6" t="s">
        <v>342</v>
      </c>
      <c r="T286" s="6"/>
      <c r="U286" s="6" t="s">
        <v>343</v>
      </c>
      <c r="V286" s="6" t="s">
        <v>348</v>
      </c>
      <c r="W286" s="6"/>
      <c r="X286" s="6" t="s">
        <v>386</v>
      </c>
      <c r="Y286" s="6"/>
      <c r="Z286" s="6"/>
      <c r="AA286" s="6"/>
      <c r="AB286" s="6"/>
      <c r="AC286" s="6"/>
      <c r="AD286">
        <v>516</v>
      </c>
    </row>
    <row r="287" spans="1:30" x14ac:dyDescent="0.25">
      <c r="A287" s="9">
        <f t="shared" si="4"/>
        <v>42333</v>
      </c>
      <c r="B287">
        <v>50173612</v>
      </c>
      <c r="C287" s="6" t="s">
        <v>159</v>
      </c>
      <c r="D287">
        <v>1</v>
      </c>
      <c r="E287">
        <v>1</v>
      </c>
      <c r="F287">
        <v>1</v>
      </c>
      <c r="G287">
        <v>1</v>
      </c>
      <c r="H287">
        <v>1</v>
      </c>
      <c r="I287" s="6"/>
      <c r="J287" s="6"/>
      <c r="K287" s="6"/>
      <c r="L287" s="6"/>
      <c r="M287" s="2" t="s">
        <v>214</v>
      </c>
      <c r="N287" s="6" t="s">
        <v>214</v>
      </c>
      <c r="O287" s="6" t="s">
        <v>284</v>
      </c>
      <c r="P287" s="6" t="s">
        <v>289</v>
      </c>
      <c r="Q287" s="6" t="s">
        <v>333</v>
      </c>
      <c r="R287" s="6" t="s">
        <v>339</v>
      </c>
      <c r="S287" s="6" t="s">
        <v>342</v>
      </c>
      <c r="T287" s="6"/>
      <c r="U287" s="6" t="s">
        <v>343</v>
      </c>
      <c r="V287" s="6" t="s">
        <v>348</v>
      </c>
      <c r="W287" s="6" t="s">
        <v>350</v>
      </c>
      <c r="X287" s="6" t="s">
        <v>387</v>
      </c>
      <c r="Y287" s="6"/>
      <c r="Z287" s="6"/>
      <c r="AA287" s="6"/>
      <c r="AB287" s="6"/>
      <c r="AC287" s="6"/>
      <c r="AD287">
        <v>517</v>
      </c>
    </row>
    <row r="288" spans="1:30" x14ac:dyDescent="0.25">
      <c r="A288" s="9">
        <f t="shared" si="4"/>
        <v>42310</v>
      </c>
      <c r="B288">
        <v>50172906</v>
      </c>
      <c r="C288" s="6" t="s">
        <v>159</v>
      </c>
      <c r="D288">
        <v>1</v>
      </c>
      <c r="E288">
        <v>1</v>
      </c>
      <c r="F288">
        <v>1</v>
      </c>
      <c r="G288">
        <v>1</v>
      </c>
      <c r="H288">
        <v>1</v>
      </c>
      <c r="I288" s="6"/>
      <c r="J288" s="6"/>
      <c r="K288" s="6"/>
      <c r="L288" s="6"/>
      <c r="M288" s="2" t="s">
        <v>215</v>
      </c>
      <c r="N288" s="6" t="s">
        <v>215</v>
      </c>
      <c r="O288" s="6" t="s">
        <v>285</v>
      </c>
      <c r="P288" s="6" t="s">
        <v>290</v>
      </c>
      <c r="Q288" s="6" t="s">
        <v>291</v>
      </c>
      <c r="R288" s="6" t="s">
        <v>339</v>
      </c>
      <c r="S288" s="6" t="s">
        <v>342</v>
      </c>
      <c r="T288" s="6"/>
      <c r="U288" s="6" t="s">
        <v>343</v>
      </c>
      <c r="V288" s="6" t="s">
        <v>348</v>
      </c>
      <c r="W288" s="6"/>
      <c r="X288" s="6" t="s">
        <v>388</v>
      </c>
      <c r="Y288" s="6"/>
      <c r="Z288" s="6"/>
      <c r="AA288" s="6"/>
      <c r="AB288" s="6"/>
      <c r="AC288" s="6"/>
      <c r="AD288">
        <v>518</v>
      </c>
    </row>
    <row r="289" spans="1:30" x14ac:dyDescent="0.25">
      <c r="A289" s="9">
        <f t="shared" si="4"/>
        <v>42310</v>
      </c>
      <c r="B289">
        <v>50172909</v>
      </c>
      <c r="C289" s="6" t="s">
        <v>159</v>
      </c>
      <c r="D289">
        <v>1</v>
      </c>
      <c r="E289">
        <v>1</v>
      </c>
      <c r="F289">
        <v>1</v>
      </c>
      <c r="G289">
        <v>1</v>
      </c>
      <c r="H289">
        <v>1</v>
      </c>
      <c r="I289" s="6"/>
      <c r="J289" s="6"/>
      <c r="K289" s="6"/>
      <c r="L289" s="6"/>
      <c r="M289" s="2" t="s">
        <v>215</v>
      </c>
      <c r="N289" s="6" t="s">
        <v>245</v>
      </c>
      <c r="O289" s="6" t="s">
        <v>285</v>
      </c>
      <c r="P289" s="6" t="s">
        <v>290</v>
      </c>
      <c r="Q289" s="6" t="s">
        <v>291</v>
      </c>
      <c r="R289" s="6" t="s">
        <v>339</v>
      </c>
      <c r="S289" s="6" t="s">
        <v>342</v>
      </c>
      <c r="T289" s="6"/>
      <c r="U289" s="6" t="s">
        <v>343</v>
      </c>
      <c r="V289" s="6" t="s">
        <v>348</v>
      </c>
      <c r="W289" s="6"/>
      <c r="X289" s="6" t="s">
        <v>389</v>
      </c>
      <c r="Y289" s="6"/>
      <c r="Z289" s="6"/>
      <c r="AA289" s="6"/>
      <c r="AB289" s="6"/>
      <c r="AC289" s="6"/>
      <c r="AD289">
        <v>519</v>
      </c>
    </row>
    <row r="290" spans="1:30" x14ac:dyDescent="0.25">
      <c r="A290" s="9">
        <f t="shared" si="4"/>
        <v>42579</v>
      </c>
      <c r="B290">
        <v>50178609</v>
      </c>
      <c r="C290" s="6" t="s">
        <v>159</v>
      </c>
      <c r="D290">
        <v>1</v>
      </c>
      <c r="E290">
        <v>1</v>
      </c>
      <c r="F290">
        <v>1</v>
      </c>
      <c r="G290">
        <v>5</v>
      </c>
      <c r="H290">
        <v>2</v>
      </c>
      <c r="I290" s="6"/>
      <c r="J290" s="6"/>
      <c r="K290" s="6"/>
      <c r="L290" s="6"/>
      <c r="M290" s="2" t="s">
        <v>186</v>
      </c>
      <c r="N290" s="6" t="s">
        <v>246</v>
      </c>
      <c r="O290" s="6" t="s">
        <v>265</v>
      </c>
      <c r="P290" s="6" t="s">
        <v>56</v>
      </c>
      <c r="Q290" s="6" t="s">
        <v>334</v>
      </c>
      <c r="R290" s="6" t="s">
        <v>520</v>
      </c>
      <c r="S290" s="6" t="s">
        <v>342</v>
      </c>
      <c r="T290" s="6"/>
      <c r="U290" s="6" t="s">
        <v>345</v>
      </c>
      <c r="V290" s="6" t="s">
        <v>348</v>
      </c>
      <c r="W290" s="6" t="s">
        <v>365</v>
      </c>
      <c r="X290" s="6"/>
      <c r="Y290" s="6" t="s">
        <v>676</v>
      </c>
      <c r="Z290" s="6"/>
      <c r="AA290" s="6"/>
      <c r="AB290" s="6"/>
      <c r="AC290" s="6"/>
      <c r="AD290">
        <v>520</v>
      </c>
    </row>
    <row r="291" spans="1:30" x14ac:dyDescent="0.25">
      <c r="A291" s="9">
        <f t="shared" si="4"/>
        <v>42579</v>
      </c>
      <c r="B291">
        <v>50181597</v>
      </c>
      <c r="C291" s="6" t="s">
        <v>159</v>
      </c>
      <c r="D291">
        <v>1</v>
      </c>
      <c r="E291">
        <v>1</v>
      </c>
      <c r="F291">
        <v>1</v>
      </c>
      <c r="G291">
        <v>2</v>
      </c>
      <c r="H291">
        <v>2</v>
      </c>
      <c r="I291" s="6"/>
      <c r="J291" s="6"/>
      <c r="K291" s="6"/>
      <c r="L291" s="6"/>
      <c r="M291" s="2" t="s">
        <v>186</v>
      </c>
      <c r="N291" s="6" t="s">
        <v>178</v>
      </c>
      <c r="O291" s="6" t="s">
        <v>265</v>
      </c>
      <c r="P291" s="6" t="s">
        <v>56</v>
      </c>
      <c r="Q291" s="6" t="s">
        <v>334</v>
      </c>
      <c r="R291" s="6" t="s">
        <v>520</v>
      </c>
      <c r="S291" s="6" t="s">
        <v>342</v>
      </c>
      <c r="T291" s="6"/>
      <c r="U291" s="6" t="s">
        <v>345</v>
      </c>
      <c r="V291" s="6" t="s">
        <v>348</v>
      </c>
      <c r="W291" s="6" t="s">
        <v>365</v>
      </c>
      <c r="X291" s="6" t="s">
        <v>639</v>
      </c>
      <c r="Y291" s="6"/>
      <c r="Z291" s="6"/>
      <c r="AA291" s="6"/>
      <c r="AB291" s="6"/>
      <c r="AC291" s="6"/>
      <c r="AD291">
        <v>521</v>
      </c>
    </row>
    <row r="292" spans="1:30" x14ac:dyDescent="0.25">
      <c r="A292" s="9">
        <f t="shared" si="4"/>
        <v>42639</v>
      </c>
      <c r="B292">
        <v>50177175</v>
      </c>
      <c r="C292" s="6" t="s">
        <v>159</v>
      </c>
      <c r="D292">
        <v>1</v>
      </c>
      <c r="E292">
        <v>1</v>
      </c>
      <c r="F292">
        <v>1</v>
      </c>
      <c r="G292">
        <v>10</v>
      </c>
      <c r="H292">
        <v>10</v>
      </c>
      <c r="I292" s="6"/>
      <c r="J292" s="6"/>
      <c r="K292" s="6"/>
      <c r="L292" s="6"/>
      <c r="M292" s="2" t="s">
        <v>173</v>
      </c>
      <c r="N292" s="6" t="s">
        <v>247</v>
      </c>
      <c r="O292" s="6" t="s">
        <v>186</v>
      </c>
      <c r="P292" s="6" t="s">
        <v>5</v>
      </c>
      <c r="Q292" s="6" t="s">
        <v>332</v>
      </c>
      <c r="R292" s="6" t="s">
        <v>529</v>
      </c>
      <c r="S292" s="6" t="s">
        <v>342</v>
      </c>
      <c r="T292" s="6"/>
      <c r="U292" s="6" t="s">
        <v>345</v>
      </c>
      <c r="V292" s="6" t="s">
        <v>348</v>
      </c>
      <c r="W292" s="6" t="s">
        <v>352</v>
      </c>
      <c r="X292" s="6"/>
      <c r="Y292" s="6" t="s">
        <v>419</v>
      </c>
      <c r="Z292" s="6"/>
      <c r="AA292" s="6"/>
      <c r="AB292" s="6"/>
      <c r="AC292" s="6"/>
      <c r="AD292">
        <v>522</v>
      </c>
    </row>
    <row r="293" spans="1:30" x14ac:dyDescent="0.25">
      <c r="A293" s="9">
        <f t="shared" si="4"/>
        <v>42643</v>
      </c>
      <c r="B293">
        <v>50177703</v>
      </c>
      <c r="C293" s="6" t="s">
        <v>159</v>
      </c>
      <c r="D293">
        <v>1</v>
      </c>
      <c r="E293">
        <v>1</v>
      </c>
      <c r="F293">
        <v>1</v>
      </c>
      <c r="G293">
        <v>2</v>
      </c>
      <c r="H293">
        <v>2</v>
      </c>
      <c r="I293" s="6"/>
      <c r="J293" s="6"/>
      <c r="K293" s="6"/>
      <c r="L293" s="6"/>
      <c r="M293" s="2" t="s">
        <v>190</v>
      </c>
      <c r="N293" s="6" t="s">
        <v>218</v>
      </c>
      <c r="O293" s="6" t="s">
        <v>198</v>
      </c>
      <c r="P293" s="6" t="s">
        <v>5</v>
      </c>
      <c r="Q293" s="6" t="s">
        <v>332</v>
      </c>
      <c r="R293" s="6" t="s">
        <v>594</v>
      </c>
      <c r="S293" s="6" t="s">
        <v>342</v>
      </c>
      <c r="T293" s="6"/>
      <c r="U293" s="6" t="s">
        <v>345</v>
      </c>
      <c r="V293" s="6" t="s">
        <v>348</v>
      </c>
      <c r="W293" s="6" t="s">
        <v>352</v>
      </c>
      <c r="X293" s="6" t="s">
        <v>369</v>
      </c>
      <c r="Y293" s="6"/>
      <c r="Z293" s="6"/>
      <c r="AA293" s="6"/>
      <c r="AB293" s="6"/>
      <c r="AC293" s="6"/>
      <c r="AD293">
        <v>523</v>
      </c>
    </row>
    <row r="294" spans="1:30" x14ac:dyDescent="0.25">
      <c r="A294" s="9">
        <f t="shared" si="4"/>
        <v>42643</v>
      </c>
      <c r="B294">
        <v>50178302</v>
      </c>
      <c r="C294" s="6" t="s">
        <v>159</v>
      </c>
      <c r="D294">
        <v>1</v>
      </c>
      <c r="E294">
        <v>1</v>
      </c>
      <c r="F294">
        <v>1</v>
      </c>
      <c r="G294">
        <v>3</v>
      </c>
      <c r="H294">
        <v>3</v>
      </c>
      <c r="I294" s="6"/>
      <c r="J294" s="6"/>
      <c r="K294" s="6"/>
      <c r="L294" s="6"/>
      <c r="M294" s="2" t="s">
        <v>190</v>
      </c>
      <c r="N294" s="6" t="s">
        <v>246</v>
      </c>
      <c r="O294" s="6" t="s">
        <v>198</v>
      </c>
      <c r="P294" s="6" t="s">
        <v>5</v>
      </c>
      <c r="Q294" s="6" t="s">
        <v>332</v>
      </c>
      <c r="R294" s="6" t="s">
        <v>585</v>
      </c>
      <c r="S294" s="6" t="s">
        <v>342</v>
      </c>
      <c r="T294" s="6"/>
      <c r="U294" s="6" t="s">
        <v>345</v>
      </c>
      <c r="V294" s="6" t="s">
        <v>348</v>
      </c>
      <c r="W294" s="6" t="s">
        <v>352</v>
      </c>
      <c r="X294" s="6" t="s">
        <v>369</v>
      </c>
      <c r="Y294" s="6"/>
      <c r="Z294" s="6"/>
      <c r="AA294" s="6"/>
      <c r="AB294" s="6"/>
      <c r="AC294" s="6"/>
      <c r="AD294">
        <v>524</v>
      </c>
    </row>
    <row r="295" spans="1:30" x14ac:dyDescent="0.25">
      <c r="A295" s="9">
        <f t="shared" si="4"/>
        <v>42569</v>
      </c>
      <c r="B295">
        <v>50181775</v>
      </c>
      <c r="C295" s="6" t="s">
        <v>159</v>
      </c>
      <c r="D295">
        <v>1</v>
      </c>
      <c r="E295">
        <v>1</v>
      </c>
      <c r="F295">
        <v>0</v>
      </c>
      <c r="G295">
        <v>6</v>
      </c>
      <c r="H295">
        <v>6</v>
      </c>
      <c r="I295" s="6"/>
      <c r="J295" s="6"/>
      <c r="K295" s="6"/>
      <c r="L295" s="6"/>
      <c r="M295" s="2" t="s">
        <v>195</v>
      </c>
      <c r="N295" s="6" t="s">
        <v>186</v>
      </c>
      <c r="O295" s="6" t="s">
        <v>268</v>
      </c>
      <c r="P295" s="6" t="s">
        <v>9</v>
      </c>
      <c r="Q295" s="6" t="s">
        <v>335</v>
      </c>
      <c r="R295" s="6" t="s">
        <v>620</v>
      </c>
      <c r="S295" s="6" t="s">
        <v>342</v>
      </c>
      <c r="T295" s="6"/>
      <c r="U295" s="6" t="s">
        <v>345</v>
      </c>
      <c r="V295" s="6" t="s">
        <v>348</v>
      </c>
      <c r="W295" s="6" t="s">
        <v>357</v>
      </c>
      <c r="X295" s="6" t="s">
        <v>455</v>
      </c>
      <c r="Y295" s="6"/>
      <c r="Z295" s="6"/>
      <c r="AA295" s="6"/>
      <c r="AB295" s="6"/>
      <c r="AC295" s="6"/>
      <c r="AD295">
        <v>526</v>
      </c>
    </row>
    <row r="296" spans="1:30" x14ac:dyDescent="0.25">
      <c r="A296" s="9">
        <f t="shared" si="4"/>
        <v>42572</v>
      </c>
      <c r="B296">
        <v>50167587</v>
      </c>
      <c r="C296" s="6" t="s">
        <v>159</v>
      </c>
      <c r="D296">
        <v>1</v>
      </c>
      <c r="E296">
        <v>1</v>
      </c>
      <c r="F296">
        <v>1</v>
      </c>
      <c r="G296">
        <v>5</v>
      </c>
      <c r="H296">
        <v>2</v>
      </c>
      <c r="I296" s="6"/>
      <c r="J296" s="6"/>
      <c r="K296" s="6"/>
      <c r="L296" s="6"/>
      <c r="M296" s="2" t="s">
        <v>212</v>
      </c>
      <c r="N296" s="6" t="s">
        <v>247</v>
      </c>
      <c r="O296" s="6" t="s">
        <v>557</v>
      </c>
      <c r="P296" s="6" t="s">
        <v>9</v>
      </c>
      <c r="Q296" s="6" t="s">
        <v>335</v>
      </c>
      <c r="R296" s="6"/>
      <c r="S296" s="6" t="s">
        <v>342</v>
      </c>
      <c r="T296" s="6"/>
      <c r="U296" s="6" t="s">
        <v>345</v>
      </c>
      <c r="V296" s="6" t="s">
        <v>348</v>
      </c>
      <c r="W296" s="6" t="s">
        <v>357</v>
      </c>
      <c r="X296" s="6"/>
      <c r="Y296" s="6" t="s">
        <v>421</v>
      </c>
      <c r="Z296" s="6" t="s">
        <v>428</v>
      </c>
      <c r="AA296" s="6"/>
      <c r="AB296" s="6"/>
      <c r="AC296" s="6"/>
      <c r="AD296">
        <v>527</v>
      </c>
    </row>
    <row r="297" spans="1:30" x14ac:dyDescent="0.25">
      <c r="A297" s="9">
        <f t="shared" si="4"/>
        <v>42572</v>
      </c>
      <c r="B297">
        <v>50170180</v>
      </c>
      <c r="C297" s="6" t="s">
        <v>159</v>
      </c>
      <c r="D297">
        <v>1</v>
      </c>
      <c r="E297">
        <v>1</v>
      </c>
      <c r="F297">
        <v>1</v>
      </c>
      <c r="G297">
        <v>5</v>
      </c>
      <c r="H297">
        <v>5</v>
      </c>
      <c r="I297" s="6"/>
      <c r="J297" s="6"/>
      <c r="K297" s="6"/>
      <c r="L297" s="6"/>
      <c r="M297" s="2" t="s">
        <v>212</v>
      </c>
      <c r="N297" s="6" t="s">
        <v>240</v>
      </c>
      <c r="O297" s="6" t="s">
        <v>557</v>
      </c>
      <c r="P297" s="6" t="s">
        <v>9</v>
      </c>
      <c r="Q297" s="6" t="s">
        <v>335</v>
      </c>
      <c r="R297" s="6"/>
      <c r="S297" s="6" t="s">
        <v>342</v>
      </c>
      <c r="T297" s="6"/>
      <c r="U297" s="6" t="s">
        <v>345</v>
      </c>
      <c r="V297" s="6" t="s">
        <v>348</v>
      </c>
      <c r="W297" s="6" t="s">
        <v>357</v>
      </c>
      <c r="X297" s="6"/>
      <c r="Y297" s="6"/>
      <c r="Z297" s="6" t="s">
        <v>428</v>
      </c>
      <c r="AA297" s="6"/>
      <c r="AB297" s="6"/>
      <c r="AC297" s="6"/>
      <c r="AD297">
        <v>528</v>
      </c>
    </row>
    <row r="298" spans="1:30" x14ac:dyDescent="0.25">
      <c r="A298" s="9">
        <f t="shared" si="4"/>
        <v>42572</v>
      </c>
      <c r="B298">
        <v>50170369</v>
      </c>
      <c r="C298" s="6" t="s">
        <v>159</v>
      </c>
      <c r="D298">
        <v>1</v>
      </c>
      <c r="E298">
        <v>1</v>
      </c>
      <c r="F298">
        <v>1</v>
      </c>
      <c r="G298">
        <v>5</v>
      </c>
      <c r="H298">
        <v>5</v>
      </c>
      <c r="I298" s="6"/>
      <c r="J298" s="6"/>
      <c r="K298" s="6"/>
      <c r="L298" s="6"/>
      <c r="M298" s="2" t="s">
        <v>212</v>
      </c>
      <c r="N298" s="6" t="s">
        <v>249</v>
      </c>
      <c r="O298" s="6" t="s">
        <v>557</v>
      </c>
      <c r="P298" s="6" t="s">
        <v>9</v>
      </c>
      <c r="Q298" s="6" t="s">
        <v>335</v>
      </c>
      <c r="R298" s="6"/>
      <c r="S298" s="6" t="s">
        <v>342</v>
      </c>
      <c r="T298" s="6"/>
      <c r="U298" s="6" t="s">
        <v>345</v>
      </c>
      <c r="V298" s="6" t="s">
        <v>348</v>
      </c>
      <c r="W298" s="6" t="s">
        <v>357</v>
      </c>
      <c r="X298" s="6" t="s">
        <v>390</v>
      </c>
      <c r="Y298" s="6" t="s">
        <v>420</v>
      </c>
      <c r="Z298" s="6"/>
      <c r="AA298" s="6"/>
      <c r="AB298" s="6"/>
      <c r="AC298" s="6"/>
      <c r="AD298">
        <v>529</v>
      </c>
    </row>
    <row r="299" spans="1:30" x14ac:dyDescent="0.25">
      <c r="A299" s="9">
        <f t="shared" si="4"/>
        <v>42572</v>
      </c>
      <c r="B299">
        <v>50180329</v>
      </c>
      <c r="C299" s="6" t="s">
        <v>159</v>
      </c>
      <c r="D299">
        <v>1</v>
      </c>
      <c r="E299">
        <v>1</v>
      </c>
      <c r="F299">
        <v>1</v>
      </c>
      <c r="G299">
        <v>5</v>
      </c>
      <c r="H299">
        <v>3</v>
      </c>
      <c r="I299" s="6"/>
      <c r="J299" s="6"/>
      <c r="K299" s="6"/>
      <c r="L299" s="6"/>
      <c r="M299" s="2" t="s">
        <v>212</v>
      </c>
      <c r="N299" s="6" t="s">
        <v>192</v>
      </c>
      <c r="O299" s="6" t="s">
        <v>557</v>
      </c>
      <c r="P299" s="6" t="s">
        <v>9</v>
      </c>
      <c r="Q299" s="6" t="s">
        <v>335</v>
      </c>
      <c r="R299" s="6" t="s">
        <v>621</v>
      </c>
      <c r="S299" s="6" t="s">
        <v>342</v>
      </c>
      <c r="T299" s="6"/>
      <c r="U299" s="6" t="s">
        <v>345</v>
      </c>
      <c r="V299" s="6" t="s">
        <v>348</v>
      </c>
      <c r="W299" s="6" t="s">
        <v>357</v>
      </c>
      <c r="X299" s="6" t="s">
        <v>391</v>
      </c>
      <c r="Y299" s="6"/>
      <c r="Z299" s="6"/>
      <c r="AA299" s="6"/>
      <c r="AB299" s="6"/>
      <c r="AC299" s="6"/>
      <c r="AD299">
        <v>530</v>
      </c>
    </row>
    <row r="300" spans="1:30" x14ac:dyDescent="0.25">
      <c r="A300" s="9">
        <f t="shared" si="4"/>
        <v>42572</v>
      </c>
      <c r="B300">
        <v>50180529</v>
      </c>
      <c r="C300" s="6" t="s">
        <v>159</v>
      </c>
      <c r="D300">
        <v>1</v>
      </c>
      <c r="E300">
        <v>1</v>
      </c>
      <c r="F300">
        <v>1</v>
      </c>
      <c r="G300">
        <v>5</v>
      </c>
      <c r="H300">
        <v>5</v>
      </c>
      <c r="I300" s="6"/>
      <c r="J300" s="6"/>
      <c r="K300" s="6"/>
      <c r="L300" s="6"/>
      <c r="M300" s="2" t="s">
        <v>212</v>
      </c>
      <c r="N300" s="6" t="s">
        <v>250</v>
      </c>
      <c r="O300" s="6" t="s">
        <v>557</v>
      </c>
      <c r="P300" s="6" t="s">
        <v>9</v>
      </c>
      <c r="Q300" s="6" t="s">
        <v>335</v>
      </c>
      <c r="R300" s="6"/>
      <c r="S300" s="6" t="s">
        <v>342</v>
      </c>
      <c r="T300" s="6"/>
      <c r="U300" s="6"/>
      <c r="V300" s="6" t="s">
        <v>348</v>
      </c>
      <c r="W300" s="6" t="s">
        <v>357</v>
      </c>
      <c r="X300" s="6"/>
      <c r="Y300" s="6" t="s">
        <v>400</v>
      </c>
      <c r="Z300" s="6"/>
      <c r="AA300" s="6"/>
      <c r="AB300" s="6"/>
      <c r="AC300" s="6"/>
      <c r="AD300">
        <v>531</v>
      </c>
    </row>
    <row r="301" spans="1:30" x14ac:dyDescent="0.25">
      <c r="A301" s="9">
        <f t="shared" si="4"/>
        <v>42572</v>
      </c>
      <c r="B301">
        <v>50180530</v>
      </c>
      <c r="C301" s="6" t="s">
        <v>159</v>
      </c>
      <c r="D301">
        <v>1</v>
      </c>
      <c r="E301">
        <v>1</v>
      </c>
      <c r="F301">
        <v>1</v>
      </c>
      <c r="G301">
        <v>5</v>
      </c>
      <c r="H301">
        <v>5</v>
      </c>
      <c r="I301" s="6"/>
      <c r="J301" s="6"/>
      <c r="K301" s="6"/>
      <c r="L301" s="6"/>
      <c r="M301" s="2" t="s">
        <v>212</v>
      </c>
      <c r="N301" s="6" t="s">
        <v>250</v>
      </c>
      <c r="O301" s="6" t="s">
        <v>557</v>
      </c>
      <c r="P301" s="6" t="s">
        <v>9</v>
      </c>
      <c r="Q301" s="6" t="s">
        <v>335</v>
      </c>
      <c r="R301" s="6"/>
      <c r="S301" s="6" t="s">
        <v>342</v>
      </c>
      <c r="T301" s="6"/>
      <c r="U301" s="6"/>
      <c r="V301" s="6" t="s">
        <v>348</v>
      </c>
      <c r="W301" s="6" t="s">
        <v>357</v>
      </c>
      <c r="X301" s="6"/>
      <c r="Y301" s="6"/>
      <c r="Z301" s="6"/>
      <c r="AA301" s="6"/>
      <c r="AB301" s="6"/>
      <c r="AC301" s="6"/>
      <c r="AD301">
        <v>532</v>
      </c>
    </row>
    <row r="302" spans="1:30" x14ac:dyDescent="0.25">
      <c r="A302" s="9">
        <f t="shared" si="4"/>
        <v>42579</v>
      </c>
      <c r="B302">
        <v>50178300</v>
      </c>
      <c r="C302" s="6" t="s">
        <v>159</v>
      </c>
      <c r="D302">
        <v>1</v>
      </c>
      <c r="E302">
        <v>1</v>
      </c>
      <c r="F302">
        <v>1</v>
      </c>
      <c r="G302">
        <v>5</v>
      </c>
      <c r="H302">
        <v>5</v>
      </c>
      <c r="I302" s="6"/>
      <c r="J302" s="6"/>
      <c r="K302" s="6"/>
      <c r="L302" s="6"/>
      <c r="M302" s="2" t="s">
        <v>186</v>
      </c>
      <c r="N302" s="6" t="s">
        <v>248</v>
      </c>
      <c r="O302" s="6" t="s">
        <v>555</v>
      </c>
      <c r="P302" s="6" t="s">
        <v>9</v>
      </c>
      <c r="Q302" s="6" t="s">
        <v>335</v>
      </c>
      <c r="R302" s="6" t="s">
        <v>520</v>
      </c>
      <c r="S302" s="6" t="s">
        <v>342</v>
      </c>
      <c r="T302" s="6"/>
      <c r="U302" s="6"/>
      <c r="V302" s="6" t="s">
        <v>348</v>
      </c>
      <c r="W302" s="6" t="s">
        <v>357</v>
      </c>
      <c r="X302" s="6"/>
      <c r="Y302" s="6"/>
      <c r="Z302" s="6"/>
      <c r="AA302" s="6"/>
      <c r="AB302" s="6"/>
      <c r="AC302" s="6"/>
      <c r="AD302">
        <v>533</v>
      </c>
    </row>
    <row r="303" spans="1:30" x14ac:dyDescent="0.25">
      <c r="A303" s="9">
        <f t="shared" si="4"/>
        <v>42607</v>
      </c>
      <c r="B303">
        <v>50180531</v>
      </c>
      <c r="C303" s="6" t="s">
        <v>159</v>
      </c>
      <c r="D303">
        <v>1</v>
      </c>
      <c r="E303">
        <v>1</v>
      </c>
      <c r="F303">
        <v>1</v>
      </c>
      <c r="G303">
        <v>5</v>
      </c>
      <c r="H303">
        <v>5</v>
      </c>
      <c r="I303" s="6"/>
      <c r="J303" s="6"/>
      <c r="K303" s="6"/>
      <c r="L303" s="6"/>
      <c r="M303" s="2" t="s">
        <v>199</v>
      </c>
      <c r="N303" s="6" t="s">
        <v>250</v>
      </c>
      <c r="O303" s="6" t="s">
        <v>269</v>
      </c>
      <c r="P303" s="6" t="s">
        <v>9</v>
      </c>
      <c r="Q303" s="6" t="s">
        <v>335</v>
      </c>
      <c r="R303" s="6"/>
      <c r="S303" s="6" t="s">
        <v>342</v>
      </c>
      <c r="T303" s="6"/>
      <c r="U303" s="6"/>
      <c r="V303" s="6" t="s">
        <v>348</v>
      </c>
      <c r="W303" s="6" t="s">
        <v>357</v>
      </c>
      <c r="X303" s="6"/>
      <c r="Y303" s="6"/>
      <c r="Z303" s="6"/>
      <c r="AA303" s="6"/>
      <c r="AB303" s="6"/>
      <c r="AC303" s="6"/>
      <c r="AD303">
        <v>534</v>
      </c>
    </row>
    <row r="304" spans="1:30" x14ac:dyDescent="0.25">
      <c r="A304" s="9">
        <f t="shared" si="4"/>
        <v>42607</v>
      </c>
      <c r="B304">
        <v>50180532</v>
      </c>
      <c r="C304" s="6" t="s">
        <v>159</v>
      </c>
      <c r="D304">
        <v>1</v>
      </c>
      <c r="E304">
        <v>1</v>
      </c>
      <c r="F304">
        <v>1</v>
      </c>
      <c r="G304">
        <v>5</v>
      </c>
      <c r="H304">
        <v>5</v>
      </c>
      <c r="I304" s="6"/>
      <c r="J304" s="6"/>
      <c r="K304" s="6"/>
      <c r="L304" s="6"/>
      <c r="M304" s="2" t="s">
        <v>199</v>
      </c>
      <c r="N304" s="6" t="s">
        <v>250</v>
      </c>
      <c r="O304" s="6" t="s">
        <v>269</v>
      </c>
      <c r="P304" s="6" t="s">
        <v>9</v>
      </c>
      <c r="Q304" s="6" t="s">
        <v>335</v>
      </c>
      <c r="R304" s="6"/>
      <c r="S304" s="6" t="s">
        <v>342</v>
      </c>
      <c r="T304" s="6"/>
      <c r="U304" s="6"/>
      <c r="V304" s="6" t="s">
        <v>348</v>
      </c>
      <c r="W304" s="6" t="s">
        <v>357</v>
      </c>
      <c r="X304" s="6"/>
      <c r="Y304" s="6"/>
      <c r="Z304" s="6"/>
      <c r="AA304" s="6"/>
      <c r="AB304" s="6"/>
      <c r="AC304" s="6"/>
      <c r="AD304">
        <v>535</v>
      </c>
    </row>
    <row r="305" spans="1:30" x14ac:dyDescent="0.25">
      <c r="A305" s="9">
        <f t="shared" si="4"/>
        <v>42607</v>
      </c>
      <c r="B305">
        <v>50167586</v>
      </c>
      <c r="C305" s="6" t="s">
        <v>159</v>
      </c>
      <c r="D305">
        <v>1</v>
      </c>
      <c r="E305">
        <v>1</v>
      </c>
      <c r="F305">
        <v>1</v>
      </c>
      <c r="G305">
        <v>25</v>
      </c>
      <c r="H305">
        <v>25</v>
      </c>
      <c r="I305" s="6"/>
      <c r="J305" s="6"/>
      <c r="K305" s="6"/>
      <c r="L305" s="6"/>
      <c r="M305" s="2" t="s">
        <v>199</v>
      </c>
      <c r="N305" s="6" t="s">
        <v>251</v>
      </c>
      <c r="O305" s="6" t="s">
        <v>269</v>
      </c>
      <c r="P305" s="6" t="s">
        <v>9</v>
      </c>
      <c r="Q305" s="6" t="s">
        <v>335</v>
      </c>
      <c r="R305" s="6"/>
      <c r="S305" s="6" t="s">
        <v>342</v>
      </c>
      <c r="T305" s="6"/>
      <c r="U305" s="6" t="s">
        <v>345</v>
      </c>
      <c r="V305" s="6" t="s">
        <v>348</v>
      </c>
      <c r="W305" s="6" t="s">
        <v>357</v>
      </c>
      <c r="X305" s="6"/>
      <c r="Y305" s="6" t="s">
        <v>421</v>
      </c>
      <c r="Z305" s="6"/>
      <c r="AA305" s="6"/>
      <c r="AB305" s="6"/>
      <c r="AC305" s="6"/>
      <c r="AD305">
        <v>536</v>
      </c>
    </row>
    <row r="306" spans="1:30" x14ac:dyDescent="0.25">
      <c r="A306" s="9">
        <f t="shared" si="4"/>
        <v>42614</v>
      </c>
      <c r="B306">
        <v>50180201</v>
      </c>
      <c r="C306" s="6" t="s">
        <v>159</v>
      </c>
      <c r="D306">
        <v>1</v>
      </c>
      <c r="E306">
        <v>1</v>
      </c>
      <c r="F306">
        <v>1</v>
      </c>
      <c r="G306">
        <v>15</v>
      </c>
      <c r="H306">
        <v>15</v>
      </c>
      <c r="I306" s="6"/>
      <c r="J306" s="6"/>
      <c r="K306" s="6"/>
      <c r="L306" s="6"/>
      <c r="M306" s="2" t="s">
        <v>280</v>
      </c>
      <c r="N306" s="6" t="s">
        <v>201</v>
      </c>
      <c r="O306" s="6" t="s">
        <v>232</v>
      </c>
      <c r="P306" s="6" t="s">
        <v>58</v>
      </c>
      <c r="Q306" s="6" t="s">
        <v>336</v>
      </c>
      <c r="R306" s="6" t="s">
        <v>622</v>
      </c>
      <c r="S306" s="6" t="s">
        <v>342</v>
      </c>
      <c r="T306" s="6"/>
      <c r="U306" s="6" t="s">
        <v>345</v>
      </c>
      <c r="V306" s="6" t="s">
        <v>348</v>
      </c>
      <c r="W306" s="6" t="s">
        <v>353</v>
      </c>
      <c r="X306" s="6"/>
      <c r="Y306" s="6" t="s">
        <v>422</v>
      </c>
      <c r="Z306" s="6"/>
      <c r="AA306" s="6"/>
      <c r="AB306" s="6"/>
      <c r="AC306" s="6"/>
      <c r="AD306">
        <v>539</v>
      </c>
    </row>
    <row r="307" spans="1:30" x14ac:dyDescent="0.25">
      <c r="A307" s="9">
        <f t="shared" si="4"/>
        <v>42674</v>
      </c>
      <c r="B307">
        <v>50171117</v>
      </c>
      <c r="C307" s="6" t="s">
        <v>159</v>
      </c>
      <c r="D307">
        <v>1</v>
      </c>
      <c r="E307">
        <v>1</v>
      </c>
      <c r="F307">
        <v>1</v>
      </c>
      <c r="G307">
        <v>10</v>
      </c>
      <c r="H307">
        <v>10</v>
      </c>
      <c r="I307" s="6"/>
      <c r="J307" s="6"/>
      <c r="K307" s="6"/>
      <c r="L307" s="6"/>
      <c r="M307" s="2" t="s">
        <v>169</v>
      </c>
      <c r="N307" s="6" t="s">
        <v>240</v>
      </c>
      <c r="O307" s="6" t="s">
        <v>189</v>
      </c>
      <c r="P307" s="6" t="s">
        <v>58</v>
      </c>
      <c r="Q307" s="6" t="s">
        <v>336</v>
      </c>
      <c r="R307" s="6"/>
      <c r="S307" s="6" t="s">
        <v>342</v>
      </c>
      <c r="T307" s="6"/>
      <c r="U307" s="6" t="s">
        <v>345</v>
      </c>
      <c r="V307" s="6" t="s">
        <v>348</v>
      </c>
      <c r="W307" s="6" t="s">
        <v>353</v>
      </c>
      <c r="X307" s="6"/>
      <c r="Y307" s="6" t="s">
        <v>423</v>
      </c>
      <c r="Z307" s="6"/>
      <c r="AA307" s="6"/>
      <c r="AB307" s="6"/>
      <c r="AC307" s="6"/>
      <c r="AD307">
        <v>540</v>
      </c>
    </row>
    <row r="308" spans="1:30" x14ac:dyDescent="0.25">
      <c r="A308" s="9">
        <f t="shared" si="4"/>
        <v>42674</v>
      </c>
      <c r="B308">
        <v>50172440</v>
      </c>
      <c r="C308" s="6" t="s">
        <v>159</v>
      </c>
      <c r="D308">
        <v>1</v>
      </c>
      <c r="E308">
        <v>1</v>
      </c>
      <c r="F308">
        <v>1</v>
      </c>
      <c r="G308">
        <v>1</v>
      </c>
      <c r="H308">
        <v>1</v>
      </c>
      <c r="I308" s="6"/>
      <c r="J308" s="6"/>
      <c r="K308" s="6"/>
      <c r="L308" s="6"/>
      <c r="M308" s="2" t="s">
        <v>169</v>
      </c>
      <c r="N308" s="6" t="s">
        <v>245</v>
      </c>
      <c r="O308" s="6" t="s">
        <v>189</v>
      </c>
      <c r="P308" s="6" t="s">
        <v>58</v>
      </c>
      <c r="Q308" s="6" t="s">
        <v>336</v>
      </c>
      <c r="R308" s="6"/>
      <c r="S308" s="6" t="s">
        <v>342</v>
      </c>
      <c r="T308" s="6"/>
      <c r="U308" s="6" t="s">
        <v>345</v>
      </c>
      <c r="V308" s="6" t="s">
        <v>348</v>
      </c>
      <c r="W308" s="6" t="s">
        <v>353</v>
      </c>
      <c r="X308" s="6" t="s">
        <v>392</v>
      </c>
      <c r="Y308" s="6"/>
      <c r="Z308" s="6"/>
      <c r="AA308" s="6"/>
      <c r="AB308" s="6"/>
      <c r="AC308" s="6"/>
      <c r="AD308">
        <v>541</v>
      </c>
    </row>
    <row r="309" spans="1:30" x14ac:dyDescent="0.25">
      <c r="A309" s="9">
        <f t="shared" si="4"/>
        <v>42565</v>
      </c>
      <c r="B309">
        <v>50178606</v>
      </c>
      <c r="C309" s="6" t="s">
        <v>159</v>
      </c>
      <c r="D309">
        <v>1</v>
      </c>
      <c r="E309">
        <v>1</v>
      </c>
      <c r="F309">
        <v>1</v>
      </c>
      <c r="G309">
        <v>7</v>
      </c>
      <c r="H309">
        <v>1</v>
      </c>
      <c r="I309" s="6"/>
      <c r="J309" s="6"/>
      <c r="K309" s="6"/>
      <c r="L309" s="6"/>
      <c r="M309" s="2" t="s">
        <v>176</v>
      </c>
      <c r="N309" s="6" t="s">
        <v>246</v>
      </c>
      <c r="O309" s="6" t="s">
        <v>558</v>
      </c>
      <c r="P309" s="6" t="s">
        <v>59</v>
      </c>
      <c r="Q309" s="6" t="s">
        <v>337</v>
      </c>
      <c r="R309" s="6" t="s">
        <v>623</v>
      </c>
      <c r="S309" s="6" t="s">
        <v>342</v>
      </c>
      <c r="T309" s="6"/>
      <c r="U309" s="6" t="s">
        <v>345</v>
      </c>
      <c r="V309" s="6" t="s">
        <v>348</v>
      </c>
      <c r="W309" s="6" t="s">
        <v>365</v>
      </c>
      <c r="X309" s="6"/>
      <c r="Y309" s="6" t="s">
        <v>406</v>
      </c>
      <c r="Z309" s="6"/>
      <c r="AA309" s="6"/>
      <c r="AB309" s="6"/>
      <c r="AC309" s="6"/>
      <c r="AD309">
        <v>542</v>
      </c>
    </row>
    <row r="310" spans="1:30" x14ac:dyDescent="0.25">
      <c r="A310" s="9">
        <f t="shared" si="4"/>
        <v>42674</v>
      </c>
      <c r="B310">
        <v>50181428</v>
      </c>
      <c r="C310" s="6" t="s">
        <v>159</v>
      </c>
      <c r="D310">
        <v>1</v>
      </c>
      <c r="E310">
        <v>1</v>
      </c>
      <c r="F310">
        <v>1</v>
      </c>
      <c r="G310">
        <v>3</v>
      </c>
      <c r="H310">
        <v>2</v>
      </c>
      <c r="I310" s="6"/>
      <c r="J310" s="6"/>
      <c r="K310" s="6"/>
      <c r="L310" s="6"/>
      <c r="M310" s="2" t="s">
        <v>169</v>
      </c>
      <c r="N310" s="6" t="s">
        <v>169</v>
      </c>
      <c r="O310" s="6" t="s">
        <v>189</v>
      </c>
      <c r="P310" s="6" t="s">
        <v>59</v>
      </c>
      <c r="Q310" s="6" t="s">
        <v>337</v>
      </c>
      <c r="R310" s="6" t="s">
        <v>588</v>
      </c>
      <c r="S310" s="6" t="s">
        <v>342</v>
      </c>
      <c r="T310" s="6"/>
      <c r="U310" s="6" t="s">
        <v>345</v>
      </c>
      <c r="V310" s="6" t="s">
        <v>348</v>
      </c>
      <c r="W310" s="6" t="s">
        <v>365</v>
      </c>
      <c r="X310" s="6" t="s">
        <v>369</v>
      </c>
      <c r="Y310" s="6"/>
      <c r="Z310" s="6"/>
      <c r="AA310" s="6"/>
      <c r="AB310" s="6"/>
      <c r="AC310" s="6"/>
      <c r="AD310">
        <v>543</v>
      </c>
    </row>
    <row r="311" spans="1:30" x14ac:dyDescent="0.25">
      <c r="A311" s="9">
        <f t="shared" si="4"/>
        <v>42573</v>
      </c>
      <c r="B311">
        <v>50178595</v>
      </c>
      <c r="C311" s="6" t="s">
        <v>159</v>
      </c>
      <c r="D311">
        <v>1</v>
      </c>
      <c r="E311">
        <v>1</v>
      </c>
      <c r="F311">
        <v>1</v>
      </c>
      <c r="G311">
        <v>4</v>
      </c>
      <c r="H311">
        <v>4</v>
      </c>
      <c r="I311" s="6"/>
      <c r="J311" s="6"/>
      <c r="K311" s="6"/>
      <c r="L311" s="6"/>
      <c r="M311" s="2" t="s">
        <v>192</v>
      </c>
      <c r="N311" s="6" t="s">
        <v>252</v>
      </c>
      <c r="O311" s="6" t="s">
        <v>551</v>
      </c>
      <c r="P311" s="6" t="s">
        <v>75</v>
      </c>
      <c r="Q311" s="6" t="s">
        <v>303</v>
      </c>
      <c r="R311" s="6"/>
      <c r="S311" s="6" t="s">
        <v>342</v>
      </c>
      <c r="T311" s="6"/>
      <c r="U311" s="6"/>
      <c r="V311" s="6" t="s">
        <v>348</v>
      </c>
      <c r="W311" s="6" t="s">
        <v>352</v>
      </c>
      <c r="X311" s="6"/>
      <c r="Y311" s="6"/>
      <c r="Z311" s="6"/>
      <c r="AA311" s="6"/>
      <c r="AB311" s="6"/>
      <c r="AC311" s="6"/>
      <c r="AD311">
        <v>544</v>
      </c>
    </row>
    <row r="312" spans="1:30" x14ac:dyDescent="0.25">
      <c r="A312" s="9">
        <f t="shared" si="4"/>
        <v>42593</v>
      </c>
      <c r="B312">
        <v>50176927</v>
      </c>
      <c r="C312" s="6" t="s">
        <v>159</v>
      </c>
      <c r="D312">
        <v>1</v>
      </c>
      <c r="E312">
        <v>1</v>
      </c>
      <c r="F312">
        <v>1</v>
      </c>
      <c r="G312">
        <v>10</v>
      </c>
      <c r="H312">
        <v>10</v>
      </c>
      <c r="I312" s="6"/>
      <c r="J312" s="6"/>
      <c r="K312" s="6"/>
      <c r="L312" s="6"/>
      <c r="M312" s="2" t="s">
        <v>187</v>
      </c>
      <c r="N312" s="6" t="s">
        <v>253</v>
      </c>
      <c r="O312" s="6" t="s">
        <v>230</v>
      </c>
      <c r="P312" s="6" t="s">
        <v>75</v>
      </c>
      <c r="Q312" s="6" t="s">
        <v>303</v>
      </c>
      <c r="R312" s="6" t="s">
        <v>624</v>
      </c>
      <c r="S312" s="6" t="s">
        <v>342</v>
      </c>
      <c r="T312" s="6"/>
      <c r="U312" s="6" t="s">
        <v>345</v>
      </c>
      <c r="V312" s="6" t="s">
        <v>348</v>
      </c>
      <c r="W312" s="6" t="s">
        <v>352</v>
      </c>
      <c r="X312" s="6"/>
      <c r="Y312" s="6" t="s">
        <v>409</v>
      </c>
      <c r="Z312" s="6"/>
      <c r="AA312" s="6"/>
      <c r="AB312" s="6"/>
      <c r="AC312" s="6"/>
      <c r="AD312">
        <v>545</v>
      </c>
    </row>
    <row r="313" spans="1:30" x14ac:dyDescent="0.25">
      <c r="A313" s="9">
        <f t="shared" si="4"/>
        <v>42613</v>
      </c>
      <c r="B313">
        <v>50178795</v>
      </c>
      <c r="C313" s="6" t="s">
        <v>159</v>
      </c>
      <c r="D313">
        <v>1</v>
      </c>
      <c r="E313">
        <v>1</v>
      </c>
      <c r="F313">
        <v>1</v>
      </c>
      <c r="G313">
        <v>15</v>
      </c>
      <c r="H313">
        <v>15</v>
      </c>
      <c r="I313" s="6"/>
      <c r="J313" s="6"/>
      <c r="K313" s="6"/>
      <c r="L313" s="6"/>
      <c r="M313" s="2" t="s">
        <v>188</v>
      </c>
      <c r="N313" s="6" t="s">
        <v>210</v>
      </c>
      <c r="O313" s="6" t="s">
        <v>184</v>
      </c>
      <c r="P313" s="6" t="s">
        <v>75</v>
      </c>
      <c r="Q313" s="6" t="s">
        <v>303</v>
      </c>
      <c r="R313" s="6" t="s">
        <v>625</v>
      </c>
      <c r="S313" s="6" t="s">
        <v>342</v>
      </c>
      <c r="T313" s="6"/>
      <c r="U313" s="6" t="s">
        <v>345</v>
      </c>
      <c r="V313" s="6" t="s">
        <v>348</v>
      </c>
      <c r="W313" s="6" t="s">
        <v>352</v>
      </c>
      <c r="X313" s="6"/>
      <c r="Y313" s="6" t="s">
        <v>409</v>
      </c>
      <c r="Z313" s="6"/>
      <c r="AA313" s="6"/>
      <c r="AB313" s="6"/>
      <c r="AC313" s="6"/>
      <c r="AD313">
        <v>546</v>
      </c>
    </row>
    <row r="314" spans="1:30" x14ac:dyDescent="0.25">
      <c r="A314" s="9">
        <f t="shared" si="4"/>
        <v>42163</v>
      </c>
      <c r="B314">
        <v>50181839</v>
      </c>
      <c r="C314" s="6" t="s">
        <v>159</v>
      </c>
      <c r="D314">
        <v>1</v>
      </c>
      <c r="E314">
        <v>1</v>
      </c>
      <c r="F314">
        <v>0</v>
      </c>
      <c r="G314">
        <v>1</v>
      </c>
      <c r="H314">
        <v>1</v>
      </c>
      <c r="I314" s="6"/>
      <c r="J314" s="6"/>
      <c r="K314" s="6"/>
      <c r="L314" s="6"/>
      <c r="M314" s="2" t="s">
        <v>223</v>
      </c>
      <c r="N314" s="6" t="s">
        <v>201</v>
      </c>
      <c r="O314" s="6" t="s">
        <v>559</v>
      </c>
      <c r="P314" s="6" t="s">
        <v>74</v>
      </c>
      <c r="Q314" s="6" t="s">
        <v>333</v>
      </c>
      <c r="R314" s="6" t="s">
        <v>520</v>
      </c>
      <c r="S314" s="6" t="s">
        <v>342</v>
      </c>
      <c r="T314" s="6"/>
      <c r="U314" s="6" t="s">
        <v>345</v>
      </c>
      <c r="V314" s="6" t="s">
        <v>348</v>
      </c>
      <c r="W314" s="6" t="s">
        <v>350</v>
      </c>
      <c r="X314" s="6" t="s">
        <v>470</v>
      </c>
      <c r="Y314" s="6"/>
      <c r="Z314" s="6"/>
      <c r="AA314" s="6"/>
      <c r="AB314" s="6"/>
      <c r="AC314" s="6"/>
      <c r="AD314">
        <v>548</v>
      </c>
    </row>
    <row r="315" spans="1:30" x14ac:dyDescent="0.25">
      <c r="A315" s="9">
        <f t="shared" si="4"/>
        <v>42579</v>
      </c>
      <c r="B315">
        <v>50172281</v>
      </c>
      <c r="C315" s="6" t="s">
        <v>159</v>
      </c>
      <c r="D315">
        <v>1</v>
      </c>
      <c r="E315">
        <v>1</v>
      </c>
      <c r="F315">
        <v>1</v>
      </c>
      <c r="G315">
        <v>10</v>
      </c>
      <c r="H315">
        <v>8</v>
      </c>
      <c r="I315" s="6"/>
      <c r="J315" s="6"/>
      <c r="K315" s="6"/>
      <c r="L315" s="6"/>
      <c r="M315" s="2" t="s">
        <v>186</v>
      </c>
      <c r="N315" s="6" t="s">
        <v>254</v>
      </c>
      <c r="O315" s="6" t="s">
        <v>555</v>
      </c>
      <c r="P315" s="6" t="s">
        <v>74</v>
      </c>
      <c r="Q315" s="6" t="s">
        <v>333</v>
      </c>
      <c r="R315" s="6" t="s">
        <v>520</v>
      </c>
      <c r="S315" s="6" t="s">
        <v>342</v>
      </c>
      <c r="T315" s="6"/>
      <c r="U315" s="6" t="s">
        <v>345</v>
      </c>
      <c r="V315" s="6" t="s">
        <v>348</v>
      </c>
      <c r="W315" s="6" t="s">
        <v>350</v>
      </c>
      <c r="X315" s="6"/>
      <c r="Y315" s="6" t="s">
        <v>424</v>
      </c>
      <c r="Z315" s="6"/>
      <c r="AA315" s="6"/>
      <c r="AB315" s="6"/>
      <c r="AC315" s="6"/>
      <c r="AD315">
        <v>549</v>
      </c>
    </row>
    <row r="316" spans="1:30" x14ac:dyDescent="0.25">
      <c r="A316" s="9">
        <f t="shared" si="4"/>
        <v>42586</v>
      </c>
      <c r="B316">
        <v>50173376</v>
      </c>
      <c r="C316" s="6" t="s">
        <v>159</v>
      </c>
      <c r="D316">
        <v>1</v>
      </c>
      <c r="E316">
        <v>1</v>
      </c>
      <c r="F316">
        <v>1</v>
      </c>
      <c r="G316">
        <v>10</v>
      </c>
      <c r="H316">
        <v>10</v>
      </c>
      <c r="I316" s="6"/>
      <c r="J316" s="6"/>
      <c r="K316" s="6"/>
      <c r="L316" s="6"/>
      <c r="M316" s="2" t="s">
        <v>198</v>
      </c>
      <c r="N316" s="6" t="s">
        <v>255</v>
      </c>
      <c r="O316" s="6" t="s">
        <v>553</v>
      </c>
      <c r="P316" s="6" t="s">
        <v>74</v>
      </c>
      <c r="Q316" s="6" t="s">
        <v>333</v>
      </c>
      <c r="R316" s="6"/>
      <c r="S316" s="6" t="s">
        <v>342</v>
      </c>
      <c r="T316" s="6"/>
      <c r="U316" s="6" t="s">
        <v>345</v>
      </c>
      <c r="V316" s="6" t="s">
        <v>348</v>
      </c>
      <c r="W316" s="6" t="s">
        <v>350</v>
      </c>
      <c r="X316" s="6"/>
      <c r="Y316" s="6"/>
      <c r="Z316" s="6"/>
      <c r="AA316" s="6"/>
      <c r="AB316" s="6"/>
      <c r="AC316" s="6"/>
      <c r="AD316">
        <v>550</v>
      </c>
    </row>
    <row r="317" spans="1:30" x14ac:dyDescent="0.25">
      <c r="A317" s="9">
        <f t="shared" si="4"/>
        <v>42586</v>
      </c>
      <c r="B317">
        <v>50178796</v>
      </c>
      <c r="C317" s="6" t="s">
        <v>159</v>
      </c>
      <c r="D317">
        <v>1</v>
      </c>
      <c r="E317">
        <v>1</v>
      </c>
      <c r="F317">
        <v>1</v>
      </c>
      <c r="G317">
        <v>10</v>
      </c>
      <c r="H317">
        <v>10</v>
      </c>
      <c r="I317" s="6"/>
      <c r="J317" s="6"/>
      <c r="K317" s="6"/>
      <c r="L317" s="6"/>
      <c r="M317" s="2" t="s">
        <v>198</v>
      </c>
      <c r="N317" s="6" t="s">
        <v>210</v>
      </c>
      <c r="O317" s="6" t="s">
        <v>553</v>
      </c>
      <c r="P317" s="6" t="s">
        <v>74</v>
      </c>
      <c r="Q317" s="6" t="s">
        <v>333</v>
      </c>
      <c r="R317" s="6" t="s">
        <v>626</v>
      </c>
      <c r="S317" s="6" t="s">
        <v>342</v>
      </c>
      <c r="T317" s="6"/>
      <c r="U317" s="6" t="s">
        <v>345</v>
      </c>
      <c r="V317" s="6" t="s">
        <v>348</v>
      </c>
      <c r="W317" s="6" t="s">
        <v>350</v>
      </c>
      <c r="X317" s="6"/>
      <c r="Y317" s="6" t="s">
        <v>424</v>
      </c>
      <c r="Z317" s="6"/>
      <c r="AA317" s="6"/>
      <c r="AB317" s="6"/>
      <c r="AC317" s="6"/>
      <c r="AD317">
        <v>551</v>
      </c>
    </row>
    <row r="318" spans="1:30" x14ac:dyDescent="0.25">
      <c r="A318" s="9">
        <f t="shared" si="4"/>
        <v>42639</v>
      </c>
      <c r="B318">
        <v>50177864</v>
      </c>
      <c r="C318" s="6" t="s">
        <v>159</v>
      </c>
      <c r="D318">
        <v>1</v>
      </c>
      <c r="E318">
        <v>1</v>
      </c>
      <c r="F318">
        <v>1</v>
      </c>
      <c r="G318">
        <v>10</v>
      </c>
      <c r="H318">
        <v>10</v>
      </c>
      <c r="I318" s="6"/>
      <c r="J318" s="6"/>
      <c r="K318" s="6"/>
      <c r="L318" s="6"/>
      <c r="M318" s="2" t="s">
        <v>173</v>
      </c>
      <c r="N318" s="6" t="s">
        <v>256</v>
      </c>
      <c r="O318" s="6" t="s">
        <v>186</v>
      </c>
      <c r="P318" s="6" t="s">
        <v>74</v>
      </c>
      <c r="Q318" s="6" t="s">
        <v>333</v>
      </c>
      <c r="R318" s="6" t="s">
        <v>529</v>
      </c>
      <c r="S318" s="6" t="s">
        <v>342</v>
      </c>
      <c r="T318" s="6"/>
      <c r="U318" s="6" t="s">
        <v>345</v>
      </c>
      <c r="V318" s="6" t="s">
        <v>348</v>
      </c>
      <c r="W318" s="6" t="s">
        <v>350</v>
      </c>
      <c r="X318" s="6"/>
      <c r="Y318" s="6"/>
      <c r="Z318" s="6"/>
      <c r="AA318" s="6"/>
      <c r="AB318" s="6"/>
      <c r="AC318" s="6"/>
      <c r="AD318">
        <v>552</v>
      </c>
    </row>
    <row r="319" spans="1:30" x14ac:dyDescent="0.25">
      <c r="A319" s="9">
        <f t="shared" si="4"/>
        <v>42643</v>
      </c>
      <c r="B319">
        <v>50173790</v>
      </c>
      <c r="C319" s="6" t="s">
        <v>159</v>
      </c>
      <c r="D319">
        <v>1</v>
      </c>
      <c r="E319">
        <v>1</v>
      </c>
      <c r="F319">
        <v>1</v>
      </c>
      <c r="G319">
        <v>1</v>
      </c>
      <c r="H319">
        <v>1</v>
      </c>
      <c r="I319" s="6"/>
      <c r="J319" s="6"/>
      <c r="K319" s="6"/>
      <c r="L319" s="6"/>
      <c r="M319" s="2" t="s">
        <v>190</v>
      </c>
      <c r="N319" s="6" t="s">
        <v>215</v>
      </c>
      <c r="O319" s="6" t="s">
        <v>198</v>
      </c>
      <c r="P319" s="6" t="s">
        <v>74</v>
      </c>
      <c r="Q319" s="6" t="s">
        <v>333</v>
      </c>
      <c r="R319" s="6" t="s">
        <v>627</v>
      </c>
      <c r="S319" s="6" t="s">
        <v>342</v>
      </c>
      <c r="T319" s="6"/>
      <c r="U319" s="6" t="s">
        <v>345</v>
      </c>
      <c r="V319" s="6" t="s">
        <v>348</v>
      </c>
      <c r="W319" s="6" t="s">
        <v>350</v>
      </c>
      <c r="X319" s="6" t="s">
        <v>393</v>
      </c>
      <c r="Y319" s="6"/>
      <c r="Z319" s="6"/>
      <c r="AA319" s="6"/>
      <c r="AB319" s="6"/>
      <c r="AC319" s="6"/>
      <c r="AD319">
        <v>553</v>
      </c>
    </row>
    <row r="320" spans="1:30" x14ac:dyDescent="0.25">
      <c r="A320" s="9">
        <f t="shared" si="4"/>
        <v>42643</v>
      </c>
      <c r="B320">
        <v>50170182</v>
      </c>
      <c r="C320" s="6" t="s">
        <v>159</v>
      </c>
      <c r="D320">
        <v>1</v>
      </c>
      <c r="E320">
        <v>1</v>
      </c>
      <c r="F320">
        <v>1</v>
      </c>
      <c r="G320">
        <v>10</v>
      </c>
      <c r="H320">
        <v>4</v>
      </c>
      <c r="I320" s="6"/>
      <c r="J320" s="6"/>
      <c r="K320" s="6"/>
      <c r="L320" s="6"/>
      <c r="M320" s="2" t="s">
        <v>190</v>
      </c>
      <c r="N320" s="6" t="s">
        <v>240</v>
      </c>
      <c r="O320" s="6" t="s">
        <v>198</v>
      </c>
      <c r="P320" s="6" t="s">
        <v>74</v>
      </c>
      <c r="Q320" s="6" t="s">
        <v>333</v>
      </c>
      <c r="R320" s="6" t="s">
        <v>339</v>
      </c>
      <c r="S320" s="6" t="s">
        <v>342</v>
      </c>
      <c r="T320" s="6"/>
      <c r="U320" s="6" t="s">
        <v>345</v>
      </c>
      <c r="V320" s="6" t="s">
        <v>348</v>
      </c>
      <c r="W320" s="6" t="s">
        <v>350</v>
      </c>
      <c r="X320" s="6" t="s">
        <v>369</v>
      </c>
      <c r="Y320" s="6" t="s">
        <v>677</v>
      </c>
      <c r="Z320" s="6"/>
      <c r="AA320" s="6"/>
      <c r="AB320" s="6"/>
      <c r="AC320" s="6"/>
      <c r="AD320">
        <v>554</v>
      </c>
    </row>
    <row r="321" spans="1:30" x14ac:dyDescent="0.25">
      <c r="A321" s="9">
        <f t="shared" si="4"/>
        <v>42643</v>
      </c>
      <c r="B321">
        <v>50178847</v>
      </c>
      <c r="C321" s="6" t="s">
        <v>159</v>
      </c>
      <c r="D321">
        <v>1</v>
      </c>
      <c r="E321">
        <v>1</v>
      </c>
      <c r="F321">
        <v>1</v>
      </c>
      <c r="G321">
        <v>1</v>
      </c>
      <c r="H321">
        <v>1</v>
      </c>
      <c r="I321" s="6"/>
      <c r="J321" s="6"/>
      <c r="K321" s="6"/>
      <c r="L321" s="6"/>
      <c r="M321" s="2" t="s">
        <v>190</v>
      </c>
      <c r="N321" s="6" t="s">
        <v>191</v>
      </c>
      <c r="O321" s="6" t="s">
        <v>198</v>
      </c>
      <c r="P321" s="6" t="s">
        <v>74</v>
      </c>
      <c r="Q321" s="6" t="s">
        <v>333</v>
      </c>
      <c r="R321" s="6" t="s">
        <v>627</v>
      </c>
      <c r="S321" s="6" t="s">
        <v>342</v>
      </c>
      <c r="T321" s="6"/>
      <c r="U321" s="6" t="s">
        <v>345</v>
      </c>
      <c r="V321" s="6" t="s">
        <v>348</v>
      </c>
      <c r="W321" s="6" t="s">
        <v>350</v>
      </c>
      <c r="X321" s="6" t="s">
        <v>369</v>
      </c>
      <c r="Y321" s="6"/>
      <c r="Z321" s="6"/>
      <c r="AA321" s="6"/>
      <c r="AB321" s="6"/>
      <c r="AC321" s="6"/>
      <c r="AD321">
        <v>555</v>
      </c>
    </row>
    <row r="322" spans="1:30" x14ac:dyDescent="0.25">
      <c r="A322" s="9">
        <f t="shared" si="4"/>
        <v>42643</v>
      </c>
      <c r="B322">
        <v>50178049</v>
      </c>
      <c r="C322" s="6" t="s">
        <v>159</v>
      </c>
      <c r="D322">
        <v>1</v>
      </c>
      <c r="E322">
        <v>1</v>
      </c>
      <c r="F322">
        <v>1</v>
      </c>
      <c r="G322">
        <v>1</v>
      </c>
      <c r="H322">
        <v>1</v>
      </c>
      <c r="I322" s="6"/>
      <c r="J322" s="6"/>
      <c r="K322" s="6"/>
      <c r="L322" s="6"/>
      <c r="M322" s="2" t="s">
        <v>190</v>
      </c>
      <c r="N322" s="6" t="s">
        <v>200</v>
      </c>
      <c r="O322" s="6" t="s">
        <v>198</v>
      </c>
      <c r="P322" s="6" t="s">
        <v>74</v>
      </c>
      <c r="Q322" s="6" t="s">
        <v>333</v>
      </c>
      <c r="R322" s="6" t="s">
        <v>594</v>
      </c>
      <c r="S322" s="6" t="s">
        <v>342</v>
      </c>
      <c r="T322" s="6"/>
      <c r="U322" s="6" t="s">
        <v>345</v>
      </c>
      <c r="V322" s="6" t="s">
        <v>348</v>
      </c>
      <c r="W322" s="6" t="s">
        <v>350</v>
      </c>
      <c r="X322" s="6" t="s">
        <v>369</v>
      </c>
      <c r="Y322" s="6"/>
      <c r="Z322" s="6"/>
      <c r="AA322" s="6"/>
      <c r="AB322" s="6"/>
      <c r="AC322" s="6"/>
      <c r="AD322">
        <v>556</v>
      </c>
    </row>
    <row r="323" spans="1:30" x14ac:dyDescent="0.25">
      <c r="A323" s="9">
        <f t="shared" ref="A323:A386" si="5">IF(M323="","",DATEVALUE(M323))</f>
        <v>42643</v>
      </c>
      <c r="B323">
        <v>50178146</v>
      </c>
      <c r="C323" s="6" t="s">
        <v>159</v>
      </c>
      <c r="D323">
        <v>1</v>
      </c>
      <c r="E323">
        <v>1</v>
      </c>
      <c r="F323">
        <v>1</v>
      </c>
      <c r="G323">
        <v>1</v>
      </c>
      <c r="H323">
        <v>1</v>
      </c>
      <c r="I323" s="6"/>
      <c r="J323" s="6"/>
      <c r="K323" s="6"/>
      <c r="L323" s="6"/>
      <c r="M323" s="2" t="s">
        <v>190</v>
      </c>
      <c r="N323" s="6" t="s">
        <v>257</v>
      </c>
      <c r="O323" s="6" t="s">
        <v>198</v>
      </c>
      <c r="P323" s="6" t="s">
        <v>74</v>
      </c>
      <c r="Q323" s="6" t="s">
        <v>333</v>
      </c>
      <c r="R323" s="6" t="s">
        <v>627</v>
      </c>
      <c r="S323" s="6" t="s">
        <v>342</v>
      </c>
      <c r="T323" s="6"/>
      <c r="U323" s="6" t="s">
        <v>345</v>
      </c>
      <c r="V323" s="6" t="s">
        <v>348</v>
      </c>
      <c r="W323" s="6" t="s">
        <v>350</v>
      </c>
      <c r="X323" s="6" t="s">
        <v>369</v>
      </c>
      <c r="Y323" s="6"/>
      <c r="Z323" s="6"/>
      <c r="AA323" s="6"/>
      <c r="AB323" s="6"/>
      <c r="AC323" s="6"/>
      <c r="AD323">
        <v>557</v>
      </c>
    </row>
    <row r="324" spans="1:30" x14ac:dyDescent="0.25">
      <c r="A324" s="9">
        <f t="shared" si="5"/>
        <v>42590</v>
      </c>
      <c r="B324">
        <v>50178880</v>
      </c>
      <c r="C324" s="6" t="s">
        <v>159</v>
      </c>
      <c r="D324">
        <v>1</v>
      </c>
      <c r="E324">
        <v>1</v>
      </c>
      <c r="F324">
        <v>1</v>
      </c>
      <c r="G324">
        <v>7</v>
      </c>
      <c r="H324">
        <v>7</v>
      </c>
      <c r="I324" s="6"/>
      <c r="J324" s="6"/>
      <c r="K324" s="6"/>
      <c r="L324" s="6"/>
      <c r="M324" s="2" t="s">
        <v>170</v>
      </c>
      <c r="N324" s="6" t="s">
        <v>258</v>
      </c>
      <c r="O324" s="6" t="s">
        <v>176</v>
      </c>
      <c r="P324" s="6" t="s">
        <v>3</v>
      </c>
      <c r="Q324" s="6" t="s">
        <v>338</v>
      </c>
      <c r="R324" s="6"/>
      <c r="S324" s="6" t="s">
        <v>342</v>
      </c>
      <c r="T324" s="6"/>
      <c r="U324" s="6"/>
      <c r="V324" s="6" t="s">
        <v>348</v>
      </c>
      <c r="W324" s="6" t="s">
        <v>350</v>
      </c>
      <c r="X324" s="6"/>
      <c r="Y324" s="6" t="s">
        <v>402</v>
      </c>
      <c r="Z324" s="6"/>
      <c r="AA324" s="6"/>
      <c r="AB324" s="6"/>
      <c r="AC324" s="6"/>
      <c r="AD324">
        <v>558</v>
      </c>
    </row>
    <row r="325" spans="1:30" x14ac:dyDescent="0.25">
      <c r="A325" s="9">
        <f t="shared" si="5"/>
        <v>42590</v>
      </c>
      <c r="B325">
        <v>50181258</v>
      </c>
      <c r="C325" s="6" t="s">
        <v>159</v>
      </c>
      <c r="D325">
        <v>1</v>
      </c>
      <c r="E325">
        <v>1</v>
      </c>
      <c r="F325">
        <v>1</v>
      </c>
      <c r="G325">
        <v>10</v>
      </c>
      <c r="H325">
        <v>10</v>
      </c>
      <c r="I325" s="6"/>
      <c r="J325" s="6"/>
      <c r="K325" s="6"/>
      <c r="L325" s="6"/>
      <c r="M325" s="2" t="s">
        <v>170</v>
      </c>
      <c r="N325" s="6" t="s">
        <v>170</v>
      </c>
      <c r="O325" s="6" t="s">
        <v>176</v>
      </c>
      <c r="P325" s="6" t="s">
        <v>3</v>
      </c>
      <c r="Q325" s="6" t="s">
        <v>338</v>
      </c>
      <c r="R325" s="6" t="s">
        <v>628</v>
      </c>
      <c r="S325" s="6" t="s">
        <v>342</v>
      </c>
      <c r="T325" s="6"/>
      <c r="U325" s="6" t="s">
        <v>345</v>
      </c>
      <c r="V325" s="6" t="s">
        <v>348</v>
      </c>
      <c r="W325" s="6" t="s">
        <v>350</v>
      </c>
      <c r="X325" s="6"/>
      <c r="Y325" s="6" t="s">
        <v>394</v>
      </c>
      <c r="Z325" s="6"/>
      <c r="AA325" s="6"/>
      <c r="AB325" s="6"/>
      <c r="AC325" s="6"/>
      <c r="AD325">
        <v>559</v>
      </c>
    </row>
    <row r="326" spans="1:30" x14ac:dyDescent="0.25">
      <c r="A326" s="9">
        <f t="shared" si="5"/>
        <v>42590</v>
      </c>
      <c r="B326">
        <v>50169959</v>
      </c>
      <c r="C326" s="6" t="s">
        <v>159</v>
      </c>
      <c r="D326">
        <v>1</v>
      </c>
      <c r="E326">
        <v>1</v>
      </c>
      <c r="F326">
        <v>0</v>
      </c>
      <c r="G326">
        <v>15</v>
      </c>
      <c r="H326">
        <v>11</v>
      </c>
      <c r="I326" s="6"/>
      <c r="J326" s="6"/>
      <c r="K326" s="6"/>
      <c r="L326" s="6"/>
      <c r="M326" s="2" t="s">
        <v>170</v>
      </c>
      <c r="N326" s="6" t="s">
        <v>222</v>
      </c>
      <c r="O326" s="6" t="s">
        <v>186</v>
      </c>
      <c r="P326" s="6" t="s">
        <v>4</v>
      </c>
      <c r="Q326" s="6" t="s">
        <v>338</v>
      </c>
      <c r="R326" s="6"/>
      <c r="S326" s="6" t="s">
        <v>342</v>
      </c>
      <c r="T326" s="6"/>
      <c r="U326" s="6" t="s">
        <v>345</v>
      </c>
      <c r="V326" s="6" t="s">
        <v>348</v>
      </c>
      <c r="W326" s="6" t="s">
        <v>354</v>
      </c>
      <c r="X326" s="6" t="s">
        <v>394</v>
      </c>
      <c r="Y326" s="6" t="s">
        <v>425</v>
      </c>
      <c r="Z326" s="6"/>
      <c r="AA326" s="6"/>
      <c r="AB326" s="6"/>
      <c r="AC326" s="6"/>
      <c r="AD326">
        <v>561</v>
      </c>
    </row>
    <row r="327" spans="1:30" x14ac:dyDescent="0.25">
      <c r="A327" s="9">
        <f t="shared" si="5"/>
        <v>42590</v>
      </c>
      <c r="B327">
        <v>50178882</v>
      </c>
      <c r="C327" s="6" t="s">
        <v>159</v>
      </c>
      <c r="D327">
        <v>1</v>
      </c>
      <c r="E327">
        <v>1</v>
      </c>
      <c r="F327">
        <v>0</v>
      </c>
      <c r="G327">
        <v>5</v>
      </c>
      <c r="H327">
        <v>5</v>
      </c>
      <c r="I327" s="6"/>
      <c r="J327" s="6"/>
      <c r="K327" s="6"/>
      <c r="L327" s="6"/>
      <c r="M327" s="2" t="s">
        <v>170</v>
      </c>
      <c r="N327" s="6" t="s">
        <v>258</v>
      </c>
      <c r="O327" s="6" t="s">
        <v>186</v>
      </c>
      <c r="P327" s="6" t="s">
        <v>4</v>
      </c>
      <c r="Q327" s="6" t="s">
        <v>338</v>
      </c>
      <c r="R327" s="6"/>
      <c r="S327" s="6" t="s">
        <v>342</v>
      </c>
      <c r="T327" s="6"/>
      <c r="U327" s="6"/>
      <c r="V327" s="6" t="s">
        <v>348</v>
      </c>
      <c r="W327" s="6" t="s">
        <v>354</v>
      </c>
      <c r="X327" s="6"/>
      <c r="Y327" s="6"/>
      <c r="Z327" s="6"/>
      <c r="AA327" s="6"/>
      <c r="AB327" s="6"/>
      <c r="AC327" s="6"/>
      <c r="AD327">
        <v>562</v>
      </c>
    </row>
    <row r="328" spans="1:30" x14ac:dyDescent="0.25">
      <c r="A328" s="9" t="str">
        <f t="shared" si="5"/>
        <v/>
      </c>
    </row>
    <row r="329" spans="1:30" x14ac:dyDescent="0.25">
      <c r="A329" s="9" t="str">
        <f t="shared" si="5"/>
        <v/>
      </c>
    </row>
    <row r="330" spans="1:30" x14ac:dyDescent="0.25">
      <c r="A330" s="9" t="str">
        <f t="shared" si="5"/>
        <v/>
      </c>
    </row>
    <row r="331" spans="1:30" x14ac:dyDescent="0.25">
      <c r="A331" s="9" t="str">
        <f t="shared" si="5"/>
        <v/>
      </c>
    </row>
    <row r="332" spans="1:30" x14ac:dyDescent="0.25">
      <c r="A332" s="9" t="str">
        <f t="shared" si="5"/>
        <v/>
      </c>
    </row>
    <row r="333" spans="1:30" x14ac:dyDescent="0.25">
      <c r="A333" s="9" t="str">
        <f t="shared" si="5"/>
        <v/>
      </c>
    </row>
    <row r="334" spans="1:30" x14ac:dyDescent="0.25">
      <c r="A334" s="9" t="str">
        <f t="shared" si="5"/>
        <v/>
      </c>
    </row>
    <row r="335" spans="1:30" x14ac:dyDescent="0.25">
      <c r="A335" s="9" t="str">
        <f t="shared" si="5"/>
        <v/>
      </c>
    </row>
    <row r="336" spans="1:30" x14ac:dyDescent="0.25">
      <c r="A336" s="9" t="str">
        <f t="shared" si="5"/>
        <v/>
      </c>
    </row>
    <row r="337" spans="1:1" x14ac:dyDescent="0.25">
      <c r="A337" s="9" t="str">
        <f t="shared" si="5"/>
        <v/>
      </c>
    </row>
    <row r="338" spans="1:1" x14ac:dyDescent="0.25">
      <c r="A338" s="9" t="str">
        <f t="shared" si="5"/>
        <v/>
      </c>
    </row>
    <row r="339" spans="1:1" x14ac:dyDescent="0.25">
      <c r="A339" s="9" t="str">
        <f t="shared" si="5"/>
        <v/>
      </c>
    </row>
    <row r="340" spans="1:1" x14ac:dyDescent="0.25">
      <c r="A340" s="9" t="str">
        <f t="shared" si="5"/>
        <v/>
      </c>
    </row>
    <row r="341" spans="1:1" x14ac:dyDescent="0.25">
      <c r="A341" s="9" t="str">
        <f t="shared" si="5"/>
        <v/>
      </c>
    </row>
    <row r="342" spans="1:1" x14ac:dyDescent="0.25">
      <c r="A342" s="9" t="str">
        <f t="shared" si="5"/>
        <v/>
      </c>
    </row>
    <row r="343" spans="1:1" x14ac:dyDescent="0.25">
      <c r="A343" s="9" t="str">
        <f t="shared" si="5"/>
        <v/>
      </c>
    </row>
    <row r="344" spans="1:1" x14ac:dyDescent="0.25">
      <c r="A344" s="9" t="str">
        <f t="shared" si="5"/>
        <v/>
      </c>
    </row>
    <row r="345" spans="1:1" x14ac:dyDescent="0.25">
      <c r="A345" s="9" t="str">
        <f t="shared" si="5"/>
        <v/>
      </c>
    </row>
    <row r="346" spans="1:1" x14ac:dyDescent="0.25">
      <c r="A346" s="9" t="str">
        <f t="shared" si="5"/>
        <v/>
      </c>
    </row>
    <row r="347" spans="1:1" x14ac:dyDescent="0.25">
      <c r="A347" s="9" t="str">
        <f t="shared" si="5"/>
        <v/>
      </c>
    </row>
    <row r="348" spans="1:1" x14ac:dyDescent="0.25">
      <c r="A348" s="9" t="str">
        <f t="shared" si="5"/>
        <v/>
      </c>
    </row>
    <row r="349" spans="1:1" x14ac:dyDescent="0.25">
      <c r="A349" s="9" t="str">
        <f t="shared" si="5"/>
        <v/>
      </c>
    </row>
    <row r="350" spans="1:1" x14ac:dyDescent="0.25">
      <c r="A350" s="9" t="str">
        <f t="shared" si="5"/>
        <v/>
      </c>
    </row>
    <row r="351" spans="1:1" x14ac:dyDescent="0.25">
      <c r="A351" s="9" t="str">
        <f t="shared" si="5"/>
        <v/>
      </c>
    </row>
    <row r="352" spans="1:1" x14ac:dyDescent="0.25">
      <c r="A352" s="9" t="str">
        <f t="shared" si="5"/>
        <v/>
      </c>
    </row>
    <row r="353" spans="1:1" x14ac:dyDescent="0.25">
      <c r="A353" s="9" t="str">
        <f t="shared" si="5"/>
        <v/>
      </c>
    </row>
    <row r="354" spans="1:1" x14ac:dyDescent="0.25">
      <c r="A354" s="9" t="str">
        <f t="shared" si="5"/>
        <v/>
      </c>
    </row>
    <row r="355" spans="1:1" x14ac:dyDescent="0.25">
      <c r="A355" s="9" t="str">
        <f t="shared" si="5"/>
        <v/>
      </c>
    </row>
    <row r="356" spans="1:1" x14ac:dyDescent="0.25">
      <c r="A356" s="9" t="str">
        <f t="shared" si="5"/>
        <v/>
      </c>
    </row>
    <row r="357" spans="1:1" x14ac:dyDescent="0.25">
      <c r="A357" s="9" t="str">
        <f t="shared" si="5"/>
        <v/>
      </c>
    </row>
    <row r="358" spans="1:1" x14ac:dyDescent="0.25">
      <c r="A358" s="9" t="str">
        <f t="shared" si="5"/>
        <v/>
      </c>
    </row>
    <row r="359" spans="1:1" x14ac:dyDescent="0.25">
      <c r="A359" s="9" t="str">
        <f t="shared" si="5"/>
        <v/>
      </c>
    </row>
    <row r="360" spans="1:1" x14ac:dyDescent="0.25">
      <c r="A360" s="9" t="str">
        <f t="shared" si="5"/>
        <v/>
      </c>
    </row>
    <row r="361" spans="1:1" x14ac:dyDescent="0.25">
      <c r="A361" s="9" t="str">
        <f t="shared" si="5"/>
        <v/>
      </c>
    </row>
    <row r="362" spans="1:1" x14ac:dyDescent="0.25">
      <c r="A362" s="9" t="str">
        <f t="shared" si="5"/>
        <v/>
      </c>
    </row>
    <row r="363" spans="1:1" x14ac:dyDescent="0.25">
      <c r="A363" s="9" t="str">
        <f t="shared" si="5"/>
        <v/>
      </c>
    </row>
    <row r="364" spans="1:1" x14ac:dyDescent="0.25">
      <c r="A364" s="9" t="str">
        <f t="shared" si="5"/>
        <v/>
      </c>
    </row>
    <row r="365" spans="1:1" x14ac:dyDescent="0.25">
      <c r="A365" s="9" t="str">
        <f t="shared" si="5"/>
        <v/>
      </c>
    </row>
    <row r="366" spans="1:1" x14ac:dyDescent="0.25">
      <c r="A366" s="9" t="str">
        <f t="shared" si="5"/>
        <v/>
      </c>
    </row>
    <row r="367" spans="1:1" x14ac:dyDescent="0.25">
      <c r="A367" s="9" t="str">
        <f t="shared" si="5"/>
        <v/>
      </c>
    </row>
    <row r="368" spans="1:1" x14ac:dyDescent="0.25">
      <c r="A368" s="9" t="str">
        <f t="shared" si="5"/>
        <v/>
      </c>
    </row>
    <row r="369" spans="1:1" x14ac:dyDescent="0.25">
      <c r="A369" s="9" t="str">
        <f t="shared" si="5"/>
        <v/>
      </c>
    </row>
    <row r="370" spans="1:1" x14ac:dyDescent="0.25">
      <c r="A370" s="9" t="str">
        <f t="shared" si="5"/>
        <v/>
      </c>
    </row>
    <row r="371" spans="1:1" x14ac:dyDescent="0.25">
      <c r="A371" s="9" t="str">
        <f t="shared" si="5"/>
        <v/>
      </c>
    </row>
    <row r="372" spans="1:1" x14ac:dyDescent="0.25">
      <c r="A372" s="9" t="str">
        <f t="shared" si="5"/>
        <v/>
      </c>
    </row>
    <row r="373" spans="1:1" x14ac:dyDescent="0.25">
      <c r="A373" s="9" t="str">
        <f t="shared" si="5"/>
        <v/>
      </c>
    </row>
    <row r="374" spans="1:1" x14ac:dyDescent="0.25">
      <c r="A374" s="9" t="str">
        <f t="shared" si="5"/>
        <v/>
      </c>
    </row>
    <row r="375" spans="1:1" x14ac:dyDescent="0.25">
      <c r="A375" s="9" t="str">
        <f t="shared" si="5"/>
        <v/>
      </c>
    </row>
    <row r="376" spans="1:1" x14ac:dyDescent="0.25">
      <c r="A376" s="9" t="str">
        <f t="shared" si="5"/>
        <v/>
      </c>
    </row>
    <row r="377" spans="1:1" x14ac:dyDescent="0.25">
      <c r="A377" s="9" t="str">
        <f t="shared" si="5"/>
        <v/>
      </c>
    </row>
    <row r="378" spans="1:1" x14ac:dyDescent="0.25">
      <c r="A378" s="9" t="str">
        <f t="shared" si="5"/>
        <v/>
      </c>
    </row>
    <row r="379" spans="1:1" x14ac:dyDescent="0.25">
      <c r="A379" s="9" t="str">
        <f t="shared" si="5"/>
        <v/>
      </c>
    </row>
    <row r="380" spans="1:1" x14ac:dyDescent="0.25">
      <c r="A380" s="9" t="str">
        <f t="shared" si="5"/>
        <v/>
      </c>
    </row>
    <row r="381" spans="1:1" x14ac:dyDescent="0.25">
      <c r="A381" s="9" t="str">
        <f t="shared" si="5"/>
        <v/>
      </c>
    </row>
    <row r="382" spans="1:1" x14ac:dyDescent="0.25">
      <c r="A382" s="9" t="str">
        <f t="shared" si="5"/>
        <v/>
      </c>
    </row>
    <row r="383" spans="1:1" x14ac:dyDescent="0.25">
      <c r="A383" s="9" t="str">
        <f t="shared" si="5"/>
        <v/>
      </c>
    </row>
    <row r="384" spans="1:1" x14ac:dyDescent="0.25">
      <c r="A384" s="9" t="str">
        <f t="shared" si="5"/>
        <v/>
      </c>
    </row>
    <row r="385" spans="1:1" x14ac:dyDescent="0.25">
      <c r="A385" s="9" t="str">
        <f t="shared" si="5"/>
        <v/>
      </c>
    </row>
    <row r="386" spans="1:1" x14ac:dyDescent="0.25">
      <c r="A386" s="9" t="str">
        <f t="shared" si="5"/>
        <v/>
      </c>
    </row>
    <row r="387" spans="1:1" x14ac:dyDescent="0.25">
      <c r="A387" s="9" t="str">
        <f t="shared" ref="A387:A450" si="6">IF(M387="","",DATEVALUE(M387))</f>
        <v/>
      </c>
    </row>
    <row r="388" spans="1:1" x14ac:dyDescent="0.25">
      <c r="A388" s="9" t="str">
        <f t="shared" si="6"/>
        <v/>
      </c>
    </row>
    <row r="389" spans="1:1" x14ac:dyDescent="0.25">
      <c r="A389" s="9" t="str">
        <f t="shared" si="6"/>
        <v/>
      </c>
    </row>
    <row r="390" spans="1:1" x14ac:dyDescent="0.25">
      <c r="A390" s="9" t="str">
        <f t="shared" si="6"/>
        <v/>
      </c>
    </row>
    <row r="391" spans="1:1" x14ac:dyDescent="0.25">
      <c r="A391" s="9" t="str">
        <f t="shared" si="6"/>
        <v/>
      </c>
    </row>
    <row r="392" spans="1:1" x14ac:dyDescent="0.25">
      <c r="A392" s="9" t="str">
        <f t="shared" si="6"/>
        <v/>
      </c>
    </row>
    <row r="393" spans="1:1" x14ac:dyDescent="0.25">
      <c r="A393" s="9" t="str">
        <f t="shared" si="6"/>
        <v/>
      </c>
    </row>
    <row r="394" spans="1:1" x14ac:dyDescent="0.25">
      <c r="A394" s="9" t="str">
        <f t="shared" si="6"/>
        <v/>
      </c>
    </row>
    <row r="395" spans="1:1" x14ac:dyDescent="0.25">
      <c r="A395" s="9" t="str">
        <f t="shared" si="6"/>
        <v/>
      </c>
    </row>
    <row r="396" spans="1:1" x14ac:dyDescent="0.25">
      <c r="A396" s="9" t="str">
        <f t="shared" si="6"/>
        <v/>
      </c>
    </row>
    <row r="397" spans="1:1" x14ac:dyDescent="0.25">
      <c r="A397" s="9" t="str">
        <f t="shared" si="6"/>
        <v/>
      </c>
    </row>
    <row r="398" spans="1:1" x14ac:dyDescent="0.25">
      <c r="A398" s="9" t="str">
        <f t="shared" si="6"/>
        <v/>
      </c>
    </row>
    <row r="399" spans="1:1" x14ac:dyDescent="0.25">
      <c r="A399" s="9" t="str">
        <f t="shared" si="6"/>
        <v/>
      </c>
    </row>
    <row r="400" spans="1:1" x14ac:dyDescent="0.25">
      <c r="A400" s="9" t="str">
        <f t="shared" si="6"/>
        <v/>
      </c>
    </row>
    <row r="401" spans="1:1" x14ac:dyDescent="0.25">
      <c r="A401" s="9" t="str">
        <f t="shared" si="6"/>
        <v/>
      </c>
    </row>
    <row r="402" spans="1:1" x14ac:dyDescent="0.25">
      <c r="A402" s="9" t="str">
        <f t="shared" si="6"/>
        <v/>
      </c>
    </row>
    <row r="403" spans="1:1" x14ac:dyDescent="0.25">
      <c r="A403" s="9" t="str">
        <f t="shared" si="6"/>
        <v/>
      </c>
    </row>
    <row r="404" spans="1:1" x14ac:dyDescent="0.25">
      <c r="A404" s="9" t="str">
        <f t="shared" si="6"/>
        <v/>
      </c>
    </row>
    <row r="405" spans="1:1" x14ac:dyDescent="0.25">
      <c r="A405" s="9" t="str">
        <f t="shared" si="6"/>
        <v/>
      </c>
    </row>
    <row r="406" spans="1:1" x14ac:dyDescent="0.25">
      <c r="A406" s="9" t="str">
        <f t="shared" si="6"/>
        <v/>
      </c>
    </row>
    <row r="407" spans="1:1" x14ac:dyDescent="0.25">
      <c r="A407" s="9" t="str">
        <f t="shared" si="6"/>
        <v/>
      </c>
    </row>
    <row r="408" spans="1:1" x14ac:dyDescent="0.25">
      <c r="A408" s="9" t="str">
        <f t="shared" si="6"/>
        <v/>
      </c>
    </row>
    <row r="409" spans="1:1" x14ac:dyDescent="0.25">
      <c r="A409" s="9" t="str">
        <f t="shared" si="6"/>
        <v/>
      </c>
    </row>
    <row r="410" spans="1:1" x14ac:dyDescent="0.25">
      <c r="A410" s="9" t="str">
        <f t="shared" si="6"/>
        <v/>
      </c>
    </row>
    <row r="411" spans="1:1" x14ac:dyDescent="0.25">
      <c r="A411" s="9" t="str">
        <f t="shared" si="6"/>
        <v/>
      </c>
    </row>
    <row r="412" spans="1:1" x14ac:dyDescent="0.25">
      <c r="A412" s="9" t="str">
        <f t="shared" si="6"/>
        <v/>
      </c>
    </row>
    <row r="413" spans="1:1" x14ac:dyDescent="0.25">
      <c r="A413" s="9" t="str">
        <f t="shared" si="6"/>
        <v/>
      </c>
    </row>
    <row r="414" spans="1:1" x14ac:dyDescent="0.25">
      <c r="A414" s="9" t="str">
        <f t="shared" si="6"/>
        <v/>
      </c>
    </row>
    <row r="415" spans="1:1" x14ac:dyDescent="0.25">
      <c r="A415" s="9" t="str">
        <f t="shared" si="6"/>
        <v/>
      </c>
    </row>
    <row r="416" spans="1:1" x14ac:dyDescent="0.25">
      <c r="A416" s="9" t="str">
        <f t="shared" si="6"/>
        <v/>
      </c>
    </row>
    <row r="417" spans="1:1" x14ac:dyDescent="0.25">
      <c r="A417" s="9" t="str">
        <f t="shared" si="6"/>
        <v/>
      </c>
    </row>
    <row r="418" spans="1:1" x14ac:dyDescent="0.25">
      <c r="A418" s="9" t="str">
        <f t="shared" si="6"/>
        <v/>
      </c>
    </row>
    <row r="419" spans="1:1" x14ac:dyDescent="0.25">
      <c r="A419" s="9" t="str">
        <f t="shared" si="6"/>
        <v/>
      </c>
    </row>
    <row r="420" spans="1:1" x14ac:dyDescent="0.25">
      <c r="A420" s="9" t="str">
        <f t="shared" si="6"/>
        <v/>
      </c>
    </row>
    <row r="421" spans="1:1" x14ac:dyDescent="0.25">
      <c r="A421" s="9" t="str">
        <f t="shared" si="6"/>
        <v/>
      </c>
    </row>
    <row r="422" spans="1:1" x14ac:dyDescent="0.25">
      <c r="A422" s="9" t="str">
        <f t="shared" si="6"/>
        <v/>
      </c>
    </row>
    <row r="423" spans="1:1" x14ac:dyDescent="0.25">
      <c r="A423" s="9" t="str">
        <f t="shared" si="6"/>
        <v/>
      </c>
    </row>
    <row r="424" spans="1:1" x14ac:dyDescent="0.25">
      <c r="A424" s="9" t="str">
        <f t="shared" si="6"/>
        <v/>
      </c>
    </row>
    <row r="425" spans="1:1" x14ac:dyDescent="0.25">
      <c r="A425" s="9" t="str">
        <f t="shared" si="6"/>
        <v/>
      </c>
    </row>
    <row r="426" spans="1:1" x14ac:dyDescent="0.25">
      <c r="A426" s="9" t="str">
        <f t="shared" si="6"/>
        <v/>
      </c>
    </row>
    <row r="427" spans="1:1" x14ac:dyDescent="0.25">
      <c r="A427" s="9" t="str">
        <f t="shared" si="6"/>
        <v/>
      </c>
    </row>
    <row r="428" spans="1:1" x14ac:dyDescent="0.25">
      <c r="A428" s="9" t="str">
        <f t="shared" si="6"/>
        <v/>
      </c>
    </row>
    <row r="429" spans="1:1" x14ac:dyDescent="0.25">
      <c r="A429" s="9" t="str">
        <f t="shared" si="6"/>
        <v/>
      </c>
    </row>
    <row r="430" spans="1:1" x14ac:dyDescent="0.25">
      <c r="A430" s="9" t="str">
        <f t="shared" si="6"/>
        <v/>
      </c>
    </row>
    <row r="431" spans="1:1" x14ac:dyDescent="0.25">
      <c r="A431" s="9" t="str">
        <f t="shared" si="6"/>
        <v/>
      </c>
    </row>
    <row r="432" spans="1:1" x14ac:dyDescent="0.25">
      <c r="A432" s="9" t="str">
        <f t="shared" si="6"/>
        <v/>
      </c>
    </row>
    <row r="433" spans="1:1" x14ac:dyDescent="0.25">
      <c r="A433" s="9" t="str">
        <f t="shared" si="6"/>
        <v/>
      </c>
    </row>
    <row r="434" spans="1:1" x14ac:dyDescent="0.25">
      <c r="A434" s="9" t="str">
        <f t="shared" si="6"/>
        <v/>
      </c>
    </row>
    <row r="435" spans="1:1" x14ac:dyDescent="0.25">
      <c r="A435" s="9" t="str">
        <f t="shared" si="6"/>
        <v/>
      </c>
    </row>
    <row r="436" spans="1:1" x14ac:dyDescent="0.25">
      <c r="A436" s="9" t="str">
        <f t="shared" si="6"/>
        <v/>
      </c>
    </row>
    <row r="437" spans="1:1" x14ac:dyDescent="0.25">
      <c r="A437" s="9" t="str">
        <f t="shared" si="6"/>
        <v/>
      </c>
    </row>
    <row r="438" spans="1:1" x14ac:dyDescent="0.25">
      <c r="A438" s="9" t="str">
        <f t="shared" si="6"/>
        <v/>
      </c>
    </row>
    <row r="439" spans="1:1" x14ac:dyDescent="0.25">
      <c r="A439" s="9" t="str">
        <f t="shared" si="6"/>
        <v/>
      </c>
    </row>
    <row r="440" spans="1:1" x14ac:dyDescent="0.25">
      <c r="A440" s="9" t="str">
        <f t="shared" si="6"/>
        <v/>
      </c>
    </row>
    <row r="441" spans="1:1" x14ac:dyDescent="0.25">
      <c r="A441" s="9" t="str">
        <f t="shared" si="6"/>
        <v/>
      </c>
    </row>
    <row r="442" spans="1:1" x14ac:dyDescent="0.25">
      <c r="A442" s="9" t="str">
        <f t="shared" si="6"/>
        <v/>
      </c>
    </row>
    <row r="443" spans="1:1" x14ac:dyDescent="0.25">
      <c r="A443" s="9" t="str">
        <f t="shared" si="6"/>
        <v/>
      </c>
    </row>
    <row r="444" spans="1:1" x14ac:dyDescent="0.25">
      <c r="A444" s="9" t="str">
        <f t="shared" si="6"/>
        <v/>
      </c>
    </row>
    <row r="445" spans="1:1" x14ac:dyDescent="0.25">
      <c r="A445" s="9" t="str">
        <f t="shared" si="6"/>
        <v/>
      </c>
    </row>
    <row r="446" spans="1:1" x14ac:dyDescent="0.25">
      <c r="A446" s="9" t="str">
        <f t="shared" si="6"/>
        <v/>
      </c>
    </row>
    <row r="447" spans="1:1" x14ac:dyDescent="0.25">
      <c r="A447" s="9" t="str">
        <f t="shared" si="6"/>
        <v/>
      </c>
    </row>
    <row r="448" spans="1:1" x14ac:dyDescent="0.25">
      <c r="A448" s="9" t="str">
        <f t="shared" si="6"/>
        <v/>
      </c>
    </row>
    <row r="449" spans="1:1" x14ac:dyDescent="0.25">
      <c r="A449" s="9" t="str">
        <f t="shared" si="6"/>
        <v/>
      </c>
    </row>
    <row r="450" spans="1:1" x14ac:dyDescent="0.25">
      <c r="A450" s="9" t="str">
        <f t="shared" si="6"/>
        <v/>
      </c>
    </row>
    <row r="451" spans="1:1" x14ac:dyDescent="0.25">
      <c r="A451" s="9" t="str">
        <f t="shared" ref="A451:A514" si="7">IF(M451="","",DATEVALUE(M451))</f>
        <v/>
      </c>
    </row>
    <row r="452" spans="1:1" x14ac:dyDescent="0.25">
      <c r="A452" s="9" t="str">
        <f t="shared" si="7"/>
        <v/>
      </c>
    </row>
    <row r="453" spans="1:1" x14ac:dyDescent="0.25">
      <c r="A453" s="9" t="str">
        <f t="shared" si="7"/>
        <v/>
      </c>
    </row>
    <row r="454" spans="1:1" x14ac:dyDescent="0.25">
      <c r="A454" s="9" t="str">
        <f t="shared" si="7"/>
        <v/>
      </c>
    </row>
    <row r="455" spans="1:1" x14ac:dyDescent="0.25">
      <c r="A455" s="9" t="str">
        <f t="shared" si="7"/>
        <v/>
      </c>
    </row>
    <row r="456" spans="1:1" x14ac:dyDescent="0.25">
      <c r="A456" s="9" t="str">
        <f t="shared" si="7"/>
        <v/>
      </c>
    </row>
    <row r="457" spans="1:1" x14ac:dyDescent="0.25">
      <c r="A457" s="9" t="str">
        <f t="shared" si="7"/>
        <v/>
      </c>
    </row>
    <row r="458" spans="1:1" x14ac:dyDescent="0.25">
      <c r="A458" s="9" t="str">
        <f t="shared" si="7"/>
        <v/>
      </c>
    </row>
    <row r="459" spans="1:1" x14ac:dyDescent="0.25">
      <c r="A459" s="9" t="str">
        <f t="shared" si="7"/>
        <v/>
      </c>
    </row>
    <row r="460" spans="1:1" x14ac:dyDescent="0.25">
      <c r="A460" s="9" t="str">
        <f t="shared" si="7"/>
        <v/>
      </c>
    </row>
    <row r="461" spans="1:1" x14ac:dyDescent="0.25">
      <c r="A461" s="9" t="str">
        <f t="shared" si="7"/>
        <v/>
      </c>
    </row>
    <row r="462" spans="1:1" x14ac:dyDescent="0.25">
      <c r="A462" s="9" t="str">
        <f t="shared" si="7"/>
        <v/>
      </c>
    </row>
    <row r="463" spans="1:1" x14ac:dyDescent="0.25">
      <c r="A463" s="9" t="str">
        <f t="shared" si="7"/>
        <v/>
      </c>
    </row>
    <row r="464" spans="1:1" x14ac:dyDescent="0.25">
      <c r="A464" s="9" t="str">
        <f t="shared" si="7"/>
        <v/>
      </c>
    </row>
    <row r="465" spans="1:1" x14ac:dyDescent="0.25">
      <c r="A465" s="9" t="str">
        <f t="shared" si="7"/>
        <v/>
      </c>
    </row>
    <row r="466" spans="1:1" x14ac:dyDescent="0.25">
      <c r="A466" s="9" t="str">
        <f t="shared" si="7"/>
        <v/>
      </c>
    </row>
    <row r="467" spans="1:1" x14ac:dyDescent="0.25">
      <c r="A467" s="9" t="str">
        <f t="shared" si="7"/>
        <v/>
      </c>
    </row>
    <row r="468" spans="1:1" x14ac:dyDescent="0.25">
      <c r="A468" s="9" t="str">
        <f t="shared" si="7"/>
        <v/>
      </c>
    </row>
    <row r="469" spans="1:1" x14ac:dyDescent="0.25">
      <c r="A469" s="9" t="str">
        <f t="shared" si="7"/>
        <v/>
      </c>
    </row>
    <row r="470" spans="1:1" x14ac:dyDescent="0.25">
      <c r="A470" s="9" t="str">
        <f t="shared" si="7"/>
        <v/>
      </c>
    </row>
    <row r="471" spans="1:1" x14ac:dyDescent="0.25">
      <c r="A471" s="9" t="str">
        <f t="shared" si="7"/>
        <v/>
      </c>
    </row>
    <row r="472" spans="1:1" x14ac:dyDescent="0.25">
      <c r="A472" s="9" t="str">
        <f t="shared" si="7"/>
        <v/>
      </c>
    </row>
    <row r="473" spans="1:1" x14ac:dyDescent="0.25">
      <c r="A473" s="9" t="str">
        <f t="shared" si="7"/>
        <v/>
      </c>
    </row>
    <row r="474" spans="1:1" x14ac:dyDescent="0.25">
      <c r="A474" s="9" t="str">
        <f t="shared" si="7"/>
        <v/>
      </c>
    </row>
    <row r="475" spans="1:1" x14ac:dyDescent="0.25">
      <c r="A475" s="9" t="str">
        <f t="shared" si="7"/>
        <v/>
      </c>
    </row>
    <row r="476" spans="1:1" x14ac:dyDescent="0.25">
      <c r="A476" s="9" t="str">
        <f t="shared" si="7"/>
        <v/>
      </c>
    </row>
    <row r="477" spans="1:1" x14ac:dyDescent="0.25">
      <c r="A477" s="9" t="str">
        <f t="shared" si="7"/>
        <v/>
      </c>
    </row>
    <row r="478" spans="1:1" x14ac:dyDescent="0.25">
      <c r="A478" s="9" t="str">
        <f t="shared" si="7"/>
        <v/>
      </c>
    </row>
    <row r="479" spans="1:1" x14ac:dyDescent="0.25">
      <c r="A479" s="9" t="str">
        <f t="shared" si="7"/>
        <v/>
      </c>
    </row>
    <row r="480" spans="1:1" x14ac:dyDescent="0.25">
      <c r="A480" s="9" t="str">
        <f t="shared" si="7"/>
        <v/>
      </c>
    </row>
    <row r="481" spans="1:1" x14ac:dyDescent="0.25">
      <c r="A481" s="9" t="str">
        <f t="shared" si="7"/>
        <v/>
      </c>
    </row>
    <row r="482" spans="1:1" x14ac:dyDescent="0.25">
      <c r="A482" s="9" t="str">
        <f t="shared" si="7"/>
        <v/>
      </c>
    </row>
    <row r="483" spans="1:1" x14ac:dyDescent="0.25">
      <c r="A483" s="9" t="str">
        <f t="shared" si="7"/>
        <v/>
      </c>
    </row>
    <row r="484" spans="1:1" x14ac:dyDescent="0.25">
      <c r="A484" s="9" t="str">
        <f t="shared" si="7"/>
        <v/>
      </c>
    </row>
    <row r="485" spans="1:1" x14ac:dyDescent="0.25">
      <c r="A485" s="9" t="str">
        <f t="shared" si="7"/>
        <v/>
      </c>
    </row>
    <row r="486" spans="1:1" x14ac:dyDescent="0.25">
      <c r="A486" s="9" t="str">
        <f t="shared" si="7"/>
        <v/>
      </c>
    </row>
    <row r="487" spans="1:1" x14ac:dyDescent="0.25">
      <c r="A487" s="9" t="str">
        <f t="shared" si="7"/>
        <v/>
      </c>
    </row>
    <row r="488" spans="1:1" x14ac:dyDescent="0.25">
      <c r="A488" s="9" t="str">
        <f t="shared" si="7"/>
        <v/>
      </c>
    </row>
    <row r="489" spans="1:1" x14ac:dyDescent="0.25">
      <c r="A489" s="9" t="str">
        <f t="shared" si="7"/>
        <v/>
      </c>
    </row>
    <row r="490" spans="1:1" x14ac:dyDescent="0.25">
      <c r="A490" s="9" t="str">
        <f t="shared" si="7"/>
        <v/>
      </c>
    </row>
    <row r="491" spans="1:1" x14ac:dyDescent="0.25">
      <c r="A491" s="9" t="str">
        <f t="shared" si="7"/>
        <v/>
      </c>
    </row>
    <row r="492" spans="1:1" x14ac:dyDescent="0.25">
      <c r="A492" s="9" t="str">
        <f t="shared" si="7"/>
        <v/>
      </c>
    </row>
    <row r="493" spans="1:1" x14ac:dyDescent="0.25">
      <c r="A493" s="9" t="str">
        <f t="shared" si="7"/>
        <v/>
      </c>
    </row>
    <row r="494" spans="1:1" x14ac:dyDescent="0.25">
      <c r="A494" s="9" t="str">
        <f t="shared" si="7"/>
        <v/>
      </c>
    </row>
    <row r="495" spans="1:1" x14ac:dyDescent="0.25">
      <c r="A495" s="9" t="str">
        <f t="shared" si="7"/>
        <v/>
      </c>
    </row>
    <row r="496" spans="1:1" x14ac:dyDescent="0.25">
      <c r="A496" s="9" t="str">
        <f t="shared" si="7"/>
        <v/>
      </c>
    </row>
    <row r="497" spans="1:1" x14ac:dyDescent="0.25">
      <c r="A497" s="9" t="str">
        <f t="shared" si="7"/>
        <v/>
      </c>
    </row>
    <row r="498" spans="1:1" x14ac:dyDescent="0.25">
      <c r="A498" s="9" t="str">
        <f t="shared" si="7"/>
        <v/>
      </c>
    </row>
    <row r="499" spans="1:1" x14ac:dyDescent="0.25">
      <c r="A499" s="9" t="str">
        <f t="shared" si="7"/>
        <v/>
      </c>
    </row>
    <row r="500" spans="1:1" x14ac:dyDescent="0.25">
      <c r="A500" s="9" t="str">
        <f t="shared" si="7"/>
        <v/>
      </c>
    </row>
    <row r="501" spans="1:1" x14ac:dyDescent="0.25">
      <c r="A501" s="9" t="str">
        <f t="shared" si="7"/>
        <v/>
      </c>
    </row>
    <row r="502" spans="1:1" x14ac:dyDescent="0.25">
      <c r="A502" s="9" t="str">
        <f t="shared" si="7"/>
        <v/>
      </c>
    </row>
    <row r="503" spans="1:1" x14ac:dyDescent="0.25">
      <c r="A503" s="9" t="str">
        <f t="shared" si="7"/>
        <v/>
      </c>
    </row>
    <row r="504" spans="1:1" x14ac:dyDescent="0.25">
      <c r="A504" s="9" t="str">
        <f t="shared" si="7"/>
        <v/>
      </c>
    </row>
    <row r="505" spans="1:1" x14ac:dyDescent="0.25">
      <c r="A505" s="9" t="str">
        <f t="shared" si="7"/>
        <v/>
      </c>
    </row>
    <row r="506" spans="1:1" x14ac:dyDescent="0.25">
      <c r="A506" s="9" t="str">
        <f t="shared" si="7"/>
        <v/>
      </c>
    </row>
    <row r="507" spans="1:1" x14ac:dyDescent="0.25">
      <c r="A507" s="9" t="str">
        <f t="shared" si="7"/>
        <v/>
      </c>
    </row>
    <row r="508" spans="1:1" x14ac:dyDescent="0.25">
      <c r="A508" s="9" t="str">
        <f t="shared" si="7"/>
        <v/>
      </c>
    </row>
    <row r="509" spans="1:1" x14ac:dyDescent="0.25">
      <c r="A509" s="9" t="str">
        <f t="shared" si="7"/>
        <v/>
      </c>
    </row>
    <row r="510" spans="1:1" x14ac:dyDescent="0.25">
      <c r="A510" s="9" t="str">
        <f t="shared" si="7"/>
        <v/>
      </c>
    </row>
    <row r="511" spans="1:1" x14ac:dyDescent="0.25">
      <c r="A511" s="9" t="str">
        <f t="shared" si="7"/>
        <v/>
      </c>
    </row>
    <row r="512" spans="1:1" x14ac:dyDescent="0.25">
      <c r="A512" s="9" t="str">
        <f t="shared" si="7"/>
        <v/>
      </c>
    </row>
    <row r="513" spans="1:1" x14ac:dyDescent="0.25">
      <c r="A513" s="9" t="str">
        <f t="shared" si="7"/>
        <v/>
      </c>
    </row>
    <row r="514" spans="1:1" x14ac:dyDescent="0.25">
      <c r="A514" s="9" t="str">
        <f t="shared" si="7"/>
        <v/>
      </c>
    </row>
    <row r="515" spans="1:1" x14ac:dyDescent="0.25">
      <c r="A515" s="9" t="str">
        <f t="shared" ref="A515:A578" si="8">IF(M515="","",DATEVALUE(M515))</f>
        <v/>
      </c>
    </row>
    <row r="516" spans="1:1" x14ac:dyDescent="0.25">
      <c r="A516" s="9" t="str">
        <f t="shared" si="8"/>
        <v/>
      </c>
    </row>
    <row r="517" spans="1:1" x14ac:dyDescent="0.25">
      <c r="A517" s="9" t="str">
        <f t="shared" si="8"/>
        <v/>
      </c>
    </row>
    <row r="518" spans="1:1" x14ac:dyDescent="0.25">
      <c r="A518" s="9" t="str">
        <f t="shared" si="8"/>
        <v/>
      </c>
    </row>
    <row r="519" spans="1:1" x14ac:dyDescent="0.25">
      <c r="A519" s="9" t="str">
        <f t="shared" si="8"/>
        <v/>
      </c>
    </row>
    <row r="520" spans="1:1" x14ac:dyDescent="0.25">
      <c r="A520" s="9" t="str">
        <f t="shared" si="8"/>
        <v/>
      </c>
    </row>
    <row r="521" spans="1:1" x14ac:dyDescent="0.25">
      <c r="A521" s="9" t="str">
        <f t="shared" si="8"/>
        <v/>
      </c>
    </row>
    <row r="522" spans="1:1" x14ac:dyDescent="0.25">
      <c r="A522" s="9" t="str">
        <f t="shared" si="8"/>
        <v/>
      </c>
    </row>
    <row r="523" spans="1:1" x14ac:dyDescent="0.25">
      <c r="A523" s="9" t="str">
        <f t="shared" si="8"/>
        <v/>
      </c>
    </row>
    <row r="524" spans="1:1" x14ac:dyDescent="0.25">
      <c r="A524" s="9" t="str">
        <f t="shared" si="8"/>
        <v/>
      </c>
    </row>
    <row r="525" spans="1:1" x14ac:dyDescent="0.25">
      <c r="A525" s="9" t="str">
        <f t="shared" si="8"/>
        <v/>
      </c>
    </row>
    <row r="526" spans="1:1" x14ac:dyDescent="0.25">
      <c r="A526" s="9" t="str">
        <f t="shared" si="8"/>
        <v/>
      </c>
    </row>
    <row r="527" spans="1:1" x14ac:dyDescent="0.25">
      <c r="A527" s="9" t="str">
        <f t="shared" si="8"/>
        <v/>
      </c>
    </row>
    <row r="528" spans="1:1" x14ac:dyDescent="0.25">
      <c r="A528" s="9" t="str">
        <f t="shared" si="8"/>
        <v/>
      </c>
    </row>
    <row r="529" spans="1:1" x14ac:dyDescent="0.25">
      <c r="A529" s="9" t="str">
        <f t="shared" si="8"/>
        <v/>
      </c>
    </row>
    <row r="530" spans="1:1" x14ac:dyDescent="0.25">
      <c r="A530" s="9" t="str">
        <f t="shared" si="8"/>
        <v/>
      </c>
    </row>
    <row r="531" spans="1:1" x14ac:dyDescent="0.25">
      <c r="A531" s="9" t="str">
        <f t="shared" si="8"/>
        <v/>
      </c>
    </row>
    <row r="532" spans="1:1" x14ac:dyDescent="0.25">
      <c r="A532" s="9" t="str">
        <f t="shared" si="8"/>
        <v/>
      </c>
    </row>
    <row r="533" spans="1:1" x14ac:dyDescent="0.25">
      <c r="A533" s="9" t="str">
        <f t="shared" si="8"/>
        <v/>
      </c>
    </row>
    <row r="534" spans="1:1" x14ac:dyDescent="0.25">
      <c r="A534" s="9" t="str">
        <f t="shared" si="8"/>
        <v/>
      </c>
    </row>
    <row r="535" spans="1:1" x14ac:dyDescent="0.25">
      <c r="A535" s="9" t="str">
        <f t="shared" si="8"/>
        <v/>
      </c>
    </row>
    <row r="536" spans="1:1" x14ac:dyDescent="0.25">
      <c r="A536" s="9" t="str">
        <f t="shared" si="8"/>
        <v/>
      </c>
    </row>
    <row r="537" spans="1:1" x14ac:dyDescent="0.25">
      <c r="A537" s="9" t="str">
        <f t="shared" si="8"/>
        <v/>
      </c>
    </row>
    <row r="538" spans="1:1" x14ac:dyDescent="0.25">
      <c r="A538" s="9" t="str">
        <f t="shared" si="8"/>
        <v/>
      </c>
    </row>
    <row r="539" spans="1:1" x14ac:dyDescent="0.25">
      <c r="A539" s="9" t="str">
        <f t="shared" si="8"/>
        <v/>
      </c>
    </row>
    <row r="540" spans="1:1" x14ac:dyDescent="0.25">
      <c r="A540" s="9" t="str">
        <f t="shared" si="8"/>
        <v/>
      </c>
    </row>
    <row r="541" spans="1:1" x14ac:dyDescent="0.25">
      <c r="A541" s="9" t="str">
        <f t="shared" si="8"/>
        <v/>
      </c>
    </row>
    <row r="542" spans="1:1" x14ac:dyDescent="0.25">
      <c r="A542" s="9" t="str">
        <f t="shared" si="8"/>
        <v/>
      </c>
    </row>
    <row r="543" spans="1:1" x14ac:dyDescent="0.25">
      <c r="A543" s="9" t="str">
        <f t="shared" si="8"/>
        <v/>
      </c>
    </row>
    <row r="544" spans="1:1" x14ac:dyDescent="0.25">
      <c r="A544" s="9" t="str">
        <f t="shared" si="8"/>
        <v/>
      </c>
    </row>
    <row r="545" spans="1:1" x14ac:dyDescent="0.25">
      <c r="A545" s="9" t="str">
        <f t="shared" si="8"/>
        <v/>
      </c>
    </row>
    <row r="546" spans="1:1" x14ac:dyDescent="0.25">
      <c r="A546" s="9" t="str">
        <f t="shared" si="8"/>
        <v/>
      </c>
    </row>
    <row r="547" spans="1:1" x14ac:dyDescent="0.25">
      <c r="A547" s="9" t="str">
        <f t="shared" si="8"/>
        <v/>
      </c>
    </row>
    <row r="548" spans="1:1" x14ac:dyDescent="0.25">
      <c r="A548" s="9" t="str">
        <f t="shared" si="8"/>
        <v/>
      </c>
    </row>
    <row r="549" spans="1:1" x14ac:dyDescent="0.25">
      <c r="A549" s="9" t="str">
        <f t="shared" si="8"/>
        <v/>
      </c>
    </row>
    <row r="550" spans="1:1" x14ac:dyDescent="0.25">
      <c r="A550" s="9" t="str">
        <f t="shared" si="8"/>
        <v/>
      </c>
    </row>
    <row r="551" spans="1:1" x14ac:dyDescent="0.25">
      <c r="A551" s="9" t="str">
        <f t="shared" si="8"/>
        <v/>
      </c>
    </row>
    <row r="552" spans="1:1" x14ac:dyDescent="0.25">
      <c r="A552" s="9" t="str">
        <f t="shared" si="8"/>
        <v/>
      </c>
    </row>
    <row r="553" spans="1:1" x14ac:dyDescent="0.25">
      <c r="A553" s="9" t="str">
        <f t="shared" si="8"/>
        <v/>
      </c>
    </row>
    <row r="554" spans="1:1" x14ac:dyDescent="0.25">
      <c r="A554" s="9" t="str">
        <f t="shared" si="8"/>
        <v/>
      </c>
    </row>
    <row r="555" spans="1:1" x14ac:dyDescent="0.25">
      <c r="A555" s="9" t="str">
        <f t="shared" si="8"/>
        <v/>
      </c>
    </row>
    <row r="556" spans="1:1" x14ac:dyDescent="0.25">
      <c r="A556" s="9" t="str">
        <f t="shared" si="8"/>
        <v/>
      </c>
    </row>
    <row r="557" spans="1:1" x14ac:dyDescent="0.25">
      <c r="A557" s="9" t="str">
        <f t="shared" si="8"/>
        <v/>
      </c>
    </row>
    <row r="558" spans="1:1" x14ac:dyDescent="0.25">
      <c r="A558" s="9" t="str">
        <f t="shared" si="8"/>
        <v/>
      </c>
    </row>
    <row r="559" spans="1:1" x14ac:dyDescent="0.25">
      <c r="A559" s="9" t="str">
        <f t="shared" si="8"/>
        <v/>
      </c>
    </row>
    <row r="560" spans="1:1" x14ac:dyDescent="0.25">
      <c r="A560" s="9" t="str">
        <f t="shared" si="8"/>
        <v/>
      </c>
    </row>
    <row r="561" spans="1:1" x14ac:dyDescent="0.25">
      <c r="A561" s="9" t="str">
        <f t="shared" si="8"/>
        <v/>
      </c>
    </row>
    <row r="562" spans="1:1" x14ac:dyDescent="0.25">
      <c r="A562" s="9" t="str">
        <f t="shared" si="8"/>
        <v/>
      </c>
    </row>
    <row r="563" spans="1:1" x14ac:dyDescent="0.25">
      <c r="A563" s="9" t="str">
        <f t="shared" si="8"/>
        <v/>
      </c>
    </row>
    <row r="564" spans="1:1" x14ac:dyDescent="0.25">
      <c r="A564" s="9" t="str">
        <f t="shared" si="8"/>
        <v/>
      </c>
    </row>
    <row r="565" spans="1:1" x14ac:dyDescent="0.25">
      <c r="A565" s="9" t="str">
        <f t="shared" si="8"/>
        <v/>
      </c>
    </row>
    <row r="566" spans="1:1" x14ac:dyDescent="0.25">
      <c r="A566" s="9" t="str">
        <f t="shared" si="8"/>
        <v/>
      </c>
    </row>
    <row r="567" spans="1:1" x14ac:dyDescent="0.25">
      <c r="A567" s="9" t="str">
        <f t="shared" si="8"/>
        <v/>
      </c>
    </row>
    <row r="568" spans="1:1" x14ac:dyDescent="0.25">
      <c r="A568" s="9" t="str">
        <f t="shared" si="8"/>
        <v/>
      </c>
    </row>
    <row r="569" spans="1:1" x14ac:dyDescent="0.25">
      <c r="A569" s="9" t="str">
        <f t="shared" si="8"/>
        <v/>
      </c>
    </row>
    <row r="570" spans="1:1" x14ac:dyDescent="0.25">
      <c r="A570" s="9" t="str">
        <f t="shared" si="8"/>
        <v/>
      </c>
    </row>
    <row r="571" spans="1:1" x14ac:dyDescent="0.25">
      <c r="A571" s="9" t="str">
        <f t="shared" si="8"/>
        <v/>
      </c>
    </row>
    <row r="572" spans="1:1" x14ac:dyDescent="0.25">
      <c r="A572" s="9" t="str">
        <f t="shared" si="8"/>
        <v/>
      </c>
    </row>
    <row r="573" spans="1:1" x14ac:dyDescent="0.25">
      <c r="A573" s="9" t="str">
        <f t="shared" si="8"/>
        <v/>
      </c>
    </row>
    <row r="574" spans="1:1" x14ac:dyDescent="0.25">
      <c r="A574" s="9" t="str">
        <f t="shared" si="8"/>
        <v/>
      </c>
    </row>
    <row r="575" spans="1:1" x14ac:dyDescent="0.25">
      <c r="A575" s="9" t="str">
        <f t="shared" si="8"/>
        <v/>
      </c>
    </row>
    <row r="576" spans="1:1" x14ac:dyDescent="0.25">
      <c r="A576" s="9" t="str">
        <f t="shared" si="8"/>
        <v/>
      </c>
    </row>
    <row r="577" spans="1:1" x14ac:dyDescent="0.25">
      <c r="A577" s="9" t="str">
        <f t="shared" si="8"/>
        <v/>
      </c>
    </row>
    <row r="578" spans="1:1" x14ac:dyDescent="0.25">
      <c r="A578" s="9" t="str">
        <f t="shared" si="8"/>
        <v/>
      </c>
    </row>
    <row r="579" spans="1:1" x14ac:dyDescent="0.25">
      <c r="A579" s="9" t="str">
        <f t="shared" ref="A579:A642" si="9">IF(M579="","",DATEVALUE(M579))</f>
        <v/>
      </c>
    </row>
    <row r="580" spans="1:1" x14ac:dyDescent="0.25">
      <c r="A580" s="9" t="str">
        <f t="shared" si="9"/>
        <v/>
      </c>
    </row>
    <row r="581" spans="1:1" x14ac:dyDescent="0.25">
      <c r="A581" s="9" t="str">
        <f t="shared" si="9"/>
        <v/>
      </c>
    </row>
    <row r="582" spans="1:1" x14ac:dyDescent="0.25">
      <c r="A582" s="9" t="str">
        <f t="shared" si="9"/>
        <v/>
      </c>
    </row>
    <row r="583" spans="1:1" x14ac:dyDescent="0.25">
      <c r="A583" s="9" t="str">
        <f t="shared" si="9"/>
        <v/>
      </c>
    </row>
    <row r="584" spans="1:1" x14ac:dyDescent="0.25">
      <c r="A584" s="9" t="str">
        <f t="shared" si="9"/>
        <v/>
      </c>
    </row>
    <row r="585" spans="1:1" x14ac:dyDescent="0.25">
      <c r="A585" s="9" t="str">
        <f t="shared" si="9"/>
        <v/>
      </c>
    </row>
    <row r="586" spans="1:1" x14ac:dyDescent="0.25">
      <c r="A586" s="9" t="str">
        <f t="shared" si="9"/>
        <v/>
      </c>
    </row>
    <row r="587" spans="1:1" x14ac:dyDescent="0.25">
      <c r="A587" s="9" t="str">
        <f t="shared" si="9"/>
        <v/>
      </c>
    </row>
    <row r="588" spans="1:1" x14ac:dyDescent="0.25">
      <c r="A588" s="9" t="str">
        <f t="shared" si="9"/>
        <v/>
      </c>
    </row>
    <row r="589" spans="1:1" x14ac:dyDescent="0.25">
      <c r="A589" s="9" t="str">
        <f t="shared" si="9"/>
        <v/>
      </c>
    </row>
    <row r="590" spans="1:1" x14ac:dyDescent="0.25">
      <c r="A590" s="9" t="str">
        <f t="shared" si="9"/>
        <v/>
      </c>
    </row>
    <row r="591" spans="1:1" x14ac:dyDescent="0.25">
      <c r="A591" s="9" t="str">
        <f t="shared" si="9"/>
        <v/>
      </c>
    </row>
    <row r="592" spans="1:1" x14ac:dyDescent="0.25">
      <c r="A592" s="9" t="str">
        <f t="shared" si="9"/>
        <v/>
      </c>
    </row>
    <row r="593" spans="1:1" x14ac:dyDescent="0.25">
      <c r="A593" s="9" t="str">
        <f t="shared" si="9"/>
        <v/>
      </c>
    </row>
    <row r="594" spans="1:1" x14ac:dyDescent="0.25">
      <c r="A594" s="9" t="str">
        <f t="shared" si="9"/>
        <v/>
      </c>
    </row>
    <row r="595" spans="1:1" x14ac:dyDescent="0.25">
      <c r="A595" s="9" t="str">
        <f t="shared" si="9"/>
        <v/>
      </c>
    </row>
    <row r="596" spans="1:1" x14ac:dyDescent="0.25">
      <c r="A596" s="9" t="str">
        <f t="shared" si="9"/>
        <v/>
      </c>
    </row>
    <row r="597" spans="1:1" x14ac:dyDescent="0.25">
      <c r="A597" s="9" t="str">
        <f t="shared" si="9"/>
        <v/>
      </c>
    </row>
    <row r="598" spans="1:1" x14ac:dyDescent="0.25">
      <c r="A598" s="9" t="str">
        <f t="shared" si="9"/>
        <v/>
      </c>
    </row>
    <row r="599" spans="1:1" x14ac:dyDescent="0.25">
      <c r="A599" s="9" t="str">
        <f t="shared" si="9"/>
        <v/>
      </c>
    </row>
    <row r="600" spans="1:1" x14ac:dyDescent="0.25">
      <c r="A600" s="9" t="str">
        <f t="shared" si="9"/>
        <v/>
      </c>
    </row>
    <row r="601" spans="1:1" x14ac:dyDescent="0.25">
      <c r="A601" s="9" t="str">
        <f t="shared" si="9"/>
        <v/>
      </c>
    </row>
    <row r="602" spans="1:1" x14ac:dyDescent="0.25">
      <c r="A602" s="9" t="str">
        <f t="shared" si="9"/>
        <v/>
      </c>
    </row>
    <row r="603" spans="1:1" x14ac:dyDescent="0.25">
      <c r="A603" s="9" t="str">
        <f t="shared" si="9"/>
        <v/>
      </c>
    </row>
    <row r="604" spans="1:1" x14ac:dyDescent="0.25">
      <c r="A604" s="9" t="str">
        <f t="shared" si="9"/>
        <v/>
      </c>
    </row>
    <row r="605" spans="1:1" x14ac:dyDescent="0.25">
      <c r="A605" s="9" t="str">
        <f t="shared" si="9"/>
        <v/>
      </c>
    </row>
    <row r="606" spans="1:1" x14ac:dyDescent="0.25">
      <c r="A606" s="9" t="str">
        <f t="shared" si="9"/>
        <v/>
      </c>
    </row>
    <row r="607" spans="1:1" x14ac:dyDescent="0.25">
      <c r="A607" s="9" t="str">
        <f t="shared" si="9"/>
        <v/>
      </c>
    </row>
    <row r="608" spans="1:1" x14ac:dyDescent="0.25">
      <c r="A608" s="9" t="str">
        <f t="shared" si="9"/>
        <v/>
      </c>
    </row>
    <row r="609" spans="1:1" x14ac:dyDescent="0.25">
      <c r="A609" s="9" t="str">
        <f t="shared" si="9"/>
        <v/>
      </c>
    </row>
    <row r="610" spans="1:1" x14ac:dyDescent="0.25">
      <c r="A610" s="9" t="str">
        <f t="shared" si="9"/>
        <v/>
      </c>
    </row>
    <row r="611" spans="1:1" x14ac:dyDescent="0.25">
      <c r="A611" s="9" t="str">
        <f t="shared" si="9"/>
        <v/>
      </c>
    </row>
    <row r="612" spans="1:1" x14ac:dyDescent="0.25">
      <c r="A612" s="9" t="str">
        <f t="shared" si="9"/>
        <v/>
      </c>
    </row>
    <row r="613" spans="1:1" x14ac:dyDescent="0.25">
      <c r="A613" s="9" t="str">
        <f t="shared" si="9"/>
        <v/>
      </c>
    </row>
    <row r="614" spans="1:1" x14ac:dyDescent="0.25">
      <c r="A614" s="9" t="str">
        <f t="shared" si="9"/>
        <v/>
      </c>
    </row>
    <row r="615" spans="1:1" x14ac:dyDescent="0.25">
      <c r="A615" s="9" t="str">
        <f t="shared" si="9"/>
        <v/>
      </c>
    </row>
    <row r="616" spans="1:1" x14ac:dyDescent="0.25">
      <c r="A616" s="9" t="str">
        <f t="shared" si="9"/>
        <v/>
      </c>
    </row>
    <row r="617" spans="1:1" x14ac:dyDescent="0.25">
      <c r="A617" s="9" t="str">
        <f t="shared" si="9"/>
        <v/>
      </c>
    </row>
    <row r="618" spans="1:1" x14ac:dyDescent="0.25">
      <c r="A618" s="9" t="str">
        <f t="shared" si="9"/>
        <v/>
      </c>
    </row>
    <row r="619" spans="1:1" x14ac:dyDescent="0.25">
      <c r="A619" s="9" t="str">
        <f t="shared" si="9"/>
        <v/>
      </c>
    </row>
    <row r="620" spans="1:1" x14ac:dyDescent="0.25">
      <c r="A620" s="9" t="str">
        <f t="shared" si="9"/>
        <v/>
      </c>
    </row>
    <row r="621" spans="1:1" x14ac:dyDescent="0.25">
      <c r="A621" s="9" t="str">
        <f t="shared" si="9"/>
        <v/>
      </c>
    </row>
    <row r="622" spans="1:1" x14ac:dyDescent="0.25">
      <c r="A622" s="9" t="str">
        <f t="shared" si="9"/>
        <v/>
      </c>
    </row>
    <row r="623" spans="1:1" x14ac:dyDescent="0.25">
      <c r="A623" s="9" t="str">
        <f t="shared" si="9"/>
        <v/>
      </c>
    </row>
    <row r="624" spans="1:1" x14ac:dyDescent="0.25">
      <c r="A624" s="9" t="str">
        <f t="shared" si="9"/>
        <v/>
      </c>
    </row>
    <row r="625" spans="1:1" x14ac:dyDescent="0.25">
      <c r="A625" s="9" t="str">
        <f t="shared" si="9"/>
        <v/>
      </c>
    </row>
    <row r="626" spans="1:1" x14ac:dyDescent="0.25">
      <c r="A626" s="9" t="str">
        <f t="shared" si="9"/>
        <v/>
      </c>
    </row>
    <row r="627" spans="1:1" x14ac:dyDescent="0.25">
      <c r="A627" s="9" t="str">
        <f t="shared" si="9"/>
        <v/>
      </c>
    </row>
    <row r="628" spans="1:1" x14ac:dyDescent="0.25">
      <c r="A628" s="9" t="str">
        <f t="shared" si="9"/>
        <v/>
      </c>
    </row>
    <row r="629" spans="1:1" x14ac:dyDescent="0.25">
      <c r="A629" s="9" t="str">
        <f t="shared" si="9"/>
        <v/>
      </c>
    </row>
    <row r="630" spans="1:1" x14ac:dyDescent="0.25">
      <c r="A630" s="9" t="str">
        <f t="shared" si="9"/>
        <v/>
      </c>
    </row>
    <row r="631" spans="1:1" x14ac:dyDescent="0.25">
      <c r="A631" s="9" t="str">
        <f t="shared" si="9"/>
        <v/>
      </c>
    </row>
    <row r="632" spans="1:1" x14ac:dyDescent="0.25">
      <c r="A632" s="9" t="str">
        <f t="shared" si="9"/>
        <v/>
      </c>
    </row>
    <row r="633" spans="1:1" x14ac:dyDescent="0.25">
      <c r="A633" s="9" t="str">
        <f t="shared" si="9"/>
        <v/>
      </c>
    </row>
    <row r="634" spans="1:1" x14ac:dyDescent="0.25">
      <c r="A634" s="9" t="str">
        <f t="shared" si="9"/>
        <v/>
      </c>
    </row>
    <row r="635" spans="1:1" x14ac:dyDescent="0.25">
      <c r="A635" s="9" t="str">
        <f t="shared" si="9"/>
        <v/>
      </c>
    </row>
    <row r="636" spans="1:1" x14ac:dyDescent="0.25">
      <c r="A636" s="9" t="str">
        <f t="shared" si="9"/>
        <v/>
      </c>
    </row>
    <row r="637" spans="1:1" x14ac:dyDescent="0.25">
      <c r="A637" s="9" t="str">
        <f t="shared" si="9"/>
        <v/>
      </c>
    </row>
    <row r="638" spans="1:1" x14ac:dyDescent="0.25">
      <c r="A638" s="9" t="str">
        <f t="shared" si="9"/>
        <v/>
      </c>
    </row>
    <row r="639" spans="1:1" x14ac:dyDescent="0.25">
      <c r="A639" s="9" t="str">
        <f t="shared" si="9"/>
        <v/>
      </c>
    </row>
    <row r="640" spans="1:1" x14ac:dyDescent="0.25">
      <c r="A640" s="9" t="str">
        <f t="shared" si="9"/>
        <v/>
      </c>
    </row>
    <row r="641" spans="1:1" x14ac:dyDescent="0.25">
      <c r="A641" s="9" t="str">
        <f t="shared" si="9"/>
        <v/>
      </c>
    </row>
    <row r="642" spans="1:1" x14ac:dyDescent="0.25">
      <c r="A642" s="9" t="str">
        <f t="shared" si="9"/>
        <v/>
      </c>
    </row>
    <row r="643" spans="1:1" x14ac:dyDescent="0.25">
      <c r="A643" s="9" t="str">
        <f t="shared" ref="A643:A706" si="10">IF(M643="","",DATEVALUE(M643))</f>
        <v/>
      </c>
    </row>
    <row r="644" spans="1:1" x14ac:dyDescent="0.25">
      <c r="A644" s="9" t="str">
        <f t="shared" si="10"/>
        <v/>
      </c>
    </row>
    <row r="645" spans="1:1" x14ac:dyDescent="0.25">
      <c r="A645" s="9" t="str">
        <f t="shared" si="10"/>
        <v/>
      </c>
    </row>
    <row r="646" spans="1:1" x14ac:dyDescent="0.25">
      <c r="A646" s="9" t="str">
        <f t="shared" si="10"/>
        <v/>
      </c>
    </row>
    <row r="647" spans="1:1" x14ac:dyDescent="0.25">
      <c r="A647" s="9" t="str">
        <f t="shared" si="10"/>
        <v/>
      </c>
    </row>
    <row r="648" spans="1:1" x14ac:dyDescent="0.25">
      <c r="A648" s="9" t="str">
        <f t="shared" si="10"/>
        <v/>
      </c>
    </row>
    <row r="649" spans="1:1" x14ac:dyDescent="0.25">
      <c r="A649" s="9" t="str">
        <f t="shared" si="10"/>
        <v/>
      </c>
    </row>
    <row r="650" spans="1:1" x14ac:dyDescent="0.25">
      <c r="A650" s="9" t="str">
        <f t="shared" si="10"/>
        <v/>
      </c>
    </row>
    <row r="651" spans="1:1" x14ac:dyDescent="0.25">
      <c r="A651" s="9" t="str">
        <f t="shared" si="10"/>
        <v/>
      </c>
    </row>
    <row r="652" spans="1:1" x14ac:dyDescent="0.25">
      <c r="A652" s="9" t="str">
        <f t="shared" si="10"/>
        <v/>
      </c>
    </row>
    <row r="653" spans="1:1" x14ac:dyDescent="0.25">
      <c r="A653" s="9" t="str">
        <f t="shared" si="10"/>
        <v/>
      </c>
    </row>
    <row r="654" spans="1:1" x14ac:dyDescent="0.25">
      <c r="A654" s="9" t="str">
        <f t="shared" si="10"/>
        <v/>
      </c>
    </row>
    <row r="655" spans="1:1" x14ac:dyDescent="0.25">
      <c r="A655" s="9" t="str">
        <f t="shared" si="10"/>
        <v/>
      </c>
    </row>
    <row r="656" spans="1:1" x14ac:dyDescent="0.25">
      <c r="A656" s="9" t="str">
        <f t="shared" si="10"/>
        <v/>
      </c>
    </row>
    <row r="657" spans="1:1" x14ac:dyDescent="0.25">
      <c r="A657" s="9" t="str">
        <f t="shared" si="10"/>
        <v/>
      </c>
    </row>
    <row r="658" spans="1:1" x14ac:dyDescent="0.25">
      <c r="A658" s="9" t="str">
        <f t="shared" si="10"/>
        <v/>
      </c>
    </row>
    <row r="659" spans="1:1" x14ac:dyDescent="0.25">
      <c r="A659" s="9" t="str">
        <f t="shared" si="10"/>
        <v/>
      </c>
    </row>
    <row r="660" spans="1:1" x14ac:dyDescent="0.25">
      <c r="A660" s="9" t="str">
        <f t="shared" si="10"/>
        <v/>
      </c>
    </row>
    <row r="661" spans="1:1" x14ac:dyDescent="0.25">
      <c r="A661" s="9" t="str">
        <f t="shared" si="10"/>
        <v/>
      </c>
    </row>
    <row r="662" spans="1:1" x14ac:dyDescent="0.25">
      <c r="A662" s="9" t="str">
        <f t="shared" si="10"/>
        <v/>
      </c>
    </row>
    <row r="663" spans="1:1" x14ac:dyDescent="0.25">
      <c r="A663" s="9" t="str">
        <f t="shared" si="10"/>
        <v/>
      </c>
    </row>
    <row r="664" spans="1:1" x14ac:dyDescent="0.25">
      <c r="A664" s="9" t="str">
        <f t="shared" si="10"/>
        <v/>
      </c>
    </row>
    <row r="665" spans="1:1" x14ac:dyDescent="0.25">
      <c r="A665" s="9" t="str">
        <f t="shared" si="10"/>
        <v/>
      </c>
    </row>
    <row r="666" spans="1:1" x14ac:dyDescent="0.25">
      <c r="A666" s="9" t="str">
        <f t="shared" si="10"/>
        <v/>
      </c>
    </row>
    <row r="667" spans="1:1" x14ac:dyDescent="0.25">
      <c r="A667" s="9" t="str">
        <f t="shared" si="10"/>
        <v/>
      </c>
    </row>
    <row r="668" spans="1:1" x14ac:dyDescent="0.25">
      <c r="A668" s="9" t="str">
        <f t="shared" si="10"/>
        <v/>
      </c>
    </row>
    <row r="669" spans="1:1" x14ac:dyDescent="0.25">
      <c r="A669" s="9" t="str">
        <f t="shared" si="10"/>
        <v/>
      </c>
    </row>
    <row r="670" spans="1:1" x14ac:dyDescent="0.25">
      <c r="A670" s="9" t="str">
        <f t="shared" si="10"/>
        <v/>
      </c>
    </row>
    <row r="671" spans="1:1" x14ac:dyDescent="0.25">
      <c r="A671" s="9" t="str">
        <f t="shared" si="10"/>
        <v/>
      </c>
    </row>
    <row r="672" spans="1:1" x14ac:dyDescent="0.25">
      <c r="A672" s="9" t="str">
        <f t="shared" si="10"/>
        <v/>
      </c>
    </row>
    <row r="673" spans="1:1" x14ac:dyDescent="0.25">
      <c r="A673" s="9" t="str">
        <f t="shared" si="10"/>
        <v/>
      </c>
    </row>
    <row r="674" spans="1:1" x14ac:dyDescent="0.25">
      <c r="A674" s="9" t="str">
        <f t="shared" si="10"/>
        <v/>
      </c>
    </row>
    <row r="675" spans="1:1" x14ac:dyDescent="0.25">
      <c r="A675" s="9" t="str">
        <f t="shared" si="10"/>
        <v/>
      </c>
    </row>
    <row r="676" spans="1:1" x14ac:dyDescent="0.25">
      <c r="A676" s="9" t="str">
        <f t="shared" si="10"/>
        <v/>
      </c>
    </row>
    <row r="677" spans="1:1" x14ac:dyDescent="0.25">
      <c r="A677" s="9" t="str">
        <f t="shared" si="10"/>
        <v/>
      </c>
    </row>
    <row r="678" spans="1:1" x14ac:dyDescent="0.25">
      <c r="A678" s="9" t="str">
        <f t="shared" si="10"/>
        <v/>
      </c>
    </row>
    <row r="679" spans="1:1" x14ac:dyDescent="0.25">
      <c r="A679" s="9" t="str">
        <f t="shared" si="10"/>
        <v/>
      </c>
    </row>
    <row r="680" spans="1:1" x14ac:dyDescent="0.25">
      <c r="A680" s="9" t="str">
        <f t="shared" si="10"/>
        <v/>
      </c>
    </row>
    <row r="681" spans="1:1" x14ac:dyDescent="0.25">
      <c r="A681" s="9" t="str">
        <f t="shared" si="10"/>
        <v/>
      </c>
    </row>
    <row r="682" spans="1:1" x14ac:dyDescent="0.25">
      <c r="A682" s="9" t="str">
        <f t="shared" si="10"/>
        <v/>
      </c>
    </row>
    <row r="683" spans="1:1" x14ac:dyDescent="0.25">
      <c r="A683" s="9" t="str">
        <f t="shared" si="10"/>
        <v/>
      </c>
    </row>
    <row r="684" spans="1:1" x14ac:dyDescent="0.25">
      <c r="A684" s="9" t="str">
        <f t="shared" si="10"/>
        <v/>
      </c>
    </row>
    <row r="685" spans="1:1" x14ac:dyDescent="0.25">
      <c r="A685" s="9" t="str">
        <f t="shared" si="10"/>
        <v/>
      </c>
    </row>
    <row r="686" spans="1:1" x14ac:dyDescent="0.25">
      <c r="A686" s="9" t="str">
        <f t="shared" si="10"/>
        <v/>
      </c>
    </row>
    <row r="687" spans="1:1" x14ac:dyDescent="0.25">
      <c r="A687" s="9" t="str">
        <f t="shared" si="10"/>
        <v/>
      </c>
    </row>
    <row r="688" spans="1:1" x14ac:dyDescent="0.25">
      <c r="A688" s="9" t="str">
        <f t="shared" si="10"/>
        <v/>
      </c>
    </row>
    <row r="689" spans="1:1" x14ac:dyDescent="0.25">
      <c r="A689" s="9" t="str">
        <f t="shared" si="10"/>
        <v/>
      </c>
    </row>
    <row r="690" spans="1:1" x14ac:dyDescent="0.25">
      <c r="A690" s="9" t="str">
        <f t="shared" si="10"/>
        <v/>
      </c>
    </row>
    <row r="691" spans="1:1" x14ac:dyDescent="0.25">
      <c r="A691" s="9" t="str">
        <f t="shared" si="10"/>
        <v/>
      </c>
    </row>
    <row r="692" spans="1:1" x14ac:dyDescent="0.25">
      <c r="A692" s="9" t="str">
        <f t="shared" si="10"/>
        <v/>
      </c>
    </row>
    <row r="693" spans="1:1" x14ac:dyDescent="0.25">
      <c r="A693" s="9" t="str">
        <f t="shared" si="10"/>
        <v/>
      </c>
    </row>
    <row r="694" spans="1:1" x14ac:dyDescent="0.25">
      <c r="A694" s="9" t="str">
        <f t="shared" si="10"/>
        <v/>
      </c>
    </row>
    <row r="695" spans="1:1" x14ac:dyDescent="0.25">
      <c r="A695" s="9" t="str">
        <f t="shared" si="10"/>
        <v/>
      </c>
    </row>
    <row r="696" spans="1:1" x14ac:dyDescent="0.25">
      <c r="A696" s="9" t="str">
        <f t="shared" si="10"/>
        <v/>
      </c>
    </row>
    <row r="697" spans="1:1" x14ac:dyDescent="0.25">
      <c r="A697" s="9" t="str">
        <f t="shared" si="10"/>
        <v/>
      </c>
    </row>
    <row r="698" spans="1:1" x14ac:dyDescent="0.25">
      <c r="A698" s="9" t="str">
        <f t="shared" si="10"/>
        <v/>
      </c>
    </row>
    <row r="699" spans="1:1" x14ac:dyDescent="0.25">
      <c r="A699" s="9" t="str">
        <f t="shared" si="10"/>
        <v/>
      </c>
    </row>
    <row r="700" spans="1:1" x14ac:dyDescent="0.25">
      <c r="A700" s="9" t="str">
        <f t="shared" si="10"/>
        <v/>
      </c>
    </row>
    <row r="701" spans="1:1" x14ac:dyDescent="0.25">
      <c r="A701" s="9" t="str">
        <f t="shared" si="10"/>
        <v/>
      </c>
    </row>
    <row r="702" spans="1:1" x14ac:dyDescent="0.25">
      <c r="A702" s="9" t="str">
        <f t="shared" si="10"/>
        <v/>
      </c>
    </row>
    <row r="703" spans="1:1" x14ac:dyDescent="0.25">
      <c r="A703" s="9" t="str">
        <f t="shared" si="10"/>
        <v/>
      </c>
    </row>
    <row r="704" spans="1:1" x14ac:dyDescent="0.25">
      <c r="A704" s="9" t="str">
        <f t="shared" si="10"/>
        <v/>
      </c>
    </row>
    <row r="705" spans="1:1" x14ac:dyDescent="0.25">
      <c r="A705" s="9" t="str">
        <f t="shared" si="10"/>
        <v/>
      </c>
    </row>
    <row r="706" spans="1:1" x14ac:dyDescent="0.25">
      <c r="A706" s="9" t="str">
        <f t="shared" si="10"/>
        <v/>
      </c>
    </row>
    <row r="707" spans="1:1" x14ac:dyDescent="0.25">
      <c r="A707" s="9" t="str">
        <f t="shared" ref="A707:A770" si="11">IF(M707="","",DATEVALUE(M707))</f>
        <v/>
      </c>
    </row>
    <row r="708" spans="1:1" x14ac:dyDescent="0.25">
      <c r="A708" s="9" t="str">
        <f t="shared" si="11"/>
        <v/>
      </c>
    </row>
    <row r="709" spans="1:1" x14ac:dyDescent="0.25">
      <c r="A709" s="9" t="str">
        <f t="shared" si="11"/>
        <v/>
      </c>
    </row>
    <row r="710" spans="1:1" x14ac:dyDescent="0.25">
      <c r="A710" s="9" t="str">
        <f t="shared" si="11"/>
        <v/>
      </c>
    </row>
    <row r="711" spans="1:1" x14ac:dyDescent="0.25">
      <c r="A711" s="9" t="str">
        <f t="shared" si="11"/>
        <v/>
      </c>
    </row>
    <row r="712" spans="1:1" x14ac:dyDescent="0.25">
      <c r="A712" s="9" t="str">
        <f t="shared" si="11"/>
        <v/>
      </c>
    </row>
    <row r="713" spans="1:1" x14ac:dyDescent="0.25">
      <c r="A713" s="9" t="str">
        <f t="shared" si="11"/>
        <v/>
      </c>
    </row>
    <row r="714" spans="1:1" x14ac:dyDescent="0.25">
      <c r="A714" s="9" t="str">
        <f t="shared" si="11"/>
        <v/>
      </c>
    </row>
    <row r="715" spans="1:1" x14ac:dyDescent="0.25">
      <c r="A715" s="9" t="str">
        <f t="shared" si="11"/>
        <v/>
      </c>
    </row>
    <row r="716" spans="1:1" x14ac:dyDescent="0.25">
      <c r="A716" s="9" t="str">
        <f t="shared" si="11"/>
        <v/>
      </c>
    </row>
    <row r="717" spans="1:1" x14ac:dyDescent="0.25">
      <c r="A717" s="9" t="str">
        <f t="shared" si="11"/>
        <v/>
      </c>
    </row>
    <row r="718" spans="1:1" x14ac:dyDescent="0.25">
      <c r="A718" s="9" t="str">
        <f t="shared" si="11"/>
        <v/>
      </c>
    </row>
    <row r="719" spans="1:1" x14ac:dyDescent="0.25">
      <c r="A719" s="9" t="str">
        <f t="shared" si="11"/>
        <v/>
      </c>
    </row>
    <row r="720" spans="1:1" x14ac:dyDescent="0.25">
      <c r="A720" s="9" t="str">
        <f t="shared" si="11"/>
        <v/>
      </c>
    </row>
    <row r="721" spans="1:1" x14ac:dyDescent="0.25">
      <c r="A721" s="9" t="str">
        <f t="shared" si="11"/>
        <v/>
      </c>
    </row>
    <row r="722" spans="1:1" x14ac:dyDescent="0.25">
      <c r="A722" s="9" t="str">
        <f t="shared" si="11"/>
        <v/>
      </c>
    </row>
    <row r="723" spans="1:1" x14ac:dyDescent="0.25">
      <c r="A723" s="9" t="str">
        <f t="shared" si="11"/>
        <v/>
      </c>
    </row>
    <row r="724" spans="1:1" x14ac:dyDescent="0.25">
      <c r="A724" s="9" t="str">
        <f t="shared" si="11"/>
        <v/>
      </c>
    </row>
    <row r="725" spans="1:1" x14ac:dyDescent="0.25">
      <c r="A725" s="9" t="str">
        <f t="shared" si="11"/>
        <v/>
      </c>
    </row>
    <row r="726" spans="1:1" x14ac:dyDescent="0.25">
      <c r="A726" s="9" t="str">
        <f t="shared" si="11"/>
        <v/>
      </c>
    </row>
    <row r="727" spans="1:1" x14ac:dyDescent="0.25">
      <c r="A727" s="9" t="str">
        <f t="shared" si="11"/>
        <v/>
      </c>
    </row>
    <row r="728" spans="1:1" x14ac:dyDescent="0.25">
      <c r="A728" s="9" t="str">
        <f t="shared" si="11"/>
        <v/>
      </c>
    </row>
    <row r="729" spans="1:1" x14ac:dyDescent="0.25">
      <c r="A729" s="9" t="str">
        <f t="shared" si="11"/>
        <v/>
      </c>
    </row>
    <row r="730" spans="1:1" x14ac:dyDescent="0.25">
      <c r="A730" s="9" t="str">
        <f t="shared" si="11"/>
        <v/>
      </c>
    </row>
    <row r="731" spans="1:1" x14ac:dyDescent="0.25">
      <c r="A731" s="9" t="str">
        <f t="shared" si="11"/>
        <v/>
      </c>
    </row>
    <row r="732" spans="1:1" x14ac:dyDescent="0.25">
      <c r="A732" s="9" t="str">
        <f t="shared" si="11"/>
        <v/>
      </c>
    </row>
    <row r="733" spans="1:1" x14ac:dyDescent="0.25">
      <c r="A733" s="9" t="str">
        <f t="shared" si="11"/>
        <v/>
      </c>
    </row>
    <row r="734" spans="1:1" x14ac:dyDescent="0.25">
      <c r="A734" s="9" t="str">
        <f t="shared" si="11"/>
        <v/>
      </c>
    </row>
    <row r="735" spans="1:1" x14ac:dyDescent="0.25">
      <c r="A735" s="9" t="str">
        <f t="shared" si="11"/>
        <v/>
      </c>
    </row>
    <row r="736" spans="1:1" x14ac:dyDescent="0.25">
      <c r="A736" s="9" t="str">
        <f t="shared" si="11"/>
        <v/>
      </c>
    </row>
    <row r="737" spans="1:1" x14ac:dyDescent="0.25">
      <c r="A737" s="9" t="str">
        <f t="shared" si="11"/>
        <v/>
      </c>
    </row>
    <row r="738" spans="1:1" x14ac:dyDescent="0.25">
      <c r="A738" s="9" t="str">
        <f t="shared" si="11"/>
        <v/>
      </c>
    </row>
    <row r="739" spans="1:1" x14ac:dyDescent="0.25">
      <c r="A739" s="9" t="str">
        <f t="shared" si="11"/>
        <v/>
      </c>
    </row>
    <row r="740" spans="1:1" x14ac:dyDescent="0.25">
      <c r="A740" s="9" t="str">
        <f t="shared" si="11"/>
        <v/>
      </c>
    </row>
    <row r="741" spans="1:1" x14ac:dyDescent="0.25">
      <c r="A741" s="9" t="str">
        <f t="shared" si="11"/>
        <v/>
      </c>
    </row>
    <row r="742" spans="1:1" x14ac:dyDescent="0.25">
      <c r="A742" s="9" t="str">
        <f t="shared" si="11"/>
        <v/>
      </c>
    </row>
    <row r="743" spans="1:1" x14ac:dyDescent="0.25">
      <c r="A743" s="9" t="str">
        <f t="shared" si="11"/>
        <v/>
      </c>
    </row>
    <row r="744" spans="1:1" x14ac:dyDescent="0.25">
      <c r="A744" s="9" t="str">
        <f t="shared" si="11"/>
        <v/>
      </c>
    </row>
    <row r="745" spans="1:1" x14ac:dyDescent="0.25">
      <c r="A745" s="9" t="str">
        <f t="shared" si="11"/>
        <v/>
      </c>
    </row>
    <row r="746" spans="1:1" x14ac:dyDescent="0.25">
      <c r="A746" s="9" t="str">
        <f t="shared" si="11"/>
        <v/>
      </c>
    </row>
    <row r="747" spans="1:1" x14ac:dyDescent="0.25">
      <c r="A747" s="9" t="str">
        <f t="shared" si="11"/>
        <v/>
      </c>
    </row>
    <row r="748" spans="1:1" x14ac:dyDescent="0.25">
      <c r="A748" s="9" t="str">
        <f t="shared" si="11"/>
        <v/>
      </c>
    </row>
    <row r="749" spans="1:1" x14ac:dyDescent="0.25">
      <c r="A749" s="9" t="str">
        <f t="shared" si="11"/>
        <v/>
      </c>
    </row>
    <row r="750" spans="1:1" x14ac:dyDescent="0.25">
      <c r="A750" s="9" t="str">
        <f t="shared" si="11"/>
        <v/>
      </c>
    </row>
    <row r="751" spans="1:1" x14ac:dyDescent="0.25">
      <c r="A751" s="9" t="str">
        <f t="shared" si="11"/>
        <v/>
      </c>
    </row>
    <row r="752" spans="1:1" x14ac:dyDescent="0.25">
      <c r="A752" s="9" t="str">
        <f t="shared" si="11"/>
        <v/>
      </c>
    </row>
    <row r="753" spans="1:1" x14ac:dyDescent="0.25">
      <c r="A753" s="9" t="str">
        <f t="shared" si="11"/>
        <v/>
      </c>
    </row>
    <row r="754" spans="1:1" x14ac:dyDescent="0.25">
      <c r="A754" s="9" t="str">
        <f t="shared" si="11"/>
        <v/>
      </c>
    </row>
    <row r="755" spans="1:1" x14ac:dyDescent="0.25">
      <c r="A755" s="9" t="str">
        <f t="shared" si="11"/>
        <v/>
      </c>
    </row>
    <row r="756" spans="1:1" x14ac:dyDescent="0.25">
      <c r="A756" s="9" t="str">
        <f t="shared" si="11"/>
        <v/>
      </c>
    </row>
    <row r="757" spans="1:1" x14ac:dyDescent="0.25">
      <c r="A757" s="9" t="str">
        <f t="shared" si="11"/>
        <v/>
      </c>
    </row>
    <row r="758" spans="1:1" x14ac:dyDescent="0.25">
      <c r="A758" s="9" t="str">
        <f t="shared" si="11"/>
        <v/>
      </c>
    </row>
    <row r="759" spans="1:1" x14ac:dyDescent="0.25">
      <c r="A759" s="9" t="str">
        <f t="shared" si="11"/>
        <v/>
      </c>
    </row>
    <row r="760" spans="1:1" x14ac:dyDescent="0.25">
      <c r="A760" s="9" t="str">
        <f t="shared" si="11"/>
        <v/>
      </c>
    </row>
    <row r="761" spans="1:1" x14ac:dyDescent="0.25">
      <c r="A761" s="9" t="str">
        <f t="shared" si="11"/>
        <v/>
      </c>
    </row>
    <row r="762" spans="1:1" x14ac:dyDescent="0.25">
      <c r="A762" s="9" t="str">
        <f t="shared" si="11"/>
        <v/>
      </c>
    </row>
    <row r="763" spans="1:1" x14ac:dyDescent="0.25">
      <c r="A763" s="9" t="str">
        <f t="shared" si="11"/>
        <v/>
      </c>
    </row>
    <row r="764" spans="1:1" x14ac:dyDescent="0.25">
      <c r="A764" s="9" t="str">
        <f t="shared" si="11"/>
        <v/>
      </c>
    </row>
    <row r="765" spans="1:1" x14ac:dyDescent="0.25">
      <c r="A765" s="9" t="str">
        <f t="shared" si="11"/>
        <v/>
      </c>
    </row>
    <row r="766" spans="1:1" x14ac:dyDescent="0.25">
      <c r="A766" s="9" t="str">
        <f t="shared" si="11"/>
        <v/>
      </c>
    </row>
    <row r="767" spans="1:1" x14ac:dyDescent="0.25">
      <c r="A767" s="9" t="str">
        <f t="shared" si="11"/>
        <v/>
      </c>
    </row>
    <row r="768" spans="1:1" x14ac:dyDescent="0.25">
      <c r="A768" s="9" t="str">
        <f t="shared" si="11"/>
        <v/>
      </c>
    </row>
    <row r="769" spans="1:1" x14ac:dyDescent="0.25">
      <c r="A769" s="9" t="str">
        <f t="shared" si="11"/>
        <v/>
      </c>
    </row>
    <row r="770" spans="1:1" x14ac:dyDescent="0.25">
      <c r="A770" s="9" t="str">
        <f t="shared" si="11"/>
        <v/>
      </c>
    </row>
    <row r="771" spans="1:1" x14ac:dyDescent="0.25">
      <c r="A771" s="9" t="str">
        <f t="shared" ref="A771:A834" si="12">IF(M771="","",DATEVALUE(M771))</f>
        <v/>
      </c>
    </row>
    <row r="772" spans="1:1" x14ac:dyDescent="0.25">
      <c r="A772" s="9" t="str">
        <f t="shared" si="12"/>
        <v/>
      </c>
    </row>
    <row r="773" spans="1:1" x14ac:dyDescent="0.25">
      <c r="A773" s="9" t="str">
        <f t="shared" si="12"/>
        <v/>
      </c>
    </row>
    <row r="774" spans="1:1" x14ac:dyDescent="0.25">
      <c r="A774" s="9" t="str">
        <f t="shared" si="12"/>
        <v/>
      </c>
    </row>
    <row r="775" spans="1:1" x14ac:dyDescent="0.25">
      <c r="A775" s="9" t="str">
        <f t="shared" si="12"/>
        <v/>
      </c>
    </row>
    <row r="776" spans="1:1" x14ac:dyDescent="0.25">
      <c r="A776" s="9" t="str">
        <f t="shared" si="12"/>
        <v/>
      </c>
    </row>
    <row r="777" spans="1:1" x14ac:dyDescent="0.25">
      <c r="A777" s="9" t="str">
        <f t="shared" si="12"/>
        <v/>
      </c>
    </row>
    <row r="778" spans="1:1" x14ac:dyDescent="0.25">
      <c r="A778" s="9" t="str">
        <f t="shared" si="12"/>
        <v/>
      </c>
    </row>
    <row r="779" spans="1:1" x14ac:dyDescent="0.25">
      <c r="A779" s="9" t="str">
        <f t="shared" si="12"/>
        <v/>
      </c>
    </row>
    <row r="780" spans="1:1" x14ac:dyDescent="0.25">
      <c r="A780" s="9" t="str">
        <f t="shared" si="12"/>
        <v/>
      </c>
    </row>
    <row r="781" spans="1:1" x14ac:dyDescent="0.25">
      <c r="A781" s="9" t="str">
        <f t="shared" si="12"/>
        <v/>
      </c>
    </row>
    <row r="782" spans="1:1" x14ac:dyDescent="0.25">
      <c r="A782" s="9" t="str">
        <f t="shared" si="12"/>
        <v/>
      </c>
    </row>
    <row r="783" spans="1:1" x14ac:dyDescent="0.25">
      <c r="A783" s="9" t="str">
        <f t="shared" si="12"/>
        <v/>
      </c>
    </row>
    <row r="784" spans="1:1" x14ac:dyDescent="0.25">
      <c r="A784" s="9" t="str">
        <f t="shared" si="12"/>
        <v/>
      </c>
    </row>
    <row r="785" spans="1:1" x14ac:dyDescent="0.25">
      <c r="A785" s="9" t="str">
        <f t="shared" si="12"/>
        <v/>
      </c>
    </row>
    <row r="786" spans="1:1" x14ac:dyDescent="0.25">
      <c r="A786" s="9" t="str">
        <f t="shared" si="12"/>
        <v/>
      </c>
    </row>
    <row r="787" spans="1:1" x14ac:dyDescent="0.25">
      <c r="A787" s="9" t="str">
        <f t="shared" si="12"/>
        <v/>
      </c>
    </row>
    <row r="788" spans="1:1" x14ac:dyDescent="0.25">
      <c r="A788" s="9" t="str">
        <f t="shared" si="12"/>
        <v/>
      </c>
    </row>
    <row r="789" spans="1:1" x14ac:dyDescent="0.25">
      <c r="A789" s="9" t="str">
        <f t="shared" si="12"/>
        <v/>
      </c>
    </row>
    <row r="790" spans="1:1" x14ac:dyDescent="0.25">
      <c r="A790" s="9" t="str">
        <f t="shared" si="12"/>
        <v/>
      </c>
    </row>
    <row r="791" spans="1:1" x14ac:dyDescent="0.25">
      <c r="A791" s="9" t="str">
        <f t="shared" si="12"/>
        <v/>
      </c>
    </row>
    <row r="792" spans="1:1" x14ac:dyDescent="0.25">
      <c r="A792" s="9" t="str">
        <f t="shared" si="12"/>
        <v/>
      </c>
    </row>
    <row r="793" spans="1:1" x14ac:dyDescent="0.25">
      <c r="A793" s="9" t="str">
        <f t="shared" si="12"/>
        <v/>
      </c>
    </row>
    <row r="794" spans="1:1" x14ac:dyDescent="0.25">
      <c r="A794" s="9" t="str">
        <f t="shared" si="12"/>
        <v/>
      </c>
    </row>
    <row r="795" spans="1:1" x14ac:dyDescent="0.25">
      <c r="A795" s="9" t="str">
        <f t="shared" si="12"/>
        <v/>
      </c>
    </row>
    <row r="796" spans="1:1" x14ac:dyDescent="0.25">
      <c r="A796" s="9" t="str">
        <f t="shared" si="12"/>
        <v/>
      </c>
    </row>
    <row r="797" spans="1:1" x14ac:dyDescent="0.25">
      <c r="A797" s="9" t="str">
        <f t="shared" si="12"/>
        <v/>
      </c>
    </row>
    <row r="798" spans="1:1" x14ac:dyDescent="0.25">
      <c r="A798" s="9" t="str">
        <f t="shared" si="12"/>
        <v/>
      </c>
    </row>
    <row r="799" spans="1:1" x14ac:dyDescent="0.25">
      <c r="A799" s="9" t="str">
        <f t="shared" si="12"/>
        <v/>
      </c>
    </row>
    <row r="800" spans="1:1" x14ac:dyDescent="0.25">
      <c r="A800" s="9" t="str">
        <f t="shared" si="12"/>
        <v/>
      </c>
    </row>
    <row r="801" spans="1:1" x14ac:dyDescent="0.25">
      <c r="A801" s="9" t="str">
        <f t="shared" si="12"/>
        <v/>
      </c>
    </row>
    <row r="802" spans="1:1" x14ac:dyDescent="0.25">
      <c r="A802" s="9" t="str">
        <f t="shared" si="12"/>
        <v/>
      </c>
    </row>
    <row r="803" spans="1:1" x14ac:dyDescent="0.25">
      <c r="A803" s="9" t="str">
        <f t="shared" si="12"/>
        <v/>
      </c>
    </row>
    <row r="804" spans="1:1" x14ac:dyDescent="0.25">
      <c r="A804" s="9" t="str">
        <f t="shared" si="12"/>
        <v/>
      </c>
    </row>
    <row r="805" spans="1:1" x14ac:dyDescent="0.25">
      <c r="A805" s="9" t="str">
        <f t="shared" si="12"/>
        <v/>
      </c>
    </row>
    <row r="806" spans="1:1" x14ac:dyDescent="0.25">
      <c r="A806" s="9" t="str">
        <f t="shared" si="12"/>
        <v/>
      </c>
    </row>
    <row r="807" spans="1:1" x14ac:dyDescent="0.25">
      <c r="A807" s="9" t="str">
        <f t="shared" si="12"/>
        <v/>
      </c>
    </row>
    <row r="808" spans="1:1" x14ac:dyDescent="0.25">
      <c r="A808" s="9" t="str">
        <f t="shared" si="12"/>
        <v/>
      </c>
    </row>
    <row r="809" spans="1:1" x14ac:dyDescent="0.25">
      <c r="A809" s="9" t="str">
        <f t="shared" si="12"/>
        <v/>
      </c>
    </row>
    <row r="810" spans="1:1" x14ac:dyDescent="0.25">
      <c r="A810" s="9" t="str">
        <f t="shared" si="12"/>
        <v/>
      </c>
    </row>
    <row r="811" spans="1:1" x14ac:dyDescent="0.25">
      <c r="A811" s="9" t="str">
        <f t="shared" si="12"/>
        <v/>
      </c>
    </row>
    <row r="812" spans="1:1" x14ac:dyDescent="0.25">
      <c r="A812" s="9" t="str">
        <f t="shared" si="12"/>
        <v/>
      </c>
    </row>
    <row r="813" spans="1:1" x14ac:dyDescent="0.25">
      <c r="A813" s="9" t="str">
        <f t="shared" si="12"/>
        <v/>
      </c>
    </row>
    <row r="814" spans="1:1" x14ac:dyDescent="0.25">
      <c r="A814" s="9" t="str">
        <f t="shared" si="12"/>
        <v/>
      </c>
    </row>
    <row r="815" spans="1:1" x14ac:dyDescent="0.25">
      <c r="A815" s="9" t="str">
        <f t="shared" si="12"/>
        <v/>
      </c>
    </row>
    <row r="816" spans="1:1" x14ac:dyDescent="0.25">
      <c r="A816" s="9" t="str">
        <f t="shared" si="12"/>
        <v/>
      </c>
    </row>
    <row r="817" spans="1:1" x14ac:dyDescent="0.25">
      <c r="A817" s="9" t="str">
        <f t="shared" si="12"/>
        <v/>
      </c>
    </row>
    <row r="818" spans="1:1" x14ac:dyDescent="0.25">
      <c r="A818" s="9" t="str">
        <f t="shared" si="12"/>
        <v/>
      </c>
    </row>
    <row r="819" spans="1:1" x14ac:dyDescent="0.25">
      <c r="A819" s="9" t="str">
        <f t="shared" si="12"/>
        <v/>
      </c>
    </row>
    <row r="820" spans="1:1" x14ac:dyDescent="0.25">
      <c r="A820" s="9" t="str">
        <f t="shared" si="12"/>
        <v/>
      </c>
    </row>
    <row r="821" spans="1:1" x14ac:dyDescent="0.25">
      <c r="A821" s="9" t="str">
        <f t="shared" si="12"/>
        <v/>
      </c>
    </row>
    <row r="822" spans="1:1" x14ac:dyDescent="0.25">
      <c r="A822" s="9" t="str">
        <f t="shared" si="12"/>
        <v/>
      </c>
    </row>
    <row r="823" spans="1:1" x14ac:dyDescent="0.25">
      <c r="A823" s="9" t="str">
        <f t="shared" si="12"/>
        <v/>
      </c>
    </row>
    <row r="824" spans="1:1" x14ac:dyDescent="0.25">
      <c r="A824" s="9" t="str">
        <f t="shared" si="12"/>
        <v/>
      </c>
    </row>
    <row r="825" spans="1:1" x14ac:dyDescent="0.25">
      <c r="A825" s="9" t="str">
        <f t="shared" si="12"/>
        <v/>
      </c>
    </row>
    <row r="826" spans="1:1" x14ac:dyDescent="0.25">
      <c r="A826" s="9" t="str">
        <f t="shared" si="12"/>
        <v/>
      </c>
    </row>
    <row r="827" spans="1:1" x14ac:dyDescent="0.25">
      <c r="A827" s="9" t="str">
        <f t="shared" si="12"/>
        <v/>
      </c>
    </row>
    <row r="828" spans="1:1" x14ac:dyDescent="0.25">
      <c r="A828" s="9" t="str">
        <f t="shared" si="12"/>
        <v/>
      </c>
    </row>
    <row r="829" spans="1:1" x14ac:dyDescent="0.25">
      <c r="A829" s="9" t="str">
        <f t="shared" si="12"/>
        <v/>
      </c>
    </row>
    <row r="830" spans="1:1" x14ac:dyDescent="0.25">
      <c r="A830" s="9" t="str">
        <f t="shared" si="12"/>
        <v/>
      </c>
    </row>
    <row r="831" spans="1:1" x14ac:dyDescent="0.25">
      <c r="A831" s="9" t="str">
        <f t="shared" si="12"/>
        <v/>
      </c>
    </row>
    <row r="832" spans="1:1" x14ac:dyDescent="0.25">
      <c r="A832" s="9" t="str">
        <f t="shared" si="12"/>
        <v/>
      </c>
    </row>
    <row r="833" spans="1:1" x14ac:dyDescent="0.25">
      <c r="A833" s="9" t="str">
        <f t="shared" si="12"/>
        <v/>
      </c>
    </row>
    <row r="834" spans="1:1" x14ac:dyDescent="0.25">
      <c r="A834" s="9" t="str">
        <f t="shared" si="12"/>
        <v/>
      </c>
    </row>
    <row r="835" spans="1:1" x14ac:dyDescent="0.25">
      <c r="A835" s="9" t="str">
        <f t="shared" ref="A835:A898" si="13">IF(M835="","",DATEVALUE(M835))</f>
        <v/>
      </c>
    </row>
    <row r="836" spans="1:1" x14ac:dyDescent="0.25">
      <c r="A836" s="9" t="str">
        <f t="shared" si="13"/>
        <v/>
      </c>
    </row>
    <row r="837" spans="1:1" x14ac:dyDescent="0.25">
      <c r="A837" s="9" t="str">
        <f t="shared" si="13"/>
        <v/>
      </c>
    </row>
    <row r="838" spans="1:1" x14ac:dyDescent="0.25">
      <c r="A838" s="9" t="str">
        <f t="shared" si="13"/>
        <v/>
      </c>
    </row>
    <row r="839" spans="1:1" x14ac:dyDescent="0.25">
      <c r="A839" s="9" t="str">
        <f t="shared" si="13"/>
        <v/>
      </c>
    </row>
    <row r="840" spans="1:1" x14ac:dyDescent="0.25">
      <c r="A840" s="9" t="str">
        <f t="shared" si="13"/>
        <v/>
      </c>
    </row>
    <row r="841" spans="1:1" x14ac:dyDescent="0.25">
      <c r="A841" s="9" t="str">
        <f t="shared" si="13"/>
        <v/>
      </c>
    </row>
    <row r="842" spans="1:1" x14ac:dyDescent="0.25">
      <c r="A842" s="9" t="str">
        <f t="shared" si="13"/>
        <v/>
      </c>
    </row>
    <row r="843" spans="1:1" x14ac:dyDescent="0.25">
      <c r="A843" s="9" t="str">
        <f t="shared" si="13"/>
        <v/>
      </c>
    </row>
    <row r="844" spans="1:1" x14ac:dyDescent="0.25">
      <c r="A844" s="9" t="str">
        <f t="shared" si="13"/>
        <v/>
      </c>
    </row>
    <row r="845" spans="1:1" x14ac:dyDescent="0.25">
      <c r="A845" s="9" t="str">
        <f t="shared" si="13"/>
        <v/>
      </c>
    </row>
    <row r="846" spans="1:1" x14ac:dyDescent="0.25">
      <c r="A846" s="9" t="str">
        <f t="shared" si="13"/>
        <v/>
      </c>
    </row>
    <row r="847" spans="1:1" x14ac:dyDescent="0.25">
      <c r="A847" s="9" t="str">
        <f t="shared" si="13"/>
        <v/>
      </c>
    </row>
    <row r="848" spans="1:1" x14ac:dyDescent="0.25">
      <c r="A848" s="9" t="str">
        <f t="shared" si="13"/>
        <v/>
      </c>
    </row>
    <row r="849" spans="1:1" x14ac:dyDescent="0.25">
      <c r="A849" s="9" t="str">
        <f t="shared" si="13"/>
        <v/>
      </c>
    </row>
    <row r="850" spans="1:1" x14ac:dyDescent="0.25">
      <c r="A850" s="9" t="str">
        <f t="shared" si="13"/>
        <v/>
      </c>
    </row>
    <row r="851" spans="1:1" x14ac:dyDescent="0.25">
      <c r="A851" s="9" t="str">
        <f t="shared" si="13"/>
        <v/>
      </c>
    </row>
    <row r="852" spans="1:1" x14ac:dyDescent="0.25">
      <c r="A852" s="9" t="str">
        <f t="shared" si="13"/>
        <v/>
      </c>
    </row>
    <row r="853" spans="1:1" x14ac:dyDescent="0.25">
      <c r="A853" s="9" t="str">
        <f t="shared" si="13"/>
        <v/>
      </c>
    </row>
    <row r="854" spans="1:1" x14ac:dyDescent="0.25">
      <c r="A854" s="9" t="str">
        <f t="shared" si="13"/>
        <v/>
      </c>
    </row>
    <row r="855" spans="1:1" x14ac:dyDescent="0.25">
      <c r="A855" s="9" t="str">
        <f t="shared" si="13"/>
        <v/>
      </c>
    </row>
    <row r="856" spans="1:1" x14ac:dyDescent="0.25">
      <c r="A856" s="9" t="str">
        <f t="shared" si="13"/>
        <v/>
      </c>
    </row>
    <row r="857" spans="1:1" x14ac:dyDescent="0.25">
      <c r="A857" s="9" t="str">
        <f t="shared" si="13"/>
        <v/>
      </c>
    </row>
    <row r="858" spans="1:1" x14ac:dyDescent="0.25">
      <c r="A858" s="9" t="str">
        <f t="shared" si="13"/>
        <v/>
      </c>
    </row>
    <row r="859" spans="1:1" x14ac:dyDescent="0.25">
      <c r="A859" s="9" t="str">
        <f t="shared" si="13"/>
        <v/>
      </c>
    </row>
    <row r="860" spans="1:1" x14ac:dyDescent="0.25">
      <c r="A860" s="9" t="str">
        <f t="shared" si="13"/>
        <v/>
      </c>
    </row>
    <row r="861" spans="1:1" x14ac:dyDescent="0.25">
      <c r="A861" s="9" t="str">
        <f t="shared" si="13"/>
        <v/>
      </c>
    </row>
    <row r="862" spans="1:1" x14ac:dyDescent="0.25">
      <c r="A862" s="9" t="str">
        <f t="shared" si="13"/>
        <v/>
      </c>
    </row>
    <row r="863" spans="1:1" x14ac:dyDescent="0.25">
      <c r="A863" s="9" t="str">
        <f t="shared" si="13"/>
        <v/>
      </c>
    </row>
    <row r="864" spans="1:1" x14ac:dyDescent="0.25">
      <c r="A864" s="9" t="str">
        <f t="shared" si="13"/>
        <v/>
      </c>
    </row>
    <row r="865" spans="1:1" x14ac:dyDescent="0.25">
      <c r="A865" s="9" t="str">
        <f t="shared" si="13"/>
        <v/>
      </c>
    </row>
    <row r="866" spans="1:1" x14ac:dyDescent="0.25">
      <c r="A866" s="9" t="str">
        <f t="shared" si="13"/>
        <v/>
      </c>
    </row>
    <row r="867" spans="1:1" x14ac:dyDescent="0.25">
      <c r="A867" s="9" t="str">
        <f t="shared" si="13"/>
        <v/>
      </c>
    </row>
    <row r="868" spans="1:1" x14ac:dyDescent="0.25">
      <c r="A868" s="9" t="str">
        <f t="shared" si="13"/>
        <v/>
      </c>
    </row>
    <row r="869" spans="1:1" x14ac:dyDescent="0.25">
      <c r="A869" s="9" t="str">
        <f t="shared" si="13"/>
        <v/>
      </c>
    </row>
    <row r="870" spans="1:1" x14ac:dyDescent="0.25">
      <c r="A870" s="9" t="str">
        <f t="shared" si="13"/>
        <v/>
      </c>
    </row>
    <row r="871" spans="1:1" x14ac:dyDescent="0.25">
      <c r="A871" s="9" t="str">
        <f t="shared" si="13"/>
        <v/>
      </c>
    </row>
    <row r="872" spans="1:1" x14ac:dyDescent="0.25">
      <c r="A872" s="9" t="str">
        <f t="shared" si="13"/>
        <v/>
      </c>
    </row>
    <row r="873" spans="1:1" x14ac:dyDescent="0.25">
      <c r="A873" s="9" t="str">
        <f t="shared" si="13"/>
        <v/>
      </c>
    </row>
    <row r="874" spans="1:1" x14ac:dyDescent="0.25">
      <c r="A874" s="9" t="str">
        <f t="shared" si="13"/>
        <v/>
      </c>
    </row>
    <row r="875" spans="1:1" x14ac:dyDescent="0.25">
      <c r="A875" s="9" t="str">
        <f t="shared" si="13"/>
        <v/>
      </c>
    </row>
    <row r="876" spans="1:1" x14ac:dyDescent="0.25">
      <c r="A876" s="9" t="str">
        <f t="shared" si="13"/>
        <v/>
      </c>
    </row>
    <row r="877" spans="1:1" x14ac:dyDescent="0.25">
      <c r="A877" s="9" t="str">
        <f t="shared" si="13"/>
        <v/>
      </c>
    </row>
    <row r="878" spans="1:1" x14ac:dyDescent="0.25">
      <c r="A878" s="9" t="str">
        <f t="shared" si="13"/>
        <v/>
      </c>
    </row>
    <row r="879" spans="1:1" x14ac:dyDescent="0.25">
      <c r="A879" s="9" t="str">
        <f t="shared" si="13"/>
        <v/>
      </c>
    </row>
    <row r="880" spans="1:1" x14ac:dyDescent="0.25">
      <c r="A880" s="9" t="str">
        <f t="shared" si="13"/>
        <v/>
      </c>
    </row>
    <row r="881" spans="1:1" x14ac:dyDescent="0.25">
      <c r="A881" s="9" t="str">
        <f t="shared" si="13"/>
        <v/>
      </c>
    </row>
    <row r="882" spans="1:1" x14ac:dyDescent="0.25">
      <c r="A882" s="9" t="str">
        <f t="shared" si="13"/>
        <v/>
      </c>
    </row>
    <row r="883" spans="1:1" x14ac:dyDescent="0.25">
      <c r="A883" s="9" t="str">
        <f t="shared" si="13"/>
        <v/>
      </c>
    </row>
    <row r="884" spans="1:1" x14ac:dyDescent="0.25">
      <c r="A884" s="9" t="str">
        <f t="shared" si="13"/>
        <v/>
      </c>
    </row>
    <row r="885" spans="1:1" x14ac:dyDescent="0.25">
      <c r="A885" s="9" t="str">
        <f t="shared" si="13"/>
        <v/>
      </c>
    </row>
    <row r="886" spans="1:1" x14ac:dyDescent="0.25">
      <c r="A886" s="9" t="str">
        <f t="shared" si="13"/>
        <v/>
      </c>
    </row>
    <row r="887" spans="1:1" x14ac:dyDescent="0.25">
      <c r="A887" s="9" t="str">
        <f t="shared" si="13"/>
        <v/>
      </c>
    </row>
    <row r="888" spans="1:1" x14ac:dyDescent="0.25">
      <c r="A888" s="9" t="str">
        <f t="shared" si="13"/>
        <v/>
      </c>
    </row>
    <row r="889" spans="1:1" x14ac:dyDescent="0.25">
      <c r="A889" s="9" t="str">
        <f t="shared" si="13"/>
        <v/>
      </c>
    </row>
    <row r="890" spans="1:1" x14ac:dyDescent="0.25">
      <c r="A890" s="9" t="str">
        <f t="shared" si="13"/>
        <v/>
      </c>
    </row>
    <row r="891" spans="1:1" x14ac:dyDescent="0.25">
      <c r="A891" s="9" t="str">
        <f t="shared" si="13"/>
        <v/>
      </c>
    </row>
    <row r="892" spans="1:1" x14ac:dyDescent="0.25">
      <c r="A892" s="9" t="str">
        <f t="shared" si="13"/>
        <v/>
      </c>
    </row>
    <row r="893" spans="1:1" x14ac:dyDescent="0.25">
      <c r="A893" s="9" t="str">
        <f t="shared" si="13"/>
        <v/>
      </c>
    </row>
    <row r="894" spans="1:1" x14ac:dyDescent="0.25">
      <c r="A894" s="9" t="str">
        <f t="shared" si="13"/>
        <v/>
      </c>
    </row>
    <row r="895" spans="1:1" x14ac:dyDescent="0.25">
      <c r="A895" s="9" t="str">
        <f t="shared" si="13"/>
        <v/>
      </c>
    </row>
    <row r="896" spans="1:1" x14ac:dyDescent="0.25">
      <c r="A896" s="9" t="str">
        <f t="shared" si="13"/>
        <v/>
      </c>
    </row>
    <row r="897" spans="1:1" x14ac:dyDescent="0.25">
      <c r="A897" s="9" t="str">
        <f t="shared" si="13"/>
        <v/>
      </c>
    </row>
    <row r="898" spans="1:1" x14ac:dyDescent="0.25">
      <c r="A898" s="9" t="str">
        <f t="shared" si="13"/>
        <v/>
      </c>
    </row>
    <row r="899" spans="1:1" x14ac:dyDescent="0.25">
      <c r="A899" s="9" t="str">
        <f t="shared" ref="A899:A962" si="14">IF(M899="","",DATEVALUE(M899))</f>
        <v/>
      </c>
    </row>
    <row r="900" spans="1:1" x14ac:dyDescent="0.25">
      <c r="A900" s="9" t="str">
        <f t="shared" si="14"/>
        <v/>
      </c>
    </row>
    <row r="901" spans="1:1" x14ac:dyDescent="0.25">
      <c r="A901" s="9" t="str">
        <f t="shared" si="14"/>
        <v/>
      </c>
    </row>
    <row r="902" spans="1:1" x14ac:dyDescent="0.25">
      <c r="A902" s="9" t="str">
        <f t="shared" si="14"/>
        <v/>
      </c>
    </row>
    <row r="903" spans="1:1" x14ac:dyDescent="0.25">
      <c r="A903" s="9" t="str">
        <f t="shared" si="14"/>
        <v/>
      </c>
    </row>
    <row r="904" spans="1:1" x14ac:dyDescent="0.25">
      <c r="A904" s="9" t="str">
        <f t="shared" si="14"/>
        <v/>
      </c>
    </row>
    <row r="905" spans="1:1" x14ac:dyDescent="0.25">
      <c r="A905" s="9" t="str">
        <f t="shared" si="14"/>
        <v/>
      </c>
    </row>
    <row r="906" spans="1:1" x14ac:dyDescent="0.25">
      <c r="A906" s="9" t="str">
        <f t="shared" si="14"/>
        <v/>
      </c>
    </row>
    <row r="907" spans="1:1" x14ac:dyDescent="0.25">
      <c r="A907" s="9" t="str">
        <f t="shared" si="14"/>
        <v/>
      </c>
    </row>
    <row r="908" spans="1:1" x14ac:dyDescent="0.25">
      <c r="A908" s="9" t="str">
        <f t="shared" si="14"/>
        <v/>
      </c>
    </row>
    <row r="909" spans="1:1" x14ac:dyDescent="0.25">
      <c r="A909" s="9" t="str">
        <f t="shared" si="14"/>
        <v/>
      </c>
    </row>
    <row r="910" spans="1:1" x14ac:dyDescent="0.25">
      <c r="A910" s="9" t="str">
        <f t="shared" si="14"/>
        <v/>
      </c>
    </row>
    <row r="911" spans="1:1" x14ac:dyDescent="0.25">
      <c r="A911" s="9" t="str">
        <f t="shared" si="14"/>
        <v/>
      </c>
    </row>
    <row r="912" spans="1:1" x14ac:dyDescent="0.25">
      <c r="A912" s="9" t="str">
        <f t="shared" si="14"/>
        <v/>
      </c>
    </row>
    <row r="913" spans="1:1" x14ac:dyDescent="0.25">
      <c r="A913" s="9" t="str">
        <f t="shared" si="14"/>
        <v/>
      </c>
    </row>
    <row r="914" spans="1:1" x14ac:dyDescent="0.25">
      <c r="A914" s="9" t="str">
        <f t="shared" si="14"/>
        <v/>
      </c>
    </row>
    <row r="915" spans="1:1" x14ac:dyDescent="0.25">
      <c r="A915" s="9" t="str">
        <f t="shared" si="14"/>
        <v/>
      </c>
    </row>
    <row r="916" spans="1:1" x14ac:dyDescent="0.25">
      <c r="A916" s="9" t="str">
        <f t="shared" si="14"/>
        <v/>
      </c>
    </row>
    <row r="917" spans="1:1" x14ac:dyDescent="0.25">
      <c r="A917" s="9" t="str">
        <f t="shared" si="14"/>
        <v/>
      </c>
    </row>
    <row r="918" spans="1:1" x14ac:dyDescent="0.25">
      <c r="A918" s="9" t="str">
        <f t="shared" si="14"/>
        <v/>
      </c>
    </row>
    <row r="919" spans="1:1" x14ac:dyDescent="0.25">
      <c r="A919" s="9" t="str">
        <f t="shared" si="14"/>
        <v/>
      </c>
    </row>
    <row r="920" spans="1:1" x14ac:dyDescent="0.25">
      <c r="A920" s="9" t="str">
        <f t="shared" si="14"/>
        <v/>
      </c>
    </row>
    <row r="921" spans="1:1" x14ac:dyDescent="0.25">
      <c r="A921" s="9" t="str">
        <f t="shared" si="14"/>
        <v/>
      </c>
    </row>
    <row r="922" spans="1:1" x14ac:dyDescent="0.25">
      <c r="A922" s="9" t="str">
        <f t="shared" si="14"/>
        <v/>
      </c>
    </row>
    <row r="923" spans="1:1" x14ac:dyDescent="0.25">
      <c r="A923" s="9" t="str">
        <f t="shared" si="14"/>
        <v/>
      </c>
    </row>
    <row r="924" spans="1:1" x14ac:dyDescent="0.25">
      <c r="A924" s="9" t="str">
        <f t="shared" si="14"/>
        <v/>
      </c>
    </row>
    <row r="925" spans="1:1" x14ac:dyDescent="0.25">
      <c r="A925" s="9" t="str">
        <f t="shared" si="14"/>
        <v/>
      </c>
    </row>
    <row r="926" spans="1:1" x14ac:dyDescent="0.25">
      <c r="A926" s="9" t="str">
        <f t="shared" si="14"/>
        <v/>
      </c>
    </row>
    <row r="927" spans="1:1" x14ac:dyDescent="0.25">
      <c r="A927" s="9" t="str">
        <f t="shared" si="14"/>
        <v/>
      </c>
    </row>
    <row r="928" spans="1:1" x14ac:dyDescent="0.25">
      <c r="A928" s="9" t="str">
        <f t="shared" si="14"/>
        <v/>
      </c>
    </row>
    <row r="929" spans="1:1" x14ac:dyDescent="0.25">
      <c r="A929" s="9" t="str">
        <f t="shared" si="14"/>
        <v/>
      </c>
    </row>
    <row r="930" spans="1:1" x14ac:dyDescent="0.25">
      <c r="A930" s="9" t="str">
        <f t="shared" si="14"/>
        <v/>
      </c>
    </row>
    <row r="931" spans="1:1" x14ac:dyDescent="0.25">
      <c r="A931" s="9" t="str">
        <f t="shared" si="14"/>
        <v/>
      </c>
    </row>
    <row r="932" spans="1:1" x14ac:dyDescent="0.25">
      <c r="A932" s="9" t="str">
        <f t="shared" si="14"/>
        <v/>
      </c>
    </row>
    <row r="933" spans="1:1" x14ac:dyDescent="0.25">
      <c r="A933" s="9" t="str">
        <f t="shared" si="14"/>
        <v/>
      </c>
    </row>
    <row r="934" spans="1:1" x14ac:dyDescent="0.25">
      <c r="A934" s="9" t="str">
        <f t="shared" si="14"/>
        <v/>
      </c>
    </row>
    <row r="935" spans="1:1" x14ac:dyDescent="0.25">
      <c r="A935" s="9" t="str">
        <f t="shared" si="14"/>
        <v/>
      </c>
    </row>
    <row r="936" spans="1:1" x14ac:dyDescent="0.25">
      <c r="A936" s="9" t="str">
        <f t="shared" si="14"/>
        <v/>
      </c>
    </row>
    <row r="937" spans="1:1" x14ac:dyDescent="0.25">
      <c r="A937" s="9" t="str">
        <f t="shared" si="14"/>
        <v/>
      </c>
    </row>
    <row r="938" spans="1:1" x14ac:dyDescent="0.25">
      <c r="A938" s="9" t="str">
        <f t="shared" si="14"/>
        <v/>
      </c>
    </row>
    <row r="939" spans="1:1" x14ac:dyDescent="0.25">
      <c r="A939" s="9" t="str">
        <f t="shared" si="14"/>
        <v/>
      </c>
    </row>
    <row r="940" spans="1:1" x14ac:dyDescent="0.25">
      <c r="A940" s="9" t="str">
        <f t="shared" si="14"/>
        <v/>
      </c>
    </row>
    <row r="941" spans="1:1" x14ac:dyDescent="0.25">
      <c r="A941" s="9" t="str">
        <f t="shared" si="14"/>
        <v/>
      </c>
    </row>
    <row r="942" spans="1:1" x14ac:dyDescent="0.25">
      <c r="A942" s="9" t="str">
        <f t="shared" si="14"/>
        <v/>
      </c>
    </row>
    <row r="943" spans="1:1" x14ac:dyDescent="0.25">
      <c r="A943" s="9" t="str">
        <f t="shared" si="14"/>
        <v/>
      </c>
    </row>
    <row r="944" spans="1:1" x14ac:dyDescent="0.25">
      <c r="A944" s="9" t="str">
        <f t="shared" si="14"/>
        <v/>
      </c>
    </row>
    <row r="945" spans="1:1" x14ac:dyDescent="0.25">
      <c r="A945" s="9" t="str">
        <f t="shared" si="14"/>
        <v/>
      </c>
    </row>
    <row r="946" spans="1:1" x14ac:dyDescent="0.25">
      <c r="A946" s="9" t="str">
        <f t="shared" si="14"/>
        <v/>
      </c>
    </row>
    <row r="947" spans="1:1" x14ac:dyDescent="0.25">
      <c r="A947" s="9" t="str">
        <f t="shared" si="14"/>
        <v/>
      </c>
    </row>
    <row r="948" spans="1:1" x14ac:dyDescent="0.25">
      <c r="A948" s="9" t="str">
        <f t="shared" si="14"/>
        <v/>
      </c>
    </row>
    <row r="949" spans="1:1" x14ac:dyDescent="0.25">
      <c r="A949" s="9" t="str">
        <f t="shared" si="14"/>
        <v/>
      </c>
    </row>
    <row r="950" spans="1:1" x14ac:dyDescent="0.25">
      <c r="A950" s="9" t="str">
        <f t="shared" si="14"/>
        <v/>
      </c>
    </row>
    <row r="951" spans="1:1" x14ac:dyDescent="0.25">
      <c r="A951" s="9" t="str">
        <f t="shared" si="14"/>
        <v/>
      </c>
    </row>
    <row r="952" spans="1:1" x14ac:dyDescent="0.25">
      <c r="A952" s="9" t="str">
        <f t="shared" si="14"/>
        <v/>
      </c>
    </row>
    <row r="953" spans="1:1" x14ac:dyDescent="0.25">
      <c r="A953" s="9" t="str">
        <f t="shared" si="14"/>
        <v/>
      </c>
    </row>
    <row r="954" spans="1:1" x14ac:dyDescent="0.25">
      <c r="A954" s="9" t="str">
        <f t="shared" si="14"/>
        <v/>
      </c>
    </row>
    <row r="955" spans="1:1" x14ac:dyDescent="0.25">
      <c r="A955" s="9" t="str">
        <f t="shared" si="14"/>
        <v/>
      </c>
    </row>
    <row r="956" spans="1:1" x14ac:dyDescent="0.25">
      <c r="A956" s="9" t="str">
        <f t="shared" si="14"/>
        <v/>
      </c>
    </row>
    <row r="957" spans="1:1" x14ac:dyDescent="0.25">
      <c r="A957" s="9" t="str">
        <f t="shared" si="14"/>
        <v/>
      </c>
    </row>
    <row r="958" spans="1:1" x14ac:dyDescent="0.25">
      <c r="A958" s="9" t="str">
        <f t="shared" si="14"/>
        <v/>
      </c>
    </row>
    <row r="959" spans="1:1" x14ac:dyDescent="0.25">
      <c r="A959" s="9" t="str">
        <f t="shared" si="14"/>
        <v/>
      </c>
    </row>
    <row r="960" spans="1:1" x14ac:dyDescent="0.25">
      <c r="A960" s="9" t="str">
        <f t="shared" si="14"/>
        <v/>
      </c>
    </row>
    <row r="961" spans="1:1" x14ac:dyDescent="0.25">
      <c r="A961" s="9" t="str">
        <f t="shared" si="14"/>
        <v/>
      </c>
    </row>
    <row r="962" spans="1:1" x14ac:dyDescent="0.25">
      <c r="A962" s="9" t="str">
        <f t="shared" si="14"/>
        <v/>
      </c>
    </row>
    <row r="963" spans="1:1" x14ac:dyDescent="0.25">
      <c r="A963" s="9" t="str">
        <f t="shared" ref="A963:A1026" si="15">IF(M963="","",DATEVALUE(M963))</f>
        <v/>
      </c>
    </row>
    <row r="964" spans="1:1" x14ac:dyDescent="0.25">
      <c r="A964" s="9" t="str">
        <f t="shared" si="15"/>
        <v/>
      </c>
    </row>
    <row r="965" spans="1:1" x14ac:dyDescent="0.25">
      <c r="A965" s="9" t="str">
        <f t="shared" si="15"/>
        <v/>
      </c>
    </row>
    <row r="966" spans="1:1" x14ac:dyDescent="0.25">
      <c r="A966" s="9" t="str">
        <f t="shared" si="15"/>
        <v/>
      </c>
    </row>
    <row r="967" spans="1:1" x14ac:dyDescent="0.25">
      <c r="A967" s="9" t="str">
        <f t="shared" si="15"/>
        <v/>
      </c>
    </row>
    <row r="968" spans="1:1" x14ac:dyDescent="0.25">
      <c r="A968" s="9" t="str">
        <f t="shared" si="15"/>
        <v/>
      </c>
    </row>
    <row r="969" spans="1:1" x14ac:dyDescent="0.25">
      <c r="A969" s="9" t="str">
        <f t="shared" si="15"/>
        <v/>
      </c>
    </row>
    <row r="970" spans="1:1" x14ac:dyDescent="0.25">
      <c r="A970" s="9" t="str">
        <f t="shared" si="15"/>
        <v/>
      </c>
    </row>
    <row r="971" spans="1:1" x14ac:dyDescent="0.25">
      <c r="A971" s="9" t="str">
        <f t="shared" si="15"/>
        <v/>
      </c>
    </row>
    <row r="972" spans="1:1" x14ac:dyDescent="0.25">
      <c r="A972" s="9" t="str">
        <f t="shared" si="15"/>
        <v/>
      </c>
    </row>
    <row r="973" spans="1:1" x14ac:dyDescent="0.25">
      <c r="A973" s="9" t="str">
        <f t="shared" si="15"/>
        <v/>
      </c>
    </row>
    <row r="974" spans="1:1" x14ac:dyDescent="0.25">
      <c r="A974" s="9" t="str">
        <f t="shared" si="15"/>
        <v/>
      </c>
    </row>
    <row r="975" spans="1:1" x14ac:dyDescent="0.25">
      <c r="A975" s="9" t="str">
        <f t="shared" si="15"/>
        <v/>
      </c>
    </row>
    <row r="976" spans="1:1" x14ac:dyDescent="0.25">
      <c r="A976" s="9" t="str">
        <f t="shared" si="15"/>
        <v/>
      </c>
    </row>
    <row r="977" spans="1:1" x14ac:dyDescent="0.25">
      <c r="A977" s="9" t="str">
        <f t="shared" si="15"/>
        <v/>
      </c>
    </row>
    <row r="978" spans="1:1" x14ac:dyDescent="0.25">
      <c r="A978" s="9" t="str">
        <f t="shared" si="15"/>
        <v/>
      </c>
    </row>
    <row r="979" spans="1:1" x14ac:dyDescent="0.25">
      <c r="A979" s="9" t="str">
        <f t="shared" si="15"/>
        <v/>
      </c>
    </row>
    <row r="980" spans="1:1" x14ac:dyDescent="0.25">
      <c r="A980" s="9" t="str">
        <f t="shared" si="15"/>
        <v/>
      </c>
    </row>
    <row r="981" spans="1:1" x14ac:dyDescent="0.25">
      <c r="A981" s="9" t="str">
        <f t="shared" si="15"/>
        <v/>
      </c>
    </row>
    <row r="982" spans="1:1" x14ac:dyDescent="0.25">
      <c r="A982" s="9" t="str">
        <f t="shared" si="15"/>
        <v/>
      </c>
    </row>
    <row r="983" spans="1:1" x14ac:dyDescent="0.25">
      <c r="A983" s="9" t="str">
        <f t="shared" si="15"/>
        <v/>
      </c>
    </row>
    <row r="984" spans="1:1" x14ac:dyDescent="0.25">
      <c r="A984" s="9" t="str">
        <f t="shared" si="15"/>
        <v/>
      </c>
    </row>
    <row r="985" spans="1:1" x14ac:dyDescent="0.25">
      <c r="A985" s="9" t="str">
        <f t="shared" si="15"/>
        <v/>
      </c>
    </row>
    <row r="986" spans="1:1" x14ac:dyDescent="0.25">
      <c r="A986" s="9" t="str">
        <f t="shared" si="15"/>
        <v/>
      </c>
    </row>
    <row r="987" spans="1:1" x14ac:dyDescent="0.25">
      <c r="A987" s="9" t="str">
        <f t="shared" si="15"/>
        <v/>
      </c>
    </row>
    <row r="988" spans="1:1" x14ac:dyDescent="0.25">
      <c r="A988" s="9" t="str">
        <f t="shared" si="15"/>
        <v/>
      </c>
    </row>
    <row r="989" spans="1:1" x14ac:dyDescent="0.25">
      <c r="A989" s="9" t="str">
        <f t="shared" si="15"/>
        <v/>
      </c>
    </row>
    <row r="990" spans="1:1" x14ac:dyDescent="0.25">
      <c r="A990" s="9" t="str">
        <f t="shared" si="15"/>
        <v/>
      </c>
    </row>
    <row r="991" spans="1:1" x14ac:dyDescent="0.25">
      <c r="A991" s="9" t="str">
        <f t="shared" si="15"/>
        <v/>
      </c>
    </row>
    <row r="992" spans="1:1" x14ac:dyDescent="0.25">
      <c r="A992" s="9" t="str">
        <f t="shared" si="15"/>
        <v/>
      </c>
    </row>
    <row r="993" spans="1:1" x14ac:dyDescent="0.25">
      <c r="A993" s="9" t="str">
        <f t="shared" si="15"/>
        <v/>
      </c>
    </row>
    <row r="994" spans="1:1" x14ac:dyDescent="0.25">
      <c r="A994" s="9" t="str">
        <f t="shared" si="15"/>
        <v/>
      </c>
    </row>
    <row r="995" spans="1:1" x14ac:dyDescent="0.25">
      <c r="A995" s="9" t="str">
        <f t="shared" si="15"/>
        <v/>
      </c>
    </row>
    <row r="996" spans="1:1" x14ac:dyDescent="0.25">
      <c r="A996" s="9" t="str">
        <f t="shared" si="15"/>
        <v/>
      </c>
    </row>
    <row r="997" spans="1:1" x14ac:dyDescent="0.25">
      <c r="A997" s="9" t="str">
        <f t="shared" si="15"/>
        <v/>
      </c>
    </row>
    <row r="998" spans="1:1" x14ac:dyDescent="0.25">
      <c r="A998" s="9" t="str">
        <f t="shared" si="15"/>
        <v/>
      </c>
    </row>
    <row r="999" spans="1:1" x14ac:dyDescent="0.25">
      <c r="A999" s="9" t="str">
        <f t="shared" si="15"/>
        <v/>
      </c>
    </row>
    <row r="1000" spans="1:1" x14ac:dyDescent="0.25">
      <c r="A1000" s="9" t="str">
        <f t="shared" si="15"/>
        <v/>
      </c>
    </row>
    <row r="1001" spans="1:1" x14ac:dyDescent="0.25">
      <c r="A1001" s="9" t="str">
        <f t="shared" si="15"/>
        <v/>
      </c>
    </row>
    <row r="1002" spans="1:1" x14ac:dyDescent="0.25">
      <c r="A1002" s="9" t="str">
        <f t="shared" si="15"/>
        <v/>
      </c>
    </row>
    <row r="1003" spans="1:1" x14ac:dyDescent="0.25">
      <c r="A1003" s="9" t="str">
        <f t="shared" si="15"/>
        <v/>
      </c>
    </row>
    <row r="1004" spans="1:1" x14ac:dyDescent="0.25">
      <c r="A1004" s="9" t="str">
        <f t="shared" si="15"/>
        <v/>
      </c>
    </row>
    <row r="1005" spans="1:1" x14ac:dyDescent="0.25">
      <c r="A1005" s="9" t="str">
        <f t="shared" si="15"/>
        <v/>
      </c>
    </row>
    <row r="1006" spans="1:1" x14ac:dyDescent="0.25">
      <c r="A1006" s="9" t="str">
        <f t="shared" si="15"/>
        <v/>
      </c>
    </row>
    <row r="1007" spans="1:1" x14ac:dyDescent="0.25">
      <c r="A1007" s="9" t="str">
        <f t="shared" si="15"/>
        <v/>
      </c>
    </row>
    <row r="1008" spans="1:1" x14ac:dyDescent="0.25">
      <c r="A1008" s="9" t="str">
        <f t="shared" si="15"/>
        <v/>
      </c>
    </row>
    <row r="1009" spans="1:1" x14ac:dyDescent="0.25">
      <c r="A1009" s="9" t="str">
        <f t="shared" si="15"/>
        <v/>
      </c>
    </row>
    <row r="1010" spans="1:1" x14ac:dyDescent="0.25">
      <c r="A1010" s="9" t="str">
        <f t="shared" si="15"/>
        <v/>
      </c>
    </row>
    <row r="1011" spans="1:1" x14ac:dyDescent="0.25">
      <c r="A1011" s="9" t="str">
        <f t="shared" si="15"/>
        <v/>
      </c>
    </row>
    <row r="1012" spans="1:1" x14ac:dyDescent="0.25">
      <c r="A1012" s="9" t="str">
        <f t="shared" si="15"/>
        <v/>
      </c>
    </row>
    <row r="1013" spans="1:1" x14ac:dyDescent="0.25">
      <c r="A1013" s="9" t="str">
        <f t="shared" si="15"/>
        <v/>
      </c>
    </row>
    <row r="1014" spans="1:1" x14ac:dyDescent="0.25">
      <c r="A1014" s="9" t="str">
        <f t="shared" si="15"/>
        <v/>
      </c>
    </row>
    <row r="1015" spans="1:1" x14ac:dyDescent="0.25">
      <c r="A1015" s="9" t="str">
        <f t="shared" si="15"/>
        <v/>
      </c>
    </row>
    <row r="1016" spans="1:1" x14ac:dyDescent="0.25">
      <c r="A1016" s="9" t="str">
        <f t="shared" si="15"/>
        <v/>
      </c>
    </row>
    <row r="1017" spans="1:1" x14ac:dyDescent="0.25">
      <c r="A1017" s="9" t="str">
        <f t="shared" si="15"/>
        <v/>
      </c>
    </row>
    <row r="1018" spans="1:1" x14ac:dyDescent="0.25">
      <c r="A1018" s="9" t="str">
        <f t="shared" si="15"/>
        <v/>
      </c>
    </row>
    <row r="1019" spans="1:1" x14ac:dyDescent="0.25">
      <c r="A1019" s="9" t="str">
        <f t="shared" si="15"/>
        <v/>
      </c>
    </row>
    <row r="1020" spans="1:1" x14ac:dyDescent="0.25">
      <c r="A1020" s="9" t="str">
        <f t="shared" si="15"/>
        <v/>
      </c>
    </row>
    <row r="1021" spans="1:1" x14ac:dyDescent="0.25">
      <c r="A1021" s="9" t="str">
        <f t="shared" si="15"/>
        <v/>
      </c>
    </row>
    <row r="1022" spans="1:1" x14ac:dyDescent="0.25">
      <c r="A1022" s="9" t="str">
        <f t="shared" si="15"/>
        <v/>
      </c>
    </row>
    <row r="1023" spans="1:1" x14ac:dyDescent="0.25">
      <c r="A1023" s="9" t="str">
        <f t="shared" si="15"/>
        <v/>
      </c>
    </row>
    <row r="1024" spans="1:1" x14ac:dyDescent="0.25">
      <c r="A1024" s="9" t="str">
        <f t="shared" si="15"/>
        <v/>
      </c>
    </row>
    <row r="1025" spans="1:1" x14ac:dyDescent="0.25">
      <c r="A1025" s="9" t="str">
        <f t="shared" si="15"/>
        <v/>
      </c>
    </row>
    <row r="1026" spans="1:1" x14ac:dyDescent="0.25">
      <c r="A1026" s="9" t="str">
        <f t="shared" si="15"/>
        <v/>
      </c>
    </row>
    <row r="1027" spans="1:1" x14ac:dyDescent="0.25">
      <c r="A1027" s="9" t="str">
        <f t="shared" ref="A1027:A1090" si="16">IF(M1027="","",DATEVALUE(M1027))</f>
        <v/>
      </c>
    </row>
    <row r="1028" spans="1:1" x14ac:dyDescent="0.25">
      <c r="A1028" s="9" t="str">
        <f t="shared" si="16"/>
        <v/>
      </c>
    </row>
    <row r="1029" spans="1:1" x14ac:dyDescent="0.25">
      <c r="A1029" s="9" t="str">
        <f t="shared" si="16"/>
        <v/>
      </c>
    </row>
    <row r="1030" spans="1:1" x14ac:dyDescent="0.25">
      <c r="A1030" s="9" t="str">
        <f t="shared" si="16"/>
        <v/>
      </c>
    </row>
    <row r="1031" spans="1:1" x14ac:dyDescent="0.25">
      <c r="A1031" s="9" t="str">
        <f t="shared" si="16"/>
        <v/>
      </c>
    </row>
    <row r="1032" spans="1:1" x14ac:dyDescent="0.25">
      <c r="A1032" s="9" t="str">
        <f t="shared" si="16"/>
        <v/>
      </c>
    </row>
    <row r="1033" spans="1:1" x14ac:dyDescent="0.25">
      <c r="A1033" s="9" t="str">
        <f t="shared" si="16"/>
        <v/>
      </c>
    </row>
    <row r="1034" spans="1:1" x14ac:dyDescent="0.25">
      <c r="A1034" s="9" t="str">
        <f t="shared" si="16"/>
        <v/>
      </c>
    </row>
    <row r="1035" spans="1:1" x14ac:dyDescent="0.25">
      <c r="A1035" s="9" t="str">
        <f t="shared" si="16"/>
        <v/>
      </c>
    </row>
    <row r="1036" spans="1:1" x14ac:dyDescent="0.25">
      <c r="A1036" s="9" t="str">
        <f t="shared" si="16"/>
        <v/>
      </c>
    </row>
    <row r="1037" spans="1:1" x14ac:dyDescent="0.25">
      <c r="A1037" s="9" t="str">
        <f t="shared" si="16"/>
        <v/>
      </c>
    </row>
    <row r="1038" spans="1:1" x14ac:dyDescent="0.25">
      <c r="A1038" s="9" t="str">
        <f t="shared" si="16"/>
        <v/>
      </c>
    </row>
    <row r="1039" spans="1:1" x14ac:dyDescent="0.25">
      <c r="A1039" s="9" t="str">
        <f t="shared" si="16"/>
        <v/>
      </c>
    </row>
    <row r="1040" spans="1:1" x14ac:dyDescent="0.25">
      <c r="A1040" s="9" t="str">
        <f t="shared" si="16"/>
        <v/>
      </c>
    </row>
    <row r="1041" spans="1:1" x14ac:dyDescent="0.25">
      <c r="A1041" s="9" t="str">
        <f t="shared" si="16"/>
        <v/>
      </c>
    </row>
    <row r="1042" spans="1:1" x14ac:dyDescent="0.25">
      <c r="A1042" s="9" t="str">
        <f t="shared" si="16"/>
        <v/>
      </c>
    </row>
    <row r="1043" spans="1:1" x14ac:dyDescent="0.25">
      <c r="A1043" s="9" t="str">
        <f t="shared" si="16"/>
        <v/>
      </c>
    </row>
    <row r="1044" spans="1:1" x14ac:dyDescent="0.25">
      <c r="A1044" s="9" t="str">
        <f t="shared" si="16"/>
        <v/>
      </c>
    </row>
    <row r="1045" spans="1:1" x14ac:dyDescent="0.25">
      <c r="A1045" s="9" t="str">
        <f t="shared" si="16"/>
        <v/>
      </c>
    </row>
    <row r="1046" spans="1:1" x14ac:dyDescent="0.25">
      <c r="A1046" s="9" t="str">
        <f t="shared" si="16"/>
        <v/>
      </c>
    </row>
    <row r="1047" spans="1:1" x14ac:dyDescent="0.25">
      <c r="A1047" s="9" t="str">
        <f t="shared" si="16"/>
        <v/>
      </c>
    </row>
    <row r="1048" spans="1:1" x14ac:dyDescent="0.25">
      <c r="A1048" s="9" t="str">
        <f t="shared" si="16"/>
        <v/>
      </c>
    </row>
    <row r="1049" spans="1:1" x14ac:dyDescent="0.25">
      <c r="A1049" s="9" t="str">
        <f t="shared" si="16"/>
        <v/>
      </c>
    </row>
    <row r="1050" spans="1:1" x14ac:dyDescent="0.25">
      <c r="A1050" s="9" t="str">
        <f t="shared" si="16"/>
        <v/>
      </c>
    </row>
    <row r="1051" spans="1:1" x14ac:dyDescent="0.25">
      <c r="A1051" s="9" t="str">
        <f t="shared" si="16"/>
        <v/>
      </c>
    </row>
    <row r="1052" spans="1:1" x14ac:dyDescent="0.25">
      <c r="A1052" s="9" t="str">
        <f t="shared" si="16"/>
        <v/>
      </c>
    </row>
    <row r="1053" spans="1:1" x14ac:dyDescent="0.25">
      <c r="A1053" s="9" t="str">
        <f t="shared" si="16"/>
        <v/>
      </c>
    </row>
    <row r="1054" spans="1:1" x14ac:dyDescent="0.25">
      <c r="A1054" s="9" t="str">
        <f t="shared" si="16"/>
        <v/>
      </c>
    </row>
    <row r="1055" spans="1:1" x14ac:dyDescent="0.25">
      <c r="A1055" s="9" t="str">
        <f t="shared" si="16"/>
        <v/>
      </c>
    </row>
    <row r="1056" spans="1:1" x14ac:dyDescent="0.25">
      <c r="A1056" s="9" t="str">
        <f t="shared" si="16"/>
        <v/>
      </c>
    </row>
    <row r="1057" spans="1:1" x14ac:dyDescent="0.25">
      <c r="A1057" s="9" t="str">
        <f t="shared" si="16"/>
        <v/>
      </c>
    </row>
    <row r="1058" spans="1:1" x14ac:dyDescent="0.25">
      <c r="A1058" s="9" t="str">
        <f t="shared" si="16"/>
        <v/>
      </c>
    </row>
    <row r="1059" spans="1:1" x14ac:dyDescent="0.25">
      <c r="A1059" s="9" t="str">
        <f t="shared" si="16"/>
        <v/>
      </c>
    </row>
    <row r="1060" spans="1:1" x14ac:dyDescent="0.25">
      <c r="A1060" s="9" t="str">
        <f t="shared" si="16"/>
        <v/>
      </c>
    </row>
    <row r="1061" spans="1:1" x14ac:dyDescent="0.25">
      <c r="A1061" s="9" t="str">
        <f t="shared" si="16"/>
        <v/>
      </c>
    </row>
    <row r="1062" spans="1:1" x14ac:dyDescent="0.25">
      <c r="A1062" s="9" t="str">
        <f t="shared" si="16"/>
        <v/>
      </c>
    </row>
    <row r="1063" spans="1:1" x14ac:dyDescent="0.25">
      <c r="A1063" s="9" t="str">
        <f t="shared" si="16"/>
        <v/>
      </c>
    </row>
    <row r="1064" spans="1:1" x14ac:dyDescent="0.25">
      <c r="A1064" s="9" t="str">
        <f t="shared" si="16"/>
        <v/>
      </c>
    </row>
    <row r="1065" spans="1:1" x14ac:dyDescent="0.25">
      <c r="A1065" s="9" t="str">
        <f t="shared" si="16"/>
        <v/>
      </c>
    </row>
    <row r="1066" spans="1:1" x14ac:dyDescent="0.25">
      <c r="A1066" s="9" t="str">
        <f t="shared" si="16"/>
        <v/>
      </c>
    </row>
    <row r="1067" spans="1:1" x14ac:dyDescent="0.25">
      <c r="A1067" s="9" t="str">
        <f t="shared" si="16"/>
        <v/>
      </c>
    </row>
    <row r="1068" spans="1:1" x14ac:dyDescent="0.25">
      <c r="A1068" s="9" t="str">
        <f t="shared" si="16"/>
        <v/>
      </c>
    </row>
    <row r="1069" spans="1:1" x14ac:dyDescent="0.25">
      <c r="A1069" s="9" t="str">
        <f t="shared" si="16"/>
        <v/>
      </c>
    </row>
    <row r="1070" spans="1:1" x14ac:dyDescent="0.25">
      <c r="A1070" s="9" t="str">
        <f t="shared" si="16"/>
        <v/>
      </c>
    </row>
    <row r="1071" spans="1:1" x14ac:dyDescent="0.25">
      <c r="A1071" s="9" t="str">
        <f t="shared" si="16"/>
        <v/>
      </c>
    </row>
    <row r="1072" spans="1:1" x14ac:dyDescent="0.25">
      <c r="A1072" s="9" t="str">
        <f t="shared" si="16"/>
        <v/>
      </c>
    </row>
    <row r="1073" spans="1:1" x14ac:dyDescent="0.25">
      <c r="A1073" s="9" t="str">
        <f t="shared" si="16"/>
        <v/>
      </c>
    </row>
    <row r="1074" spans="1:1" x14ac:dyDescent="0.25">
      <c r="A1074" s="9" t="str">
        <f t="shared" si="16"/>
        <v/>
      </c>
    </row>
    <row r="1075" spans="1:1" x14ac:dyDescent="0.25">
      <c r="A1075" s="9" t="str">
        <f t="shared" si="16"/>
        <v/>
      </c>
    </row>
    <row r="1076" spans="1:1" x14ac:dyDescent="0.25">
      <c r="A1076" s="9" t="str">
        <f t="shared" si="16"/>
        <v/>
      </c>
    </row>
    <row r="1077" spans="1:1" x14ac:dyDescent="0.25">
      <c r="A1077" s="9" t="str">
        <f t="shared" si="16"/>
        <v/>
      </c>
    </row>
    <row r="1078" spans="1:1" x14ac:dyDescent="0.25">
      <c r="A1078" s="9" t="str">
        <f t="shared" si="16"/>
        <v/>
      </c>
    </row>
    <row r="1079" spans="1:1" x14ac:dyDescent="0.25">
      <c r="A1079" s="9" t="str">
        <f t="shared" si="16"/>
        <v/>
      </c>
    </row>
    <row r="1080" spans="1:1" x14ac:dyDescent="0.25">
      <c r="A1080" s="9" t="str">
        <f t="shared" si="16"/>
        <v/>
      </c>
    </row>
    <row r="1081" spans="1:1" x14ac:dyDescent="0.25">
      <c r="A1081" s="9" t="str">
        <f t="shared" si="16"/>
        <v/>
      </c>
    </row>
    <row r="1082" spans="1:1" x14ac:dyDescent="0.25">
      <c r="A1082" s="9" t="str">
        <f t="shared" si="16"/>
        <v/>
      </c>
    </row>
    <row r="1083" spans="1:1" x14ac:dyDescent="0.25">
      <c r="A1083" s="9" t="str">
        <f t="shared" si="16"/>
        <v/>
      </c>
    </row>
    <row r="1084" spans="1:1" x14ac:dyDescent="0.25">
      <c r="A1084" s="9" t="str">
        <f t="shared" si="16"/>
        <v/>
      </c>
    </row>
    <row r="1085" spans="1:1" x14ac:dyDescent="0.25">
      <c r="A1085" s="9" t="str">
        <f t="shared" si="16"/>
        <v/>
      </c>
    </row>
    <row r="1086" spans="1:1" x14ac:dyDescent="0.25">
      <c r="A1086" s="9" t="str">
        <f t="shared" si="16"/>
        <v/>
      </c>
    </row>
    <row r="1087" spans="1:1" x14ac:dyDescent="0.25">
      <c r="A1087" s="9" t="str">
        <f t="shared" si="16"/>
        <v/>
      </c>
    </row>
    <row r="1088" spans="1:1" x14ac:dyDescent="0.25">
      <c r="A1088" s="9" t="str">
        <f t="shared" si="16"/>
        <v/>
      </c>
    </row>
    <row r="1089" spans="1:1" x14ac:dyDescent="0.25">
      <c r="A1089" s="9" t="str">
        <f t="shared" si="16"/>
        <v/>
      </c>
    </row>
    <row r="1090" spans="1:1" x14ac:dyDescent="0.25">
      <c r="A1090" s="9" t="str">
        <f t="shared" si="16"/>
        <v/>
      </c>
    </row>
    <row r="1091" spans="1:1" x14ac:dyDescent="0.25">
      <c r="A1091" s="9" t="str">
        <f t="shared" ref="A1091:A1154" si="17">IF(M1091="","",DATEVALUE(M1091))</f>
        <v/>
      </c>
    </row>
    <row r="1092" spans="1:1" x14ac:dyDescent="0.25">
      <c r="A1092" s="9" t="str">
        <f t="shared" si="17"/>
        <v/>
      </c>
    </row>
    <row r="1093" spans="1:1" x14ac:dyDescent="0.25">
      <c r="A1093" s="9" t="str">
        <f t="shared" si="17"/>
        <v/>
      </c>
    </row>
    <row r="1094" spans="1:1" x14ac:dyDescent="0.25">
      <c r="A1094" s="9" t="str">
        <f t="shared" si="17"/>
        <v/>
      </c>
    </row>
    <row r="1095" spans="1:1" x14ac:dyDescent="0.25">
      <c r="A1095" s="9" t="str">
        <f t="shared" si="17"/>
        <v/>
      </c>
    </row>
    <row r="1096" spans="1:1" x14ac:dyDescent="0.25">
      <c r="A1096" s="9" t="str">
        <f t="shared" si="17"/>
        <v/>
      </c>
    </row>
    <row r="1097" spans="1:1" x14ac:dyDescent="0.25">
      <c r="A1097" s="9" t="str">
        <f t="shared" si="17"/>
        <v/>
      </c>
    </row>
    <row r="1098" spans="1:1" x14ac:dyDescent="0.25">
      <c r="A1098" s="9" t="str">
        <f t="shared" si="17"/>
        <v/>
      </c>
    </row>
    <row r="1099" spans="1:1" x14ac:dyDescent="0.25">
      <c r="A1099" s="9" t="str">
        <f t="shared" si="17"/>
        <v/>
      </c>
    </row>
    <row r="1100" spans="1:1" x14ac:dyDescent="0.25">
      <c r="A1100" s="9" t="str">
        <f t="shared" si="17"/>
        <v/>
      </c>
    </row>
    <row r="1101" spans="1:1" x14ac:dyDescent="0.25">
      <c r="A1101" s="9" t="str">
        <f t="shared" si="17"/>
        <v/>
      </c>
    </row>
    <row r="1102" spans="1:1" x14ac:dyDescent="0.25">
      <c r="A1102" s="9" t="str">
        <f t="shared" si="17"/>
        <v/>
      </c>
    </row>
    <row r="1103" spans="1:1" x14ac:dyDescent="0.25">
      <c r="A1103" s="9" t="str">
        <f t="shared" si="17"/>
        <v/>
      </c>
    </row>
    <row r="1104" spans="1:1" x14ac:dyDescent="0.25">
      <c r="A1104" s="9" t="str">
        <f t="shared" si="17"/>
        <v/>
      </c>
    </row>
    <row r="1105" spans="1:1" x14ac:dyDescent="0.25">
      <c r="A1105" s="9" t="str">
        <f t="shared" si="17"/>
        <v/>
      </c>
    </row>
    <row r="1106" spans="1:1" x14ac:dyDescent="0.25">
      <c r="A1106" s="9" t="str">
        <f t="shared" si="17"/>
        <v/>
      </c>
    </row>
    <row r="1107" spans="1:1" x14ac:dyDescent="0.25">
      <c r="A1107" s="9" t="str">
        <f t="shared" si="17"/>
        <v/>
      </c>
    </row>
    <row r="1108" spans="1:1" x14ac:dyDescent="0.25">
      <c r="A1108" s="9" t="str">
        <f t="shared" si="17"/>
        <v/>
      </c>
    </row>
    <row r="1109" spans="1:1" x14ac:dyDescent="0.25">
      <c r="A1109" s="9" t="str">
        <f t="shared" si="17"/>
        <v/>
      </c>
    </row>
    <row r="1110" spans="1:1" x14ac:dyDescent="0.25">
      <c r="A1110" s="9" t="str">
        <f t="shared" si="17"/>
        <v/>
      </c>
    </row>
    <row r="1111" spans="1:1" x14ac:dyDescent="0.25">
      <c r="A1111" s="9" t="str">
        <f t="shared" si="17"/>
        <v/>
      </c>
    </row>
    <row r="1112" spans="1:1" x14ac:dyDescent="0.25">
      <c r="A1112" s="9" t="str">
        <f t="shared" si="17"/>
        <v/>
      </c>
    </row>
    <row r="1113" spans="1:1" x14ac:dyDescent="0.25">
      <c r="A1113" s="9" t="str">
        <f t="shared" si="17"/>
        <v/>
      </c>
    </row>
    <row r="1114" spans="1:1" x14ac:dyDescent="0.25">
      <c r="A1114" s="9" t="str">
        <f t="shared" si="17"/>
        <v/>
      </c>
    </row>
    <row r="1115" spans="1:1" x14ac:dyDescent="0.25">
      <c r="A1115" s="9" t="str">
        <f t="shared" si="17"/>
        <v/>
      </c>
    </row>
    <row r="1116" spans="1:1" x14ac:dyDescent="0.25">
      <c r="A1116" s="9" t="str">
        <f t="shared" si="17"/>
        <v/>
      </c>
    </row>
    <row r="1117" spans="1:1" x14ac:dyDescent="0.25">
      <c r="A1117" s="9" t="str">
        <f t="shared" si="17"/>
        <v/>
      </c>
    </row>
    <row r="1118" spans="1:1" x14ac:dyDescent="0.25">
      <c r="A1118" s="9" t="str">
        <f t="shared" si="17"/>
        <v/>
      </c>
    </row>
    <row r="1119" spans="1:1" x14ac:dyDescent="0.25">
      <c r="A1119" s="9" t="str">
        <f t="shared" si="17"/>
        <v/>
      </c>
    </row>
    <row r="1120" spans="1:1" x14ac:dyDescent="0.25">
      <c r="A1120" s="9" t="str">
        <f t="shared" si="17"/>
        <v/>
      </c>
    </row>
    <row r="1121" spans="1:1" x14ac:dyDescent="0.25">
      <c r="A1121" s="9" t="str">
        <f t="shared" si="17"/>
        <v/>
      </c>
    </row>
    <row r="1122" spans="1:1" x14ac:dyDescent="0.25">
      <c r="A1122" s="9" t="str">
        <f t="shared" si="17"/>
        <v/>
      </c>
    </row>
    <row r="1123" spans="1:1" x14ac:dyDescent="0.25">
      <c r="A1123" s="9" t="str">
        <f t="shared" si="17"/>
        <v/>
      </c>
    </row>
    <row r="1124" spans="1:1" x14ac:dyDescent="0.25">
      <c r="A1124" s="9" t="str">
        <f t="shared" si="17"/>
        <v/>
      </c>
    </row>
    <row r="1125" spans="1:1" x14ac:dyDescent="0.25">
      <c r="A1125" s="9" t="str">
        <f t="shared" si="17"/>
        <v/>
      </c>
    </row>
    <row r="1126" spans="1:1" x14ac:dyDescent="0.25">
      <c r="A1126" s="9" t="str">
        <f t="shared" si="17"/>
        <v/>
      </c>
    </row>
    <row r="1127" spans="1:1" x14ac:dyDescent="0.25">
      <c r="A1127" s="9" t="str">
        <f t="shared" si="17"/>
        <v/>
      </c>
    </row>
    <row r="1128" spans="1:1" x14ac:dyDescent="0.25">
      <c r="A1128" s="9" t="str">
        <f t="shared" si="17"/>
        <v/>
      </c>
    </row>
    <row r="1129" spans="1:1" x14ac:dyDescent="0.25">
      <c r="A1129" s="9" t="str">
        <f t="shared" si="17"/>
        <v/>
      </c>
    </row>
    <row r="1130" spans="1:1" x14ac:dyDescent="0.25">
      <c r="A1130" s="9" t="str">
        <f t="shared" si="17"/>
        <v/>
      </c>
    </row>
    <row r="1131" spans="1:1" x14ac:dyDescent="0.25">
      <c r="A1131" s="9" t="str">
        <f t="shared" si="17"/>
        <v/>
      </c>
    </row>
    <row r="1132" spans="1:1" x14ac:dyDescent="0.25">
      <c r="A1132" s="9" t="str">
        <f t="shared" si="17"/>
        <v/>
      </c>
    </row>
    <row r="1133" spans="1:1" x14ac:dyDescent="0.25">
      <c r="A1133" s="9" t="str">
        <f t="shared" si="17"/>
        <v/>
      </c>
    </row>
    <row r="1134" spans="1:1" x14ac:dyDescent="0.25">
      <c r="A1134" s="9" t="str">
        <f t="shared" si="17"/>
        <v/>
      </c>
    </row>
    <row r="1135" spans="1:1" x14ac:dyDescent="0.25">
      <c r="A1135" s="9" t="str">
        <f t="shared" si="17"/>
        <v/>
      </c>
    </row>
    <row r="1136" spans="1:1" x14ac:dyDescent="0.25">
      <c r="A1136" s="9" t="str">
        <f t="shared" si="17"/>
        <v/>
      </c>
    </row>
    <row r="1137" spans="1:1" x14ac:dyDescent="0.25">
      <c r="A1137" s="9" t="str">
        <f t="shared" si="17"/>
        <v/>
      </c>
    </row>
    <row r="1138" spans="1:1" x14ac:dyDescent="0.25">
      <c r="A1138" s="9" t="str">
        <f t="shared" si="17"/>
        <v/>
      </c>
    </row>
    <row r="1139" spans="1:1" x14ac:dyDescent="0.25">
      <c r="A1139" s="9" t="str">
        <f t="shared" si="17"/>
        <v/>
      </c>
    </row>
    <row r="1140" spans="1:1" x14ac:dyDescent="0.25">
      <c r="A1140" s="9" t="str">
        <f t="shared" si="17"/>
        <v/>
      </c>
    </row>
    <row r="1141" spans="1:1" x14ac:dyDescent="0.25">
      <c r="A1141" s="9" t="str">
        <f t="shared" si="17"/>
        <v/>
      </c>
    </row>
    <row r="1142" spans="1:1" x14ac:dyDescent="0.25">
      <c r="A1142" s="9" t="str">
        <f t="shared" si="17"/>
        <v/>
      </c>
    </row>
    <row r="1143" spans="1:1" x14ac:dyDescent="0.25">
      <c r="A1143" s="9" t="str">
        <f t="shared" si="17"/>
        <v/>
      </c>
    </row>
    <row r="1144" spans="1:1" x14ac:dyDescent="0.25">
      <c r="A1144" s="9" t="str">
        <f t="shared" si="17"/>
        <v/>
      </c>
    </row>
    <row r="1145" spans="1:1" x14ac:dyDescent="0.25">
      <c r="A1145" s="9" t="str">
        <f t="shared" si="17"/>
        <v/>
      </c>
    </row>
    <row r="1146" spans="1:1" x14ac:dyDescent="0.25">
      <c r="A1146" s="9" t="str">
        <f t="shared" si="17"/>
        <v/>
      </c>
    </row>
    <row r="1147" spans="1:1" x14ac:dyDescent="0.25">
      <c r="A1147" s="9" t="str">
        <f t="shared" si="17"/>
        <v/>
      </c>
    </row>
    <row r="1148" spans="1:1" x14ac:dyDescent="0.25">
      <c r="A1148" s="9" t="str">
        <f t="shared" si="17"/>
        <v/>
      </c>
    </row>
    <row r="1149" spans="1:1" x14ac:dyDescent="0.25">
      <c r="A1149" s="9" t="str">
        <f t="shared" si="17"/>
        <v/>
      </c>
    </row>
    <row r="1150" spans="1:1" x14ac:dyDescent="0.25">
      <c r="A1150" s="9" t="str">
        <f t="shared" si="17"/>
        <v/>
      </c>
    </row>
    <row r="1151" spans="1:1" x14ac:dyDescent="0.25">
      <c r="A1151" s="9" t="str">
        <f t="shared" si="17"/>
        <v/>
      </c>
    </row>
    <row r="1152" spans="1:1" x14ac:dyDescent="0.25">
      <c r="A1152" s="9" t="str">
        <f t="shared" si="17"/>
        <v/>
      </c>
    </row>
    <row r="1153" spans="1:1" x14ac:dyDescent="0.25">
      <c r="A1153" s="9" t="str">
        <f t="shared" si="17"/>
        <v/>
      </c>
    </row>
    <row r="1154" spans="1:1" x14ac:dyDescent="0.25">
      <c r="A1154" s="9" t="str">
        <f t="shared" si="17"/>
        <v/>
      </c>
    </row>
    <row r="1155" spans="1:1" x14ac:dyDescent="0.25">
      <c r="A1155" s="9" t="str">
        <f t="shared" ref="A1155:A1218" si="18">IF(M1155="","",DATEVALUE(M1155))</f>
        <v/>
      </c>
    </row>
    <row r="1156" spans="1:1" x14ac:dyDescent="0.25">
      <c r="A1156" s="9" t="str">
        <f t="shared" si="18"/>
        <v/>
      </c>
    </row>
    <row r="1157" spans="1:1" x14ac:dyDescent="0.25">
      <c r="A1157" s="9" t="str">
        <f t="shared" si="18"/>
        <v/>
      </c>
    </row>
    <row r="1158" spans="1:1" x14ac:dyDescent="0.25">
      <c r="A1158" s="9" t="str">
        <f t="shared" si="18"/>
        <v/>
      </c>
    </row>
    <row r="1159" spans="1:1" x14ac:dyDescent="0.25">
      <c r="A1159" s="9" t="str">
        <f t="shared" si="18"/>
        <v/>
      </c>
    </row>
    <row r="1160" spans="1:1" x14ac:dyDescent="0.25">
      <c r="A1160" s="9" t="str">
        <f t="shared" si="18"/>
        <v/>
      </c>
    </row>
    <row r="1161" spans="1:1" x14ac:dyDescent="0.25">
      <c r="A1161" s="9" t="str">
        <f t="shared" si="18"/>
        <v/>
      </c>
    </row>
    <row r="1162" spans="1:1" x14ac:dyDescent="0.25">
      <c r="A1162" s="9" t="str">
        <f t="shared" si="18"/>
        <v/>
      </c>
    </row>
    <row r="1163" spans="1:1" x14ac:dyDescent="0.25">
      <c r="A1163" s="9" t="str">
        <f t="shared" si="18"/>
        <v/>
      </c>
    </row>
    <row r="1164" spans="1:1" x14ac:dyDescent="0.25">
      <c r="A1164" s="9" t="str">
        <f t="shared" si="18"/>
        <v/>
      </c>
    </row>
    <row r="1165" spans="1:1" x14ac:dyDescent="0.25">
      <c r="A1165" s="9" t="str">
        <f t="shared" si="18"/>
        <v/>
      </c>
    </row>
    <row r="1166" spans="1:1" x14ac:dyDescent="0.25">
      <c r="A1166" s="9" t="str">
        <f t="shared" si="18"/>
        <v/>
      </c>
    </row>
    <row r="1167" spans="1:1" x14ac:dyDescent="0.25">
      <c r="A1167" s="9" t="str">
        <f t="shared" si="18"/>
        <v/>
      </c>
    </row>
    <row r="1168" spans="1:1" x14ac:dyDescent="0.25">
      <c r="A1168" s="9" t="str">
        <f t="shared" si="18"/>
        <v/>
      </c>
    </row>
    <row r="1169" spans="1:1" x14ac:dyDescent="0.25">
      <c r="A1169" s="9" t="str">
        <f t="shared" si="18"/>
        <v/>
      </c>
    </row>
    <row r="1170" spans="1:1" x14ac:dyDescent="0.25">
      <c r="A1170" s="9" t="str">
        <f t="shared" si="18"/>
        <v/>
      </c>
    </row>
    <row r="1171" spans="1:1" x14ac:dyDescent="0.25">
      <c r="A1171" s="9" t="str">
        <f t="shared" si="18"/>
        <v/>
      </c>
    </row>
    <row r="1172" spans="1:1" x14ac:dyDescent="0.25">
      <c r="A1172" s="9" t="str">
        <f t="shared" si="18"/>
        <v/>
      </c>
    </row>
    <row r="1173" spans="1:1" x14ac:dyDescent="0.25">
      <c r="A1173" s="9" t="str">
        <f t="shared" si="18"/>
        <v/>
      </c>
    </row>
    <row r="1174" spans="1:1" x14ac:dyDescent="0.25">
      <c r="A1174" s="9" t="str">
        <f t="shared" si="18"/>
        <v/>
      </c>
    </row>
    <row r="1175" spans="1:1" x14ac:dyDescent="0.25">
      <c r="A1175" s="9" t="str">
        <f t="shared" si="18"/>
        <v/>
      </c>
    </row>
    <row r="1176" spans="1:1" x14ac:dyDescent="0.25">
      <c r="A1176" s="9" t="str">
        <f t="shared" si="18"/>
        <v/>
      </c>
    </row>
    <row r="1177" spans="1:1" x14ac:dyDescent="0.25">
      <c r="A1177" s="9" t="str">
        <f t="shared" si="18"/>
        <v/>
      </c>
    </row>
    <row r="1178" spans="1:1" x14ac:dyDescent="0.25">
      <c r="A1178" s="9" t="str">
        <f t="shared" si="18"/>
        <v/>
      </c>
    </row>
    <row r="1179" spans="1:1" x14ac:dyDescent="0.25">
      <c r="A1179" s="9" t="str">
        <f t="shared" si="18"/>
        <v/>
      </c>
    </row>
    <row r="1180" spans="1:1" x14ac:dyDescent="0.25">
      <c r="A1180" s="9" t="str">
        <f t="shared" si="18"/>
        <v/>
      </c>
    </row>
    <row r="1181" spans="1:1" x14ac:dyDescent="0.25">
      <c r="A1181" s="9" t="str">
        <f t="shared" si="18"/>
        <v/>
      </c>
    </row>
    <row r="1182" spans="1:1" x14ac:dyDescent="0.25">
      <c r="A1182" s="9" t="str">
        <f t="shared" si="18"/>
        <v/>
      </c>
    </row>
    <row r="1183" spans="1:1" x14ac:dyDescent="0.25">
      <c r="A1183" s="9" t="str">
        <f t="shared" si="18"/>
        <v/>
      </c>
    </row>
    <row r="1184" spans="1:1" x14ac:dyDescent="0.25">
      <c r="A1184" s="9" t="str">
        <f t="shared" si="18"/>
        <v/>
      </c>
    </row>
    <row r="1185" spans="1:1" x14ac:dyDescent="0.25">
      <c r="A1185" s="9" t="str">
        <f t="shared" si="18"/>
        <v/>
      </c>
    </row>
    <row r="1186" spans="1:1" x14ac:dyDescent="0.25">
      <c r="A1186" s="9" t="str">
        <f t="shared" si="18"/>
        <v/>
      </c>
    </row>
    <row r="1187" spans="1:1" x14ac:dyDescent="0.25">
      <c r="A1187" s="9" t="str">
        <f t="shared" si="18"/>
        <v/>
      </c>
    </row>
    <row r="1188" spans="1:1" x14ac:dyDescent="0.25">
      <c r="A1188" s="9" t="str">
        <f t="shared" si="18"/>
        <v/>
      </c>
    </row>
    <row r="1189" spans="1:1" x14ac:dyDescent="0.25">
      <c r="A1189" s="9" t="str">
        <f t="shared" si="18"/>
        <v/>
      </c>
    </row>
    <row r="1190" spans="1:1" x14ac:dyDescent="0.25">
      <c r="A1190" s="9" t="str">
        <f t="shared" si="18"/>
        <v/>
      </c>
    </row>
    <row r="1191" spans="1:1" x14ac:dyDescent="0.25">
      <c r="A1191" s="9" t="str">
        <f t="shared" si="18"/>
        <v/>
      </c>
    </row>
    <row r="1192" spans="1:1" x14ac:dyDescent="0.25">
      <c r="A1192" s="9" t="str">
        <f t="shared" si="18"/>
        <v/>
      </c>
    </row>
    <row r="1193" spans="1:1" x14ac:dyDescent="0.25">
      <c r="A1193" s="9" t="str">
        <f t="shared" si="18"/>
        <v/>
      </c>
    </row>
    <row r="1194" spans="1:1" x14ac:dyDescent="0.25">
      <c r="A1194" s="9" t="str">
        <f t="shared" si="18"/>
        <v/>
      </c>
    </row>
    <row r="1195" spans="1:1" x14ac:dyDescent="0.25">
      <c r="A1195" s="9" t="str">
        <f t="shared" si="18"/>
        <v/>
      </c>
    </row>
    <row r="1196" spans="1:1" x14ac:dyDescent="0.25">
      <c r="A1196" s="9" t="str">
        <f t="shared" si="18"/>
        <v/>
      </c>
    </row>
    <row r="1197" spans="1:1" x14ac:dyDescent="0.25">
      <c r="A1197" s="9" t="str">
        <f t="shared" si="18"/>
        <v/>
      </c>
    </row>
    <row r="1198" spans="1:1" x14ac:dyDescent="0.25">
      <c r="A1198" s="9" t="str">
        <f t="shared" si="18"/>
        <v/>
      </c>
    </row>
    <row r="1199" spans="1:1" x14ac:dyDescent="0.25">
      <c r="A1199" s="9" t="str">
        <f t="shared" si="18"/>
        <v/>
      </c>
    </row>
    <row r="1200" spans="1:1" x14ac:dyDescent="0.25">
      <c r="A1200" s="9" t="str">
        <f t="shared" si="18"/>
        <v/>
      </c>
    </row>
    <row r="1201" spans="1:1" x14ac:dyDescent="0.25">
      <c r="A1201" s="9" t="str">
        <f t="shared" si="18"/>
        <v/>
      </c>
    </row>
    <row r="1202" spans="1:1" x14ac:dyDescent="0.25">
      <c r="A1202" s="9" t="str">
        <f t="shared" si="18"/>
        <v/>
      </c>
    </row>
    <row r="1203" spans="1:1" x14ac:dyDescent="0.25">
      <c r="A1203" s="9" t="str">
        <f t="shared" si="18"/>
        <v/>
      </c>
    </row>
    <row r="1204" spans="1:1" x14ac:dyDescent="0.25">
      <c r="A1204" s="9" t="str">
        <f t="shared" si="18"/>
        <v/>
      </c>
    </row>
    <row r="1205" spans="1:1" x14ac:dyDescent="0.25">
      <c r="A1205" s="9" t="str">
        <f t="shared" si="18"/>
        <v/>
      </c>
    </row>
    <row r="1206" spans="1:1" x14ac:dyDescent="0.25">
      <c r="A1206" s="9" t="str">
        <f t="shared" si="18"/>
        <v/>
      </c>
    </row>
    <row r="1207" spans="1:1" x14ac:dyDescent="0.25">
      <c r="A1207" s="9" t="str">
        <f t="shared" si="18"/>
        <v/>
      </c>
    </row>
    <row r="1208" spans="1:1" x14ac:dyDescent="0.25">
      <c r="A1208" s="9" t="str">
        <f t="shared" si="18"/>
        <v/>
      </c>
    </row>
    <row r="1209" spans="1:1" x14ac:dyDescent="0.25">
      <c r="A1209" s="9" t="str">
        <f t="shared" si="18"/>
        <v/>
      </c>
    </row>
    <row r="1210" spans="1:1" x14ac:dyDescent="0.25">
      <c r="A1210" s="9" t="str">
        <f t="shared" si="18"/>
        <v/>
      </c>
    </row>
    <row r="1211" spans="1:1" x14ac:dyDescent="0.25">
      <c r="A1211" s="9" t="str">
        <f t="shared" si="18"/>
        <v/>
      </c>
    </row>
    <row r="1212" spans="1:1" x14ac:dyDescent="0.25">
      <c r="A1212" s="9" t="str">
        <f t="shared" si="18"/>
        <v/>
      </c>
    </row>
    <row r="1213" spans="1:1" x14ac:dyDescent="0.25">
      <c r="A1213" s="9" t="str">
        <f t="shared" si="18"/>
        <v/>
      </c>
    </row>
    <row r="1214" spans="1:1" x14ac:dyDescent="0.25">
      <c r="A1214" s="9" t="str">
        <f t="shared" si="18"/>
        <v/>
      </c>
    </row>
    <row r="1215" spans="1:1" x14ac:dyDescent="0.25">
      <c r="A1215" s="9" t="str">
        <f t="shared" si="18"/>
        <v/>
      </c>
    </row>
    <row r="1216" spans="1:1" x14ac:dyDescent="0.25">
      <c r="A1216" s="9" t="str">
        <f t="shared" si="18"/>
        <v/>
      </c>
    </row>
    <row r="1217" spans="1:1" x14ac:dyDescent="0.25">
      <c r="A1217" s="9" t="str">
        <f t="shared" si="18"/>
        <v/>
      </c>
    </row>
    <row r="1218" spans="1:1" x14ac:dyDescent="0.25">
      <c r="A1218" s="9" t="str">
        <f t="shared" si="18"/>
        <v/>
      </c>
    </row>
    <row r="1219" spans="1:1" x14ac:dyDescent="0.25">
      <c r="A1219" s="9" t="str">
        <f t="shared" ref="A1219:A1282" si="19">IF(M1219="","",DATEVALUE(M1219))</f>
        <v/>
      </c>
    </row>
    <row r="1220" spans="1:1" x14ac:dyDescent="0.25">
      <c r="A1220" s="9" t="str">
        <f t="shared" si="19"/>
        <v/>
      </c>
    </row>
    <row r="1221" spans="1:1" x14ac:dyDescent="0.25">
      <c r="A1221" s="9" t="str">
        <f t="shared" si="19"/>
        <v/>
      </c>
    </row>
    <row r="1222" spans="1:1" x14ac:dyDescent="0.25">
      <c r="A1222" s="9" t="str">
        <f t="shared" si="19"/>
        <v/>
      </c>
    </row>
    <row r="1223" spans="1:1" x14ac:dyDescent="0.25">
      <c r="A1223" s="9" t="str">
        <f t="shared" si="19"/>
        <v/>
      </c>
    </row>
    <row r="1224" spans="1:1" x14ac:dyDescent="0.25">
      <c r="A1224" s="9" t="str">
        <f t="shared" si="19"/>
        <v/>
      </c>
    </row>
    <row r="1225" spans="1:1" x14ac:dyDescent="0.25">
      <c r="A1225" s="9" t="str">
        <f t="shared" si="19"/>
        <v/>
      </c>
    </row>
    <row r="1226" spans="1:1" x14ac:dyDescent="0.25">
      <c r="A1226" s="9" t="str">
        <f t="shared" si="19"/>
        <v/>
      </c>
    </row>
    <row r="1227" spans="1:1" x14ac:dyDescent="0.25">
      <c r="A1227" s="9" t="str">
        <f t="shared" si="19"/>
        <v/>
      </c>
    </row>
    <row r="1228" spans="1:1" x14ac:dyDescent="0.25">
      <c r="A1228" s="9" t="str">
        <f t="shared" si="19"/>
        <v/>
      </c>
    </row>
    <row r="1229" spans="1:1" x14ac:dyDescent="0.25">
      <c r="A1229" s="9" t="str">
        <f t="shared" si="19"/>
        <v/>
      </c>
    </row>
    <row r="1230" spans="1:1" x14ac:dyDescent="0.25">
      <c r="A1230" s="9" t="str">
        <f t="shared" si="19"/>
        <v/>
      </c>
    </row>
    <row r="1231" spans="1:1" x14ac:dyDescent="0.25">
      <c r="A1231" s="9" t="str">
        <f t="shared" si="19"/>
        <v/>
      </c>
    </row>
    <row r="1232" spans="1:1" x14ac:dyDescent="0.25">
      <c r="A1232" s="9" t="str">
        <f t="shared" si="19"/>
        <v/>
      </c>
    </row>
    <row r="1233" spans="1:1" x14ac:dyDescent="0.25">
      <c r="A1233" s="9" t="str">
        <f t="shared" si="19"/>
        <v/>
      </c>
    </row>
    <row r="1234" spans="1:1" x14ac:dyDescent="0.25">
      <c r="A1234" s="9" t="str">
        <f t="shared" si="19"/>
        <v/>
      </c>
    </row>
    <row r="1235" spans="1:1" x14ac:dyDescent="0.25">
      <c r="A1235" s="9" t="str">
        <f t="shared" si="19"/>
        <v/>
      </c>
    </row>
    <row r="1236" spans="1:1" x14ac:dyDescent="0.25">
      <c r="A1236" s="9" t="str">
        <f t="shared" si="19"/>
        <v/>
      </c>
    </row>
    <row r="1237" spans="1:1" x14ac:dyDescent="0.25">
      <c r="A1237" s="9" t="str">
        <f t="shared" si="19"/>
        <v/>
      </c>
    </row>
    <row r="1238" spans="1:1" x14ac:dyDescent="0.25">
      <c r="A1238" s="9" t="str">
        <f t="shared" si="19"/>
        <v/>
      </c>
    </row>
    <row r="1239" spans="1:1" x14ac:dyDescent="0.25">
      <c r="A1239" s="9" t="str">
        <f t="shared" si="19"/>
        <v/>
      </c>
    </row>
    <row r="1240" spans="1:1" x14ac:dyDescent="0.25">
      <c r="A1240" s="9" t="str">
        <f t="shared" si="19"/>
        <v/>
      </c>
    </row>
    <row r="1241" spans="1:1" x14ac:dyDescent="0.25">
      <c r="A1241" s="9" t="str">
        <f t="shared" si="19"/>
        <v/>
      </c>
    </row>
    <row r="1242" spans="1:1" x14ac:dyDescent="0.25">
      <c r="A1242" s="9" t="str">
        <f t="shared" si="19"/>
        <v/>
      </c>
    </row>
    <row r="1243" spans="1:1" x14ac:dyDescent="0.25">
      <c r="A1243" s="9" t="str">
        <f t="shared" si="19"/>
        <v/>
      </c>
    </row>
    <row r="1244" spans="1:1" x14ac:dyDescent="0.25">
      <c r="A1244" s="9" t="str">
        <f t="shared" si="19"/>
        <v/>
      </c>
    </row>
    <row r="1245" spans="1:1" x14ac:dyDescent="0.25">
      <c r="A1245" s="9" t="str">
        <f t="shared" si="19"/>
        <v/>
      </c>
    </row>
    <row r="1246" spans="1:1" x14ac:dyDescent="0.25">
      <c r="A1246" s="9" t="str">
        <f t="shared" si="19"/>
        <v/>
      </c>
    </row>
    <row r="1247" spans="1:1" x14ac:dyDescent="0.25">
      <c r="A1247" s="9" t="str">
        <f t="shared" si="19"/>
        <v/>
      </c>
    </row>
    <row r="1248" spans="1:1" x14ac:dyDescent="0.25">
      <c r="A1248" s="9" t="str">
        <f t="shared" si="19"/>
        <v/>
      </c>
    </row>
    <row r="1249" spans="1:1" x14ac:dyDescent="0.25">
      <c r="A1249" s="9" t="str">
        <f t="shared" si="19"/>
        <v/>
      </c>
    </row>
    <row r="1250" spans="1:1" x14ac:dyDescent="0.25">
      <c r="A1250" s="9" t="str">
        <f t="shared" si="19"/>
        <v/>
      </c>
    </row>
    <row r="1251" spans="1:1" x14ac:dyDescent="0.25">
      <c r="A1251" s="9" t="str">
        <f t="shared" si="19"/>
        <v/>
      </c>
    </row>
    <row r="1252" spans="1:1" x14ac:dyDescent="0.25">
      <c r="A1252" s="9" t="str">
        <f t="shared" si="19"/>
        <v/>
      </c>
    </row>
    <row r="1253" spans="1:1" x14ac:dyDescent="0.25">
      <c r="A1253" s="9" t="str">
        <f t="shared" si="19"/>
        <v/>
      </c>
    </row>
    <row r="1254" spans="1:1" x14ac:dyDescent="0.25">
      <c r="A1254" s="9" t="str">
        <f t="shared" si="19"/>
        <v/>
      </c>
    </row>
    <row r="1255" spans="1:1" x14ac:dyDescent="0.25">
      <c r="A1255" s="9" t="str">
        <f t="shared" si="19"/>
        <v/>
      </c>
    </row>
    <row r="1256" spans="1:1" x14ac:dyDescent="0.25">
      <c r="A1256" s="9" t="str">
        <f t="shared" si="19"/>
        <v/>
      </c>
    </row>
    <row r="1257" spans="1:1" x14ac:dyDescent="0.25">
      <c r="A1257" s="9" t="str">
        <f t="shared" si="19"/>
        <v/>
      </c>
    </row>
    <row r="1258" spans="1:1" x14ac:dyDescent="0.25">
      <c r="A1258" s="9" t="str">
        <f t="shared" si="19"/>
        <v/>
      </c>
    </row>
    <row r="1259" spans="1:1" x14ac:dyDescent="0.25">
      <c r="A1259" s="9" t="str">
        <f t="shared" si="19"/>
        <v/>
      </c>
    </row>
    <row r="1260" spans="1:1" x14ac:dyDescent="0.25">
      <c r="A1260" s="9" t="str">
        <f t="shared" si="19"/>
        <v/>
      </c>
    </row>
    <row r="1261" spans="1:1" x14ac:dyDescent="0.25">
      <c r="A1261" s="9" t="str">
        <f t="shared" si="19"/>
        <v/>
      </c>
    </row>
    <row r="1262" spans="1:1" x14ac:dyDescent="0.25">
      <c r="A1262" s="9" t="str">
        <f t="shared" si="19"/>
        <v/>
      </c>
    </row>
    <row r="1263" spans="1:1" x14ac:dyDescent="0.25">
      <c r="A1263" s="9" t="str">
        <f t="shared" si="19"/>
        <v/>
      </c>
    </row>
    <row r="1264" spans="1:1" x14ac:dyDescent="0.25">
      <c r="A1264" s="9" t="str">
        <f t="shared" si="19"/>
        <v/>
      </c>
    </row>
    <row r="1265" spans="1:1" x14ac:dyDescent="0.25">
      <c r="A1265" s="9" t="str">
        <f t="shared" si="19"/>
        <v/>
      </c>
    </row>
    <row r="1266" spans="1:1" x14ac:dyDescent="0.25">
      <c r="A1266" s="9" t="str">
        <f t="shared" si="19"/>
        <v/>
      </c>
    </row>
    <row r="1267" spans="1:1" x14ac:dyDescent="0.25">
      <c r="A1267" s="9" t="str">
        <f t="shared" si="19"/>
        <v/>
      </c>
    </row>
    <row r="1268" spans="1:1" x14ac:dyDescent="0.25">
      <c r="A1268" s="9" t="str">
        <f t="shared" si="19"/>
        <v/>
      </c>
    </row>
    <row r="1269" spans="1:1" x14ac:dyDescent="0.25">
      <c r="A1269" s="9" t="str">
        <f t="shared" si="19"/>
        <v/>
      </c>
    </row>
    <row r="1270" spans="1:1" x14ac:dyDescent="0.25">
      <c r="A1270" s="9" t="str">
        <f t="shared" si="19"/>
        <v/>
      </c>
    </row>
    <row r="1271" spans="1:1" x14ac:dyDescent="0.25">
      <c r="A1271" s="9" t="str">
        <f t="shared" si="19"/>
        <v/>
      </c>
    </row>
    <row r="1272" spans="1:1" x14ac:dyDescent="0.25">
      <c r="A1272" s="9" t="str">
        <f t="shared" si="19"/>
        <v/>
      </c>
    </row>
    <row r="1273" spans="1:1" x14ac:dyDescent="0.25">
      <c r="A1273" s="9" t="str">
        <f t="shared" si="19"/>
        <v/>
      </c>
    </row>
    <row r="1274" spans="1:1" x14ac:dyDescent="0.25">
      <c r="A1274" s="9" t="str">
        <f t="shared" si="19"/>
        <v/>
      </c>
    </row>
    <row r="1275" spans="1:1" x14ac:dyDescent="0.25">
      <c r="A1275" s="9" t="str">
        <f t="shared" si="19"/>
        <v/>
      </c>
    </row>
    <row r="1276" spans="1:1" x14ac:dyDescent="0.25">
      <c r="A1276" s="9" t="str">
        <f t="shared" si="19"/>
        <v/>
      </c>
    </row>
    <row r="1277" spans="1:1" x14ac:dyDescent="0.25">
      <c r="A1277" s="9" t="str">
        <f t="shared" si="19"/>
        <v/>
      </c>
    </row>
    <row r="1278" spans="1:1" x14ac:dyDescent="0.25">
      <c r="A1278" s="9" t="str">
        <f t="shared" si="19"/>
        <v/>
      </c>
    </row>
    <row r="1279" spans="1:1" x14ac:dyDescent="0.25">
      <c r="A1279" s="9" t="str">
        <f t="shared" si="19"/>
        <v/>
      </c>
    </row>
    <row r="1280" spans="1:1" x14ac:dyDescent="0.25">
      <c r="A1280" s="9" t="str">
        <f t="shared" si="19"/>
        <v/>
      </c>
    </row>
    <row r="1281" spans="1:1" x14ac:dyDescent="0.25">
      <c r="A1281" s="9" t="str">
        <f t="shared" si="19"/>
        <v/>
      </c>
    </row>
    <row r="1282" spans="1:1" x14ac:dyDescent="0.25">
      <c r="A1282" s="9" t="str">
        <f t="shared" si="19"/>
        <v/>
      </c>
    </row>
    <row r="1283" spans="1:1" x14ac:dyDescent="0.25">
      <c r="A1283" s="9" t="str">
        <f t="shared" ref="A1283:A1346" si="20">IF(M1283="","",DATEVALUE(M1283))</f>
        <v/>
      </c>
    </row>
    <row r="1284" spans="1:1" x14ac:dyDescent="0.25">
      <c r="A1284" s="9" t="str">
        <f t="shared" si="20"/>
        <v/>
      </c>
    </row>
    <row r="1285" spans="1:1" x14ac:dyDescent="0.25">
      <c r="A1285" s="9" t="str">
        <f t="shared" si="20"/>
        <v/>
      </c>
    </row>
    <row r="1286" spans="1:1" x14ac:dyDescent="0.25">
      <c r="A1286" s="9" t="str">
        <f t="shared" si="20"/>
        <v/>
      </c>
    </row>
    <row r="1287" spans="1:1" x14ac:dyDescent="0.25">
      <c r="A1287" s="9" t="str">
        <f t="shared" si="20"/>
        <v/>
      </c>
    </row>
    <row r="1288" spans="1:1" x14ac:dyDescent="0.25">
      <c r="A1288" s="9" t="str">
        <f t="shared" si="20"/>
        <v/>
      </c>
    </row>
    <row r="1289" spans="1:1" x14ac:dyDescent="0.25">
      <c r="A1289" s="9" t="str">
        <f t="shared" si="20"/>
        <v/>
      </c>
    </row>
    <row r="1290" spans="1:1" x14ac:dyDescent="0.25">
      <c r="A1290" s="9" t="str">
        <f t="shared" si="20"/>
        <v/>
      </c>
    </row>
    <row r="1291" spans="1:1" x14ac:dyDescent="0.25">
      <c r="A1291" s="9" t="str">
        <f t="shared" si="20"/>
        <v/>
      </c>
    </row>
    <row r="1292" spans="1:1" x14ac:dyDescent="0.25">
      <c r="A1292" s="9" t="str">
        <f t="shared" si="20"/>
        <v/>
      </c>
    </row>
    <row r="1293" spans="1:1" x14ac:dyDescent="0.25">
      <c r="A1293" s="9" t="str">
        <f t="shared" si="20"/>
        <v/>
      </c>
    </row>
    <row r="1294" spans="1:1" x14ac:dyDescent="0.25">
      <c r="A1294" s="9" t="str">
        <f t="shared" si="20"/>
        <v/>
      </c>
    </row>
    <row r="1295" spans="1:1" x14ac:dyDescent="0.25">
      <c r="A1295" s="9" t="str">
        <f t="shared" si="20"/>
        <v/>
      </c>
    </row>
    <row r="1296" spans="1:1" x14ac:dyDescent="0.25">
      <c r="A1296" s="9" t="str">
        <f t="shared" si="20"/>
        <v/>
      </c>
    </row>
    <row r="1297" spans="1:1" x14ac:dyDescent="0.25">
      <c r="A1297" s="9" t="str">
        <f t="shared" si="20"/>
        <v/>
      </c>
    </row>
    <row r="1298" spans="1:1" x14ac:dyDescent="0.25">
      <c r="A1298" s="9" t="str">
        <f t="shared" si="20"/>
        <v/>
      </c>
    </row>
    <row r="1299" spans="1:1" x14ac:dyDescent="0.25">
      <c r="A1299" s="9" t="str">
        <f t="shared" si="20"/>
        <v/>
      </c>
    </row>
    <row r="1300" spans="1:1" x14ac:dyDescent="0.25">
      <c r="A1300" s="9" t="str">
        <f t="shared" si="20"/>
        <v/>
      </c>
    </row>
    <row r="1301" spans="1:1" x14ac:dyDescent="0.25">
      <c r="A1301" s="9" t="str">
        <f t="shared" si="20"/>
        <v/>
      </c>
    </row>
    <row r="1302" spans="1:1" x14ac:dyDescent="0.25">
      <c r="A1302" s="9" t="str">
        <f t="shared" si="20"/>
        <v/>
      </c>
    </row>
    <row r="1303" spans="1:1" x14ac:dyDescent="0.25">
      <c r="A1303" s="9" t="str">
        <f t="shared" si="20"/>
        <v/>
      </c>
    </row>
    <row r="1304" spans="1:1" x14ac:dyDescent="0.25">
      <c r="A1304" s="9" t="str">
        <f t="shared" si="20"/>
        <v/>
      </c>
    </row>
    <row r="1305" spans="1:1" x14ac:dyDescent="0.25">
      <c r="A1305" s="9" t="str">
        <f t="shared" si="20"/>
        <v/>
      </c>
    </row>
    <row r="1306" spans="1:1" x14ac:dyDescent="0.25">
      <c r="A1306" s="9" t="str">
        <f t="shared" si="20"/>
        <v/>
      </c>
    </row>
    <row r="1307" spans="1:1" x14ac:dyDescent="0.25">
      <c r="A1307" s="9" t="str">
        <f t="shared" si="20"/>
        <v/>
      </c>
    </row>
    <row r="1308" spans="1:1" x14ac:dyDescent="0.25">
      <c r="A1308" s="9" t="str">
        <f t="shared" si="20"/>
        <v/>
      </c>
    </row>
    <row r="1309" spans="1:1" x14ac:dyDescent="0.25">
      <c r="A1309" s="9" t="str">
        <f t="shared" si="20"/>
        <v/>
      </c>
    </row>
    <row r="1310" spans="1:1" x14ac:dyDescent="0.25">
      <c r="A1310" s="9" t="str">
        <f t="shared" si="20"/>
        <v/>
      </c>
    </row>
    <row r="1311" spans="1:1" x14ac:dyDescent="0.25">
      <c r="A1311" s="9" t="str">
        <f t="shared" si="20"/>
        <v/>
      </c>
    </row>
    <row r="1312" spans="1:1" x14ac:dyDescent="0.25">
      <c r="A1312" s="9" t="str">
        <f t="shared" si="20"/>
        <v/>
      </c>
    </row>
    <row r="1313" spans="1:1" x14ac:dyDescent="0.25">
      <c r="A1313" s="9" t="str">
        <f t="shared" si="20"/>
        <v/>
      </c>
    </row>
    <row r="1314" spans="1:1" x14ac:dyDescent="0.25">
      <c r="A1314" s="9" t="str">
        <f t="shared" si="20"/>
        <v/>
      </c>
    </row>
    <row r="1315" spans="1:1" x14ac:dyDescent="0.25">
      <c r="A1315" s="9" t="str">
        <f t="shared" si="20"/>
        <v/>
      </c>
    </row>
    <row r="1316" spans="1:1" x14ac:dyDescent="0.25">
      <c r="A1316" s="9" t="str">
        <f t="shared" si="20"/>
        <v/>
      </c>
    </row>
    <row r="1317" spans="1:1" x14ac:dyDescent="0.25">
      <c r="A1317" s="9" t="str">
        <f t="shared" si="20"/>
        <v/>
      </c>
    </row>
    <row r="1318" spans="1:1" x14ac:dyDescent="0.25">
      <c r="A1318" s="9" t="str">
        <f t="shared" si="20"/>
        <v/>
      </c>
    </row>
    <row r="1319" spans="1:1" x14ac:dyDescent="0.25">
      <c r="A1319" s="9" t="str">
        <f t="shared" si="20"/>
        <v/>
      </c>
    </row>
    <row r="1320" spans="1:1" x14ac:dyDescent="0.25">
      <c r="A1320" s="9" t="str">
        <f t="shared" si="20"/>
        <v/>
      </c>
    </row>
    <row r="1321" spans="1:1" x14ac:dyDescent="0.25">
      <c r="A1321" s="9" t="str">
        <f t="shared" si="20"/>
        <v/>
      </c>
    </row>
    <row r="1322" spans="1:1" x14ac:dyDescent="0.25">
      <c r="A1322" s="9" t="str">
        <f t="shared" si="20"/>
        <v/>
      </c>
    </row>
    <row r="1323" spans="1:1" x14ac:dyDescent="0.25">
      <c r="A1323" s="9" t="str">
        <f t="shared" si="20"/>
        <v/>
      </c>
    </row>
    <row r="1324" spans="1:1" x14ac:dyDescent="0.25">
      <c r="A1324" s="9" t="str">
        <f t="shared" si="20"/>
        <v/>
      </c>
    </row>
    <row r="1325" spans="1:1" x14ac:dyDescent="0.25">
      <c r="A1325" s="9" t="str">
        <f t="shared" si="20"/>
        <v/>
      </c>
    </row>
    <row r="1326" spans="1:1" x14ac:dyDescent="0.25">
      <c r="A1326" s="9" t="str">
        <f t="shared" si="20"/>
        <v/>
      </c>
    </row>
    <row r="1327" spans="1:1" x14ac:dyDescent="0.25">
      <c r="A1327" s="9" t="str">
        <f t="shared" si="20"/>
        <v/>
      </c>
    </row>
    <row r="1328" spans="1:1" x14ac:dyDescent="0.25">
      <c r="A1328" s="9" t="str">
        <f t="shared" si="20"/>
        <v/>
      </c>
    </row>
    <row r="1329" spans="1:1" x14ac:dyDescent="0.25">
      <c r="A1329" s="9" t="str">
        <f t="shared" si="20"/>
        <v/>
      </c>
    </row>
    <row r="1330" spans="1:1" x14ac:dyDescent="0.25">
      <c r="A1330" s="9" t="str">
        <f t="shared" si="20"/>
        <v/>
      </c>
    </row>
    <row r="1331" spans="1:1" x14ac:dyDescent="0.25">
      <c r="A1331" s="9" t="str">
        <f t="shared" si="20"/>
        <v/>
      </c>
    </row>
    <row r="1332" spans="1:1" x14ac:dyDescent="0.25">
      <c r="A1332" s="9" t="str">
        <f t="shared" si="20"/>
        <v/>
      </c>
    </row>
    <row r="1333" spans="1:1" x14ac:dyDescent="0.25">
      <c r="A1333" s="9" t="str">
        <f t="shared" si="20"/>
        <v/>
      </c>
    </row>
    <row r="1334" spans="1:1" x14ac:dyDescent="0.25">
      <c r="A1334" s="9" t="str">
        <f t="shared" si="20"/>
        <v/>
      </c>
    </row>
    <row r="1335" spans="1:1" x14ac:dyDescent="0.25">
      <c r="A1335" s="9" t="str">
        <f t="shared" si="20"/>
        <v/>
      </c>
    </row>
    <row r="1336" spans="1:1" x14ac:dyDescent="0.25">
      <c r="A1336" s="9" t="str">
        <f t="shared" si="20"/>
        <v/>
      </c>
    </row>
    <row r="1337" spans="1:1" x14ac:dyDescent="0.25">
      <c r="A1337" s="9" t="str">
        <f t="shared" si="20"/>
        <v/>
      </c>
    </row>
    <row r="1338" spans="1:1" x14ac:dyDescent="0.25">
      <c r="A1338" s="9" t="str">
        <f t="shared" si="20"/>
        <v/>
      </c>
    </row>
    <row r="1339" spans="1:1" x14ac:dyDescent="0.25">
      <c r="A1339" s="9" t="str">
        <f t="shared" si="20"/>
        <v/>
      </c>
    </row>
    <row r="1340" spans="1:1" x14ac:dyDescent="0.25">
      <c r="A1340" s="9" t="str">
        <f t="shared" si="20"/>
        <v/>
      </c>
    </row>
    <row r="1341" spans="1:1" x14ac:dyDescent="0.25">
      <c r="A1341" s="9" t="str">
        <f t="shared" si="20"/>
        <v/>
      </c>
    </row>
    <row r="1342" spans="1:1" x14ac:dyDescent="0.25">
      <c r="A1342" s="9" t="str">
        <f t="shared" si="20"/>
        <v/>
      </c>
    </row>
    <row r="1343" spans="1:1" x14ac:dyDescent="0.25">
      <c r="A1343" s="9" t="str">
        <f t="shared" si="20"/>
        <v/>
      </c>
    </row>
    <row r="1344" spans="1:1" x14ac:dyDescent="0.25">
      <c r="A1344" s="9" t="str">
        <f t="shared" si="20"/>
        <v/>
      </c>
    </row>
    <row r="1345" spans="1:1" x14ac:dyDescent="0.25">
      <c r="A1345" s="9" t="str">
        <f t="shared" si="20"/>
        <v/>
      </c>
    </row>
    <row r="1346" spans="1:1" x14ac:dyDescent="0.25">
      <c r="A1346" s="9" t="str">
        <f t="shared" si="20"/>
        <v/>
      </c>
    </row>
    <row r="1347" spans="1:1" x14ac:dyDescent="0.25">
      <c r="A1347" s="9" t="str">
        <f t="shared" ref="A1347:A1410" si="21">IF(M1347="","",DATEVALUE(M1347))</f>
        <v/>
      </c>
    </row>
    <row r="1348" spans="1:1" x14ac:dyDescent="0.25">
      <c r="A1348" s="9" t="str">
        <f t="shared" si="21"/>
        <v/>
      </c>
    </row>
    <row r="1349" spans="1:1" x14ac:dyDescent="0.25">
      <c r="A1349" s="9" t="str">
        <f t="shared" si="21"/>
        <v/>
      </c>
    </row>
    <row r="1350" spans="1:1" x14ac:dyDescent="0.25">
      <c r="A1350" s="9" t="str">
        <f t="shared" si="21"/>
        <v/>
      </c>
    </row>
    <row r="1351" spans="1:1" x14ac:dyDescent="0.25">
      <c r="A1351" s="9" t="str">
        <f t="shared" si="21"/>
        <v/>
      </c>
    </row>
    <row r="1352" spans="1:1" x14ac:dyDescent="0.25">
      <c r="A1352" s="9" t="str">
        <f t="shared" si="21"/>
        <v/>
      </c>
    </row>
    <row r="1353" spans="1:1" x14ac:dyDescent="0.25">
      <c r="A1353" s="9" t="str">
        <f t="shared" si="21"/>
        <v/>
      </c>
    </row>
    <row r="1354" spans="1:1" x14ac:dyDescent="0.25">
      <c r="A1354" s="9" t="str">
        <f t="shared" si="21"/>
        <v/>
      </c>
    </row>
    <row r="1355" spans="1:1" x14ac:dyDescent="0.25">
      <c r="A1355" s="9" t="str">
        <f t="shared" si="21"/>
        <v/>
      </c>
    </row>
    <row r="1356" spans="1:1" x14ac:dyDescent="0.25">
      <c r="A1356" s="9" t="str">
        <f t="shared" si="21"/>
        <v/>
      </c>
    </row>
    <row r="1357" spans="1:1" x14ac:dyDescent="0.25">
      <c r="A1357" s="9" t="str">
        <f t="shared" si="21"/>
        <v/>
      </c>
    </row>
    <row r="1358" spans="1:1" x14ac:dyDescent="0.25">
      <c r="A1358" s="9" t="str">
        <f t="shared" si="21"/>
        <v/>
      </c>
    </row>
    <row r="1359" spans="1:1" x14ac:dyDescent="0.25">
      <c r="A1359" s="9" t="str">
        <f t="shared" si="21"/>
        <v/>
      </c>
    </row>
    <row r="1360" spans="1:1" x14ac:dyDescent="0.25">
      <c r="A1360" s="9" t="str">
        <f t="shared" si="21"/>
        <v/>
      </c>
    </row>
    <row r="1361" spans="1:1" x14ac:dyDescent="0.25">
      <c r="A1361" s="9" t="str">
        <f t="shared" si="21"/>
        <v/>
      </c>
    </row>
    <row r="1362" spans="1:1" x14ac:dyDescent="0.25">
      <c r="A1362" s="9" t="str">
        <f t="shared" si="21"/>
        <v/>
      </c>
    </row>
    <row r="1363" spans="1:1" x14ac:dyDescent="0.25">
      <c r="A1363" s="9" t="str">
        <f t="shared" si="21"/>
        <v/>
      </c>
    </row>
    <row r="1364" spans="1:1" x14ac:dyDescent="0.25">
      <c r="A1364" s="9" t="str">
        <f t="shared" si="21"/>
        <v/>
      </c>
    </row>
    <row r="1365" spans="1:1" x14ac:dyDescent="0.25">
      <c r="A1365" s="9" t="str">
        <f t="shared" si="21"/>
        <v/>
      </c>
    </row>
    <row r="1366" spans="1:1" x14ac:dyDescent="0.25">
      <c r="A1366" s="9" t="str">
        <f t="shared" si="21"/>
        <v/>
      </c>
    </row>
    <row r="1367" spans="1:1" x14ac:dyDescent="0.25">
      <c r="A1367" s="9" t="str">
        <f t="shared" si="21"/>
        <v/>
      </c>
    </row>
    <row r="1368" spans="1:1" x14ac:dyDescent="0.25">
      <c r="A1368" s="9" t="str">
        <f t="shared" si="21"/>
        <v/>
      </c>
    </row>
    <row r="1369" spans="1:1" x14ac:dyDescent="0.25">
      <c r="A1369" s="9" t="str">
        <f t="shared" si="21"/>
        <v/>
      </c>
    </row>
    <row r="1370" spans="1:1" x14ac:dyDescent="0.25">
      <c r="A1370" s="9" t="str">
        <f t="shared" si="21"/>
        <v/>
      </c>
    </row>
    <row r="1371" spans="1:1" x14ac:dyDescent="0.25">
      <c r="A1371" s="9" t="str">
        <f t="shared" si="21"/>
        <v/>
      </c>
    </row>
    <row r="1372" spans="1:1" x14ac:dyDescent="0.25">
      <c r="A1372" s="9" t="str">
        <f t="shared" si="21"/>
        <v/>
      </c>
    </row>
    <row r="1373" spans="1:1" x14ac:dyDescent="0.25">
      <c r="A1373" s="9" t="str">
        <f t="shared" si="21"/>
        <v/>
      </c>
    </row>
    <row r="1374" spans="1:1" x14ac:dyDescent="0.25">
      <c r="A1374" s="9" t="str">
        <f t="shared" si="21"/>
        <v/>
      </c>
    </row>
    <row r="1375" spans="1:1" x14ac:dyDescent="0.25">
      <c r="A1375" s="9" t="str">
        <f t="shared" si="21"/>
        <v/>
      </c>
    </row>
    <row r="1376" spans="1:1" x14ac:dyDescent="0.25">
      <c r="A1376" s="9" t="str">
        <f t="shared" si="21"/>
        <v/>
      </c>
    </row>
    <row r="1377" spans="1:1" x14ac:dyDescent="0.25">
      <c r="A1377" s="9" t="str">
        <f t="shared" si="21"/>
        <v/>
      </c>
    </row>
    <row r="1378" spans="1:1" x14ac:dyDescent="0.25">
      <c r="A1378" s="9" t="str">
        <f t="shared" si="21"/>
        <v/>
      </c>
    </row>
    <row r="1379" spans="1:1" x14ac:dyDescent="0.25">
      <c r="A1379" s="9" t="str">
        <f t="shared" si="21"/>
        <v/>
      </c>
    </row>
    <row r="1380" spans="1:1" x14ac:dyDescent="0.25">
      <c r="A1380" s="9" t="str">
        <f t="shared" si="21"/>
        <v/>
      </c>
    </row>
    <row r="1381" spans="1:1" x14ac:dyDescent="0.25">
      <c r="A1381" s="9" t="str">
        <f t="shared" si="21"/>
        <v/>
      </c>
    </row>
    <row r="1382" spans="1:1" x14ac:dyDescent="0.25">
      <c r="A1382" s="9" t="str">
        <f t="shared" si="21"/>
        <v/>
      </c>
    </row>
    <row r="1383" spans="1:1" x14ac:dyDescent="0.25">
      <c r="A1383" s="9" t="str">
        <f t="shared" si="21"/>
        <v/>
      </c>
    </row>
    <row r="1384" spans="1:1" x14ac:dyDescent="0.25">
      <c r="A1384" s="9" t="str">
        <f t="shared" si="21"/>
        <v/>
      </c>
    </row>
    <row r="1385" spans="1:1" x14ac:dyDescent="0.25">
      <c r="A1385" s="9" t="str">
        <f t="shared" si="21"/>
        <v/>
      </c>
    </row>
    <row r="1386" spans="1:1" x14ac:dyDescent="0.25">
      <c r="A1386" s="9" t="str">
        <f t="shared" si="21"/>
        <v/>
      </c>
    </row>
    <row r="1387" spans="1:1" x14ac:dyDescent="0.25">
      <c r="A1387" s="9" t="str">
        <f t="shared" si="21"/>
        <v/>
      </c>
    </row>
    <row r="1388" spans="1:1" x14ac:dyDescent="0.25">
      <c r="A1388" s="9" t="str">
        <f t="shared" si="21"/>
        <v/>
      </c>
    </row>
    <row r="1389" spans="1:1" x14ac:dyDescent="0.25">
      <c r="A1389" s="9" t="str">
        <f t="shared" si="21"/>
        <v/>
      </c>
    </row>
    <row r="1390" spans="1:1" x14ac:dyDescent="0.25">
      <c r="A1390" s="9" t="str">
        <f t="shared" si="21"/>
        <v/>
      </c>
    </row>
    <row r="1391" spans="1:1" x14ac:dyDescent="0.25">
      <c r="A1391" s="9" t="str">
        <f t="shared" si="21"/>
        <v/>
      </c>
    </row>
    <row r="1392" spans="1:1" x14ac:dyDescent="0.25">
      <c r="A1392" s="9" t="str">
        <f t="shared" si="21"/>
        <v/>
      </c>
    </row>
    <row r="1393" spans="1:1" x14ac:dyDescent="0.25">
      <c r="A1393" s="9" t="str">
        <f t="shared" si="21"/>
        <v/>
      </c>
    </row>
    <row r="1394" spans="1:1" x14ac:dyDescent="0.25">
      <c r="A1394" s="9" t="str">
        <f t="shared" si="21"/>
        <v/>
      </c>
    </row>
    <row r="1395" spans="1:1" x14ac:dyDescent="0.25">
      <c r="A1395" s="9" t="str">
        <f t="shared" si="21"/>
        <v/>
      </c>
    </row>
    <row r="1396" spans="1:1" x14ac:dyDescent="0.25">
      <c r="A1396" s="9" t="str">
        <f t="shared" si="21"/>
        <v/>
      </c>
    </row>
    <row r="1397" spans="1:1" x14ac:dyDescent="0.25">
      <c r="A1397" s="9" t="str">
        <f t="shared" si="21"/>
        <v/>
      </c>
    </row>
    <row r="1398" spans="1:1" x14ac:dyDescent="0.25">
      <c r="A1398" s="9" t="str">
        <f t="shared" si="21"/>
        <v/>
      </c>
    </row>
    <row r="1399" spans="1:1" x14ac:dyDescent="0.25">
      <c r="A1399" s="9" t="str">
        <f t="shared" si="21"/>
        <v/>
      </c>
    </row>
    <row r="1400" spans="1:1" x14ac:dyDescent="0.25">
      <c r="A1400" s="9" t="str">
        <f t="shared" si="21"/>
        <v/>
      </c>
    </row>
    <row r="1401" spans="1:1" x14ac:dyDescent="0.25">
      <c r="A1401" s="9" t="str">
        <f t="shared" si="21"/>
        <v/>
      </c>
    </row>
    <row r="1402" spans="1:1" x14ac:dyDescent="0.25">
      <c r="A1402" s="9" t="str">
        <f t="shared" si="21"/>
        <v/>
      </c>
    </row>
    <row r="1403" spans="1:1" x14ac:dyDescent="0.25">
      <c r="A1403" s="9" t="str">
        <f t="shared" si="21"/>
        <v/>
      </c>
    </row>
    <row r="1404" spans="1:1" x14ac:dyDescent="0.25">
      <c r="A1404" s="9" t="str">
        <f t="shared" si="21"/>
        <v/>
      </c>
    </row>
    <row r="1405" spans="1:1" x14ac:dyDescent="0.25">
      <c r="A1405" s="9" t="str">
        <f t="shared" si="21"/>
        <v/>
      </c>
    </row>
    <row r="1406" spans="1:1" x14ac:dyDescent="0.25">
      <c r="A1406" s="9" t="str">
        <f t="shared" si="21"/>
        <v/>
      </c>
    </row>
    <row r="1407" spans="1:1" x14ac:dyDescent="0.25">
      <c r="A1407" s="9" t="str">
        <f t="shared" si="21"/>
        <v/>
      </c>
    </row>
    <row r="1408" spans="1:1" x14ac:dyDescent="0.25">
      <c r="A1408" s="9" t="str">
        <f t="shared" si="21"/>
        <v/>
      </c>
    </row>
    <row r="1409" spans="1:1" x14ac:dyDescent="0.25">
      <c r="A1409" s="9" t="str">
        <f t="shared" si="21"/>
        <v/>
      </c>
    </row>
    <row r="1410" spans="1:1" x14ac:dyDescent="0.25">
      <c r="A1410" s="9" t="str">
        <f t="shared" si="21"/>
        <v/>
      </c>
    </row>
    <row r="1411" spans="1:1" x14ac:dyDescent="0.25">
      <c r="A1411" s="9" t="str">
        <f t="shared" ref="A1411:A1474" si="22">IF(M1411="","",DATEVALUE(M1411))</f>
        <v/>
      </c>
    </row>
    <row r="1412" spans="1:1" x14ac:dyDescent="0.25">
      <c r="A1412" s="9" t="str">
        <f t="shared" si="22"/>
        <v/>
      </c>
    </row>
    <row r="1413" spans="1:1" x14ac:dyDescent="0.25">
      <c r="A1413" s="9" t="str">
        <f t="shared" si="22"/>
        <v/>
      </c>
    </row>
    <row r="1414" spans="1:1" x14ac:dyDescent="0.25">
      <c r="A1414" s="9" t="str">
        <f t="shared" si="22"/>
        <v/>
      </c>
    </row>
    <row r="1415" spans="1:1" x14ac:dyDescent="0.25">
      <c r="A1415" s="9" t="str">
        <f t="shared" si="22"/>
        <v/>
      </c>
    </row>
    <row r="1416" spans="1:1" x14ac:dyDescent="0.25">
      <c r="A1416" s="9" t="str">
        <f t="shared" si="22"/>
        <v/>
      </c>
    </row>
    <row r="1417" spans="1:1" x14ac:dyDescent="0.25">
      <c r="A1417" s="9" t="str">
        <f t="shared" si="22"/>
        <v/>
      </c>
    </row>
    <row r="1418" spans="1:1" x14ac:dyDescent="0.25">
      <c r="A1418" s="9" t="str">
        <f t="shared" si="22"/>
        <v/>
      </c>
    </row>
    <row r="1419" spans="1:1" x14ac:dyDescent="0.25">
      <c r="A1419" s="9" t="str">
        <f t="shared" si="22"/>
        <v/>
      </c>
    </row>
    <row r="1420" spans="1:1" x14ac:dyDescent="0.25">
      <c r="A1420" s="9" t="str">
        <f t="shared" si="22"/>
        <v/>
      </c>
    </row>
    <row r="1421" spans="1:1" x14ac:dyDescent="0.25">
      <c r="A1421" s="9" t="str">
        <f t="shared" si="22"/>
        <v/>
      </c>
    </row>
    <row r="1422" spans="1:1" x14ac:dyDescent="0.25">
      <c r="A1422" s="9" t="str">
        <f t="shared" si="22"/>
        <v/>
      </c>
    </row>
    <row r="1423" spans="1:1" x14ac:dyDescent="0.25">
      <c r="A1423" s="9" t="str">
        <f t="shared" si="22"/>
        <v/>
      </c>
    </row>
    <row r="1424" spans="1:1" x14ac:dyDescent="0.25">
      <c r="A1424" s="9" t="str">
        <f t="shared" si="22"/>
        <v/>
      </c>
    </row>
    <row r="1425" spans="1:1" x14ac:dyDescent="0.25">
      <c r="A1425" s="9" t="str">
        <f t="shared" si="22"/>
        <v/>
      </c>
    </row>
    <row r="1426" spans="1:1" x14ac:dyDescent="0.25">
      <c r="A1426" s="9" t="str">
        <f t="shared" si="22"/>
        <v/>
      </c>
    </row>
    <row r="1427" spans="1:1" x14ac:dyDescent="0.25">
      <c r="A1427" s="9" t="str">
        <f t="shared" si="22"/>
        <v/>
      </c>
    </row>
    <row r="1428" spans="1:1" x14ac:dyDescent="0.25">
      <c r="A1428" s="9" t="str">
        <f t="shared" si="22"/>
        <v/>
      </c>
    </row>
    <row r="1429" spans="1:1" x14ac:dyDescent="0.25">
      <c r="A1429" s="9" t="str">
        <f t="shared" si="22"/>
        <v/>
      </c>
    </row>
    <row r="1430" spans="1:1" x14ac:dyDescent="0.25">
      <c r="A1430" s="9" t="str">
        <f t="shared" si="22"/>
        <v/>
      </c>
    </row>
    <row r="1431" spans="1:1" x14ac:dyDescent="0.25">
      <c r="A1431" s="9" t="str">
        <f t="shared" si="22"/>
        <v/>
      </c>
    </row>
    <row r="1432" spans="1:1" x14ac:dyDescent="0.25">
      <c r="A1432" s="9" t="str">
        <f t="shared" si="22"/>
        <v/>
      </c>
    </row>
    <row r="1433" spans="1:1" x14ac:dyDescent="0.25">
      <c r="A1433" s="9" t="str">
        <f t="shared" si="22"/>
        <v/>
      </c>
    </row>
    <row r="1434" spans="1:1" x14ac:dyDescent="0.25">
      <c r="A1434" s="9" t="str">
        <f t="shared" si="22"/>
        <v/>
      </c>
    </row>
    <row r="1435" spans="1:1" x14ac:dyDescent="0.25">
      <c r="A1435" s="9" t="str">
        <f t="shared" si="22"/>
        <v/>
      </c>
    </row>
    <row r="1436" spans="1:1" x14ac:dyDescent="0.25">
      <c r="A1436" s="9" t="str">
        <f t="shared" si="22"/>
        <v/>
      </c>
    </row>
    <row r="1437" spans="1:1" x14ac:dyDescent="0.25">
      <c r="A1437" s="9" t="str">
        <f t="shared" si="22"/>
        <v/>
      </c>
    </row>
    <row r="1438" spans="1:1" x14ac:dyDescent="0.25">
      <c r="A1438" s="9" t="str">
        <f t="shared" si="22"/>
        <v/>
      </c>
    </row>
    <row r="1439" spans="1:1" x14ac:dyDescent="0.25">
      <c r="A1439" s="9" t="str">
        <f t="shared" si="22"/>
        <v/>
      </c>
    </row>
    <row r="1440" spans="1:1" x14ac:dyDescent="0.25">
      <c r="A1440" s="9" t="str">
        <f t="shared" si="22"/>
        <v/>
      </c>
    </row>
    <row r="1441" spans="1:1" x14ac:dyDescent="0.25">
      <c r="A1441" s="9" t="str">
        <f t="shared" si="22"/>
        <v/>
      </c>
    </row>
    <row r="1442" spans="1:1" x14ac:dyDescent="0.25">
      <c r="A1442" s="9" t="str">
        <f t="shared" si="22"/>
        <v/>
      </c>
    </row>
    <row r="1443" spans="1:1" x14ac:dyDescent="0.25">
      <c r="A1443" s="9" t="str">
        <f t="shared" si="22"/>
        <v/>
      </c>
    </row>
    <row r="1444" spans="1:1" x14ac:dyDescent="0.25">
      <c r="A1444" s="9" t="str">
        <f t="shared" si="22"/>
        <v/>
      </c>
    </row>
    <row r="1445" spans="1:1" x14ac:dyDescent="0.25">
      <c r="A1445" s="9" t="str">
        <f t="shared" si="22"/>
        <v/>
      </c>
    </row>
    <row r="1446" spans="1:1" x14ac:dyDescent="0.25">
      <c r="A1446" s="9" t="str">
        <f t="shared" si="22"/>
        <v/>
      </c>
    </row>
    <row r="1447" spans="1:1" x14ac:dyDescent="0.25">
      <c r="A1447" s="9" t="str">
        <f t="shared" si="22"/>
        <v/>
      </c>
    </row>
    <row r="1448" spans="1:1" x14ac:dyDescent="0.25">
      <c r="A1448" s="9" t="str">
        <f t="shared" si="22"/>
        <v/>
      </c>
    </row>
    <row r="1449" spans="1:1" x14ac:dyDescent="0.25">
      <c r="A1449" s="9" t="str">
        <f t="shared" si="22"/>
        <v/>
      </c>
    </row>
    <row r="1450" spans="1:1" x14ac:dyDescent="0.25">
      <c r="A1450" s="9" t="str">
        <f t="shared" si="22"/>
        <v/>
      </c>
    </row>
    <row r="1451" spans="1:1" x14ac:dyDescent="0.25">
      <c r="A1451" s="9" t="str">
        <f t="shared" si="22"/>
        <v/>
      </c>
    </row>
    <row r="1452" spans="1:1" x14ac:dyDescent="0.25">
      <c r="A1452" s="9" t="str">
        <f t="shared" si="22"/>
        <v/>
      </c>
    </row>
    <row r="1453" spans="1:1" x14ac:dyDescent="0.25">
      <c r="A1453" s="9" t="str">
        <f t="shared" si="22"/>
        <v/>
      </c>
    </row>
    <row r="1454" spans="1:1" x14ac:dyDescent="0.25">
      <c r="A1454" s="9" t="str">
        <f t="shared" si="22"/>
        <v/>
      </c>
    </row>
    <row r="1455" spans="1:1" x14ac:dyDescent="0.25">
      <c r="A1455" s="9" t="str">
        <f t="shared" si="22"/>
        <v/>
      </c>
    </row>
    <row r="1456" spans="1:1" x14ac:dyDescent="0.25">
      <c r="A1456" s="9" t="str">
        <f t="shared" si="22"/>
        <v/>
      </c>
    </row>
    <row r="1457" spans="1:1" x14ac:dyDescent="0.25">
      <c r="A1457" s="9" t="str">
        <f t="shared" si="22"/>
        <v/>
      </c>
    </row>
    <row r="1458" spans="1:1" x14ac:dyDescent="0.25">
      <c r="A1458" s="9" t="str">
        <f t="shared" si="22"/>
        <v/>
      </c>
    </row>
    <row r="1459" spans="1:1" x14ac:dyDescent="0.25">
      <c r="A1459" s="9" t="str">
        <f t="shared" si="22"/>
        <v/>
      </c>
    </row>
    <row r="1460" spans="1:1" x14ac:dyDescent="0.25">
      <c r="A1460" s="9" t="str">
        <f t="shared" si="22"/>
        <v/>
      </c>
    </row>
    <row r="1461" spans="1:1" x14ac:dyDescent="0.25">
      <c r="A1461" s="9" t="str">
        <f t="shared" si="22"/>
        <v/>
      </c>
    </row>
    <row r="1462" spans="1:1" x14ac:dyDescent="0.25">
      <c r="A1462" s="9" t="str">
        <f t="shared" si="22"/>
        <v/>
      </c>
    </row>
    <row r="1463" spans="1:1" x14ac:dyDescent="0.25">
      <c r="A1463" s="9" t="str">
        <f t="shared" si="22"/>
        <v/>
      </c>
    </row>
    <row r="1464" spans="1:1" x14ac:dyDescent="0.25">
      <c r="A1464" s="9" t="str">
        <f t="shared" si="22"/>
        <v/>
      </c>
    </row>
    <row r="1465" spans="1:1" x14ac:dyDescent="0.25">
      <c r="A1465" s="9" t="str">
        <f t="shared" si="22"/>
        <v/>
      </c>
    </row>
    <row r="1466" spans="1:1" x14ac:dyDescent="0.25">
      <c r="A1466" s="9" t="str">
        <f t="shared" si="22"/>
        <v/>
      </c>
    </row>
    <row r="1467" spans="1:1" x14ac:dyDescent="0.25">
      <c r="A1467" s="9" t="str">
        <f t="shared" si="22"/>
        <v/>
      </c>
    </row>
    <row r="1468" spans="1:1" x14ac:dyDescent="0.25">
      <c r="A1468" s="9" t="str">
        <f t="shared" si="22"/>
        <v/>
      </c>
    </row>
    <row r="1469" spans="1:1" x14ac:dyDescent="0.25">
      <c r="A1469" s="9" t="str">
        <f t="shared" si="22"/>
        <v/>
      </c>
    </row>
    <row r="1470" spans="1:1" x14ac:dyDescent="0.25">
      <c r="A1470" s="9" t="str">
        <f t="shared" si="22"/>
        <v/>
      </c>
    </row>
    <row r="1471" spans="1:1" x14ac:dyDescent="0.25">
      <c r="A1471" s="9" t="str">
        <f t="shared" si="22"/>
        <v/>
      </c>
    </row>
    <row r="1472" spans="1:1" x14ac:dyDescent="0.25">
      <c r="A1472" s="9" t="str">
        <f t="shared" si="22"/>
        <v/>
      </c>
    </row>
    <row r="1473" spans="1:1" x14ac:dyDescent="0.25">
      <c r="A1473" s="9" t="str">
        <f t="shared" si="22"/>
        <v/>
      </c>
    </row>
    <row r="1474" spans="1:1" x14ac:dyDescent="0.25">
      <c r="A1474" s="9" t="str">
        <f t="shared" si="22"/>
        <v/>
      </c>
    </row>
    <row r="1475" spans="1:1" x14ac:dyDescent="0.25">
      <c r="A1475" s="9" t="str">
        <f t="shared" ref="A1475:A1538" si="23">IF(M1475="","",DATEVALUE(M1475))</f>
        <v/>
      </c>
    </row>
    <row r="1476" spans="1:1" x14ac:dyDescent="0.25">
      <c r="A1476" s="9" t="str">
        <f t="shared" si="23"/>
        <v/>
      </c>
    </row>
    <row r="1477" spans="1:1" x14ac:dyDescent="0.25">
      <c r="A1477" s="9" t="str">
        <f t="shared" si="23"/>
        <v/>
      </c>
    </row>
    <row r="1478" spans="1:1" x14ac:dyDescent="0.25">
      <c r="A1478" s="9" t="str">
        <f t="shared" si="23"/>
        <v/>
      </c>
    </row>
    <row r="1479" spans="1:1" x14ac:dyDescent="0.25">
      <c r="A1479" s="9" t="str">
        <f t="shared" si="23"/>
        <v/>
      </c>
    </row>
    <row r="1480" spans="1:1" x14ac:dyDescent="0.25">
      <c r="A1480" s="9" t="str">
        <f t="shared" si="23"/>
        <v/>
      </c>
    </row>
    <row r="1481" spans="1:1" x14ac:dyDescent="0.25">
      <c r="A1481" s="9" t="str">
        <f t="shared" si="23"/>
        <v/>
      </c>
    </row>
    <row r="1482" spans="1:1" x14ac:dyDescent="0.25">
      <c r="A1482" s="9" t="str">
        <f t="shared" si="23"/>
        <v/>
      </c>
    </row>
    <row r="1483" spans="1:1" x14ac:dyDescent="0.25">
      <c r="A1483" s="9" t="str">
        <f t="shared" si="23"/>
        <v/>
      </c>
    </row>
    <row r="1484" spans="1:1" x14ac:dyDescent="0.25">
      <c r="A1484" s="9" t="str">
        <f t="shared" si="23"/>
        <v/>
      </c>
    </row>
    <row r="1485" spans="1:1" x14ac:dyDescent="0.25">
      <c r="A1485" s="9" t="str">
        <f t="shared" si="23"/>
        <v/>
      </c>
    </row>
    <row r="1486" spans="1:1" x14ac:dyDescent="0.25">
      <c r="A1486" s="9" t="str">
        <f t="shared" si="23"/>
        <v/>
      </c>
    </row>
    <row r="1487" spans="1:1" x14ac:dyDescent="0.25">
      <c r="A1487" s="9" t="str">
        <f t="shared" si="23"/>
        <v/>
      </c>
    </row>
    <row r="1488" spans="1:1" x14ac:dyDescent="0.25">
      <c r="A1488" s="9" t="str">
        <f t="shared" si="23"/>
        <v/>
      </c>
    </row>
    <row r="1489" spans="1:1" x14ac:dyDescent="0.25">
      <c r="A1489" s="9" t="str">
        <f t="shared" si="23"/>
        <v/>
      </c>
    </row>
    <row r="1490" spans="1:1" x14ac:dyDescent="0.25">
      <c r="A1490" s="9" t="str">
        <f t="shared" si="23"/>
        <v/>
      </c>
    </row>
    <row r="1491" spans="1:1" x14ac:dyDescent="0.25">
      <c r="A1491" s="9" t="str">
        <f t="shared" si="23"/>
        <v/>
      </c>
    </row>
    <row r="1492" spans="1:1" x14ac:dyDescent="0.25">
      <c r="A1492" s="9" t="str">
        <f t="shared" si="23"/>
        <v/>
      </c>
    </row>
    <row r="1493" spans="1:1" x14ac:dyDescent="0.25">
      <c r="A1493" s="9" t="str">
        <f t="shared" si="23"/>
        <v/>
      </c>
    </row>
    <row r="1494" spans="1:1" x14ac:dyDescent="0.25">
      <c r="A1494" s="9" t="str">
        <f t="shared" si="23"/>
        <v/>
      </c>
    </row>
    <row r="1495" spans="1:1" x14ac:dyDescent="0.25">
      <c r="A1495" s="9" t="str">
        <f t="shared" si="23"/>
        <v/>
      </c>
    </row>
    <row r="1496" spans="1:1" x14ac:dyDescent="0.25">
      <c r="A1496" s="9" t="str">
        <f t="shared" si="23"/>
        <v/>
      </c>
    </row>
    <row r="1497" spans="1:1" x14ac:dyDescent="0.25">
      <c r="A1497" s="9" t="str">
        <f t="shared" si="23"/>
        <v/>
      </c>
    </row>
    <row r="1498" spans="1:1" x14ac:dyDescent="0.25">
      <c r="A1498" s="9" t="str">
        <f t="shared" si="23"/>
        <v/>
      </c>
    </row>
    <row r="1499" spans="1:1" x14ac:dyDescent="0.25">
      <c r="A1499" s="9" t="str">
        <f t="shared" si="23"/>
        <v/>
      </c>
    </row>
    <row r="1500" spans="1:1" x14ac:dyDescent="0.25">
      <c r="A1500" s="9" t="str">
        <f t="shared" si="23"/>
        <v/>
      </c>
    </row>
    <row r="1501" spans="1:1" x14ac:dyDescent="0.25">
      <c r="A1501" s="9" t="str">
        <f t="shared" si="23"/>
        <v/>
      </c>
    </row>
    <row r="1502" spans="1:1" x14ac:dyDescent="0.25">
      <c r="A1502" s="9" t="str">
        <f t="shared" si="23"/>
        <v/>
      </c>
    </row>
    <row r="1503" spans="1:1" x14ac:dyDescent="0.25">
      <c r="A1503" s="9" t="str">
        <f t="shared" si="23"/>
        <v/>
      </c>
    </row>
    <row r="1504" spans="1:1" x14ac:dyDescent="0.25">
      <c r="A1504" s="9" t="str">
        <f t="shared" si="23"/>
        <v/>
      </c>
    </row>
    <row r="1505" spans="1:1" x14ac:dyDescent="0.25">
      <c r="A1505" s="9" t="str">
        <f t="shared" si="23"/>
        <v/>
      </c>
    </row>
    <row r="1506" spans="1:1" x14ac:dyDescent="0.25">
      <c r="A1506" s="9" t="str">
        <f t="shared" si="23"/>
        <v/>
      </c>
    </row>
    <row r="1507" spans="1:1" x14ac:dyDescent="0.25">
      <c r="A1507" s="9" t="str">
        <f t="shared" si="23"/>
        <v/>
      </c>
    </row>
    <row r="1508" spans="1:1" x14ac:dyDescent="0.25">
      <c r="A1508" s="9" t="str">
        <f t="shared" si="23"/>
        <v/>
      </c>
    </row>
    <row r="1509" spans="1:1" x14ac:dyDescent="0.25">
      <c r="A1509" s="9" t="str">
        <f t="shared" si="23"/>
        <v/>
      </c>
    </row>
    <row r="1510" spans="1:1" x14ac:dyDescent="0.25">
      <c r="A1510" s="9" t="str">
        <f t="shared" si="23"/>
        <v/>
      </c>
    </row>
    <row r="1511" spans="1:1" x14ac:dyDescent="0.25">
      <c r="A1511" s="9" t="str">
        <f t="shared" si="23"/>
        <v/>
      </c>
    </row>
    <row r="1512" spans="1:1" x14ac:dyDescent="0.25">
      <c r="A1512" s="9" t="str">
        <f t="shared" si="23"/>
        <v/>
      </c>
    </row>
    <row r="1513" spans="1:1" x14ac:dyDescent="0.25">
      <c r="A1513" s="9" t="str">
        <f t="shared" si="23"/>
        <v/>
      </c>
    </row>
    <row r="1514" spans="1:1" x14ac:dyDescent="0.25">
      <c r="A1514" s="9" t="str">
        <f t="shared" si="23"/>
        <v/>
      </c>
    </row>
    <row r="1515" spans="1:1" x14ac:dyDescent="0.25">
      <c r="A1515" s="9" t="str">
        <f t="shared" si="23"/>
        <v/>
      </c>
    </row>
    <row r="1516" spans="1:1" x14ac:dyDescent="0.25">
      <c r="A1516" s="9" t="str">
        <f t="shared" si="23"/>
        <v/>
      </c>
    </row>
    <row r="1517" spans="1:1" x14ac:dyDescent="0.25">
      <c r="A1517" s="9" t="str">
        <f t="shared" si="23"/>
        <v/>
      </c>
    </row>
    <row r="1518" spans="1:1" x14ac:dyDescent="0.25">
      <c r="A1518" s="9" t="str">
        <f t="shared" si="23"/>
        <v/>
      </c>
    </row>
    <row r="1519" spans="1:1" x14ac:dyDescent="0.25">
      <c r="A1519" s="9" t="str">
        <f t="shared" si="23"/>
        <v/>
      </c>
    </row>
    <row r="1520" spans="1:1" x14ac:dyDescent="0.25">
      <c r="A1520" s="9" t="str">
        <f t="shared" si="23"/>
        <v/>
      </c>
    </row>
    <row r="1521" spans="1:1" x14ac:dyDescent="0.25">
      <c r="A1521" s="9" t="str">
        <f t="shared" si="23"/>
        <v/>
      </c>
    </row>
    <row r="1522" spans="1:1" x14ac:dyDescent="0.25">
      <c r="A1522" s="9" t="str">
        <f t="shared" si="23"/>
        <v/>
      </c>
    </row>
    <row r="1523" spans="1:1" x14ac:dyDescent="0.25">
      <c r="A1523" s="9" t="str">
        <f t="shared" si="23"/>
        <v/>
      </c>
    </row>
    <row r="1524" spans="1:1" x14ac:dyDescent="0.25">
      <c r="A1524" s="9" t="str">
        <f t="shared" si="23"/>
        <v/>
      </c>
    </row>
    <row r="1525" spans="1:1" x14ac:dyDescent="0.25">
      <c r="A1525" s="9" t="str">
        <f t="shared" si="23"/>
        <v/>
      </c>
    </row>
    <row r="1526" spans="1:1" x14ac:dyDescent="0.25">
      <c r="A1526" s="9" t="str">
        <f t="shared" si="23"/>
        <v/>
      </c>
    </row>
    <row r="1527" spans="1:1" x14ac:dyDescent="0.25">
      <c r="A1527" s="9" t="str">
        <f t="shared" si="23"/>
        <v/>
      </c>
    </row>
    <row r="1528" spans="1:1" x14ac:dyDescent="0.25">
      <c r="A1528" s="9" t="str">
        <f t="shared" si="23"/>
        <v/>
      </c>
    </row>
    <row r="1529" spans="1:1" x14ac:dyDescent="0.25">
      <c r="A1529" s="9" t="str">
        <f t="shared" si="23"/>
        <v/>
      </c>
    </row>
    <row r="1530" spans="1:1" x14ac:dyDescent="0.25">
      <c r="A1530" s="9" t="str">
        <f t="shared" si="23"/>
        <v/>
      </c>
    </row>
    <row r="1531" spans="1:1" x14ac:dyDescent="0.25">
      <c r="A1531" s="9" t="str">
        <f t="shared" si="23"/>
        <v/>
      </c>
    </row>
    <row r="1532" spans="1:1" x14ac:dyDescent="0.25">
      <c r="A1532" s="9" t="str">
        <f t="shared" si="23"/>
        <v/>
      </c>
    </row>
    <row r="1533" spans="1:1" x14ac:dyDescent="0.25">
      <c r="A1533" s="9" t="str">
        <f t="shared" si="23"/>
        <v/>
      </c>
    </row>
    <row r="1534" spans="1:1" x14ac:dyDescent="0.25">
      <c r="A1534" s="9" t="str">
        <f t="shared" si="23"/>
        <v/>
      </c>
    </row>
    <row r="1535" spans="1:1" x14ac:dyDescent="0.25">
      <c r="A1535" s="9" t="str">
        <f t="shared" si="23"/>
        <v/>
      </c>
    </row>
    <row r="1536" spans="1:1" x14ac:dyDescent="0.25">
      <c r="A1536" s="9" t="str">
        <f t="shared" si="23"/>
        <v/>
      </c>
    </row>
    <row r="1537" spans="1:1" x14ac:dyDescent="0.25">
      <c r="A1537" s="9" t="str">
        <f t="shared" si="23"/>
        <v/>
      </c>
    </row>
    <row r="1538" spans="1:1" x14ac:dyDescent="0.25">
      <c r="A1538" s="9" t="str">
        <f t="shared" si="23"/>
        <v/>
      </c>
    </row>
    <row r="1539" spans="1:1" x14ac:dyDescent="0.25">
      <c r="A1539" s="9" t="str">
        <f t="shared" ref="A1539:A1602" si="24">IF(M1539="","",DATEVALUE(M1539))</f>
        <v/>
      </c>
    </row>
    <row r="1540" spans="1:1" x14ac:dyDescent="0.25">
      <c r="A1540" s="9" t="str">
        <f t="shared" si="24"/>
        <v/>
      </c>
    </row>
    <row r="1541" spans="1:1" x14ac:dyDescent="0.25">
      <c r="A1541" s="9" t="str">
        <f t="shared" si="24"/>
        <v/>
      </c>
    </row>
    <row r="1542" spans="1:1" x14ac:dyDescent="0.25">
      <c r="A1542" s="9" t="str">
        <f t="shared" si="24"/>
        <v/>
      </c>
    </row>
    <row r="1543" spans="1:1" x14ac:dyDescent="0.25">
      <c r="A1543" s="9" t="str">
        <f t="shared" si="24"/>
        <v/>
      </c>
    </row>
    <row r="1544" spans="1:1" x14ac:dyDescent="0.25">
      <c r="A1544" s="9" t="str">
        <f t="shared" si="24"/>
        <v/>
      </c>
    </row>
    <row r="1545" spans="1:1" x14ac:dyDescent="0.25">
      <c r="A1545" s="9" t="str">
        <f t="shared" si="24"/>
        <v/>
      </c>
    </row>
    <row r="1546" spans="1:1" x14ac:dyDescent="0.25">
      <c r="A1546" s="9" t="str">
        <f t="shared" si="24"/>
        <v/>
      </c>
    </row>
    <row r="1547" spans="1:1" x14ac:dyDescent="0.25">
      <c r="A1547" s="9" t="str">
        <f t="shared" si="24"/>
        <v/>
      </c>
    </row>
    <row r="1548" spans="1:1" x14ac:dyDescent="0.25">
      <c r="A1548" s="9" t="str">
        <f t="shared" si="24"/>
        <v/>
      </c>
    </row>
    <row r="1549" spans="1:1" x14ac:dyDescent="0.25">
      <c r="A1549" s="9" t="str">
        <f t="shared" si="24"/>
        <v/>
      </c>
    </row>
    <row r="1550" spans="1:1" x14ac:dyDescent="0.25">
      <c r="A1550" s="9" t="str">
        <f t="shared" si="24"/>
        <v/>
      </c>
    </row>
    <row r="1551" spans="1:1" x14ac:dyDescent="0.25">
      <c r="A1551" s="9" t="str">
        <f t="shared" si="24"/>
        <v/>
      </c>
    </row>
    <row r="1552" spans="1:1" x14ac:dyDescent="0.25">
      <c r="A1552" s="9" t="str">
        <f t="shared" si="24"/>
        <v/>
      </c>
    </row>
    <row r="1553" spans="1:1" x14ac:dyDescent="0.25">
      <c r="A1553" s="9" t="str">
        <f t="shared" si="24"/>
        <v/>
      </c>
    </row>
    <row r="1554" spans="1:1" x14ac:dyDescent="0.25">
      <c r="A1554" s="9" t="str">
        <f t="shared" si="24"/>
        <v/>
      </c>
    </row>
    <row r="1555" spans="1:1" x14ac:dyDescent="0.25">
      <c r="A1555" s="9" t="str">
        <f t="shared" si="24"/>
        <v/>
      </c>
    </row>
    <row r="1556" spans="1:1" x14ac:dyDescent="0.25">
      <c r="A1556" s="9" t="str">
        <f t="shared" si="24"/>
        <v/>
      </c>
    </row>
    <row r="1557" spans="1:1" x14ac:dyDescent="0.25">
      <c r="A1557" s="9" t="str">
        <f t="shared" si="24"/>
        <v/>
      </c>
    </row>
    <row r="1558" spans="1:1" x14ac:dyDescent="0.25">
      <c r="A1558" s="9" t="str">
        <f t="shared" si="24"/>
        <v/>
      </c>
    </row>
    <row r="1559" spans="1:1" x14ac:dyDescent="0.25">
      <c r="A1559" s="9" t="str">
        <f t="shared" si="24"/>
        <v/>
      </c>
    </row>
    <row r="1560" spans="1:1" x14ac:dyDescent="0.25">
      <c r="A1560" s="9" t="str">
        <f t="shared" si="24"/>
        <v/>
      </c>
    </row>
    <row r="1561" spans="1:1" x14ac:dyDescent="0.25">
      <c r="A1561" s="9" t="str">
        <f t="shared" si="24"/>
        <v/>
      </c>
    </row>
    <row r="1562" spans="1:1" x14ac:dyDescent="0.25">
      <c r="A1562" s="9" t="str">
        <f t="shared" si="24"/>
        <v/>
      </c>
    </row>
    <row r="1563" spans="1:1" x14ac:dyDescent="0.25">
      <c r="A1563" s="9" t="str">
        <f t="shared" si="24"/>
        <v/>
      </c>
    </row>
    <row r="1564" spans="1:1" x14ac:dyDescent="0.25">
      <c r="A1564" s="9" t="str">
        <f t="shared" si="24"/>
        <v/>
      </c>
    </row>
    <row r="1565" spans="1:1" x14ac:dyDescent="0.25">
      <c r="A1565" s="9" t="str">
        <f t="shared" si="24"/>
        <v/>
      </c>
    </row>
    <row r="1566" spans="1:1" x14ac:dyDescent="0.25">
      <c r="A1566" s="9" t="str">
        <f t="shared" si="24"/>
        <v/>
      </c>
    </row>
    <row r="1567" spans="1:1" x14ac:dyDescent="0.25">
      <c r="A1567" s="9" t="str">
        <f t="shared" si="24"/>
        <v/>
      </c>
    </row>
    <row r="1568" spans="1:1" x14ac:dyDescent="0.25">
      <c r="A1568" s="9" t="str">
        <f t="shared" si="24"/>
        <v/>
      </c>
    </row>
    <row r="1569" spans="1:1" x14ac:dyDescent="0.25">
      <c r="A1569" s="9" t="str">
        <f t="shared" si="24"/>
        <v/>
      </c>
    </row>
    <row r="1570" spans="1:1" x14ac:dyDescent="0.25">
      <c r="A1570" s="9" t="str">
        <f t="shared" si="24"/>
        <v/>
      </c>
    </row>
    <row r="1571" spans="1:1" x14ac:dyDescent="0.25">
      <c r="A1571" s="9" t="str">
        <f t="shared" si="24"/>
        <v/>
      </c>
    </row>
    <row r="1572" spans="1:1" x14ac:dyDescent="0.25">
      <c r="A1572" s="9" t="str">
        <f t="shared" si="24"/>
        <v/>
      </c>
    </row>
    <row r="1573" spans="1:1" x14ac:dyDescent="0.25">
      <c r="A1573" s="9" t="str">
        <f t="shared" si="24"/>
        <v/>
      </c>
    </row>
    <row r="1574" spans="1:1" x14ac:dyDescent="0.25">
      <c r="A1574" s="9" t="str">
        <f t="shared" si="24"/>
        <v/>
      </c>
    </row>
    <row r="1575" spans="1:1" x14ac:dyDescent="0.25">
      <c r="A1575" s="9" t="str">
        <f t="shared" si="24"/>
        <v/>
      </c>
    </row>
    <row r="1576" spans="1:1" x14ac:dyDescent="0.25">
      <c r="A1576" s="9" t="str">
        <f t="shared" si="24"/>
        <v/>
      </c>
    </row>
    <row r="1577" spans="1:1" x14ac:dyDescent="0.25">
      <c r="A1577" s="9" t="str">
        <f t="shared" si="24"/>
        <v/>
      </c>
    </row>
    <row r="1578" spans="1:1" x14ac:dyDescent="0.25">
      <c r="A1578" s="9" t="str">
        <f t="shared" si="24"/>
        <v/>
      </c>
    </row>
    <row r="1579" spans="1:1" x14ac:dyDescent="0.25">
      <c r="A1579" s="9" t="str">
        <f t="shared" si="24"/>
        <v/>
      </c>
    </row>
    <row r="1580" spans="1:1" x14ac:dyDescent="0.25">
      <c r="A1580" s="9" t="str">
        <f t="shared" si="24"/>
        <v/>
      </c>
    </row>
    <row r="1581" spans="1:1" x14ac:dyDescent="0.25">
      <c r="A1581" s="9" t="str">
        <f t="shared" si="24"/>
        <v/>
      </c>
    </row>
    <row r="1582" spans="1:1" x14ac:dyDescent="0.25">
      <c r="A1582" s="9" t="str">
        <f t="shared" si="24"/>
        <v/>
      </c>
    </row>
    <row r="1583" spans="1:1" x14ac:dyDescent="0.25">
      <c r="A1583" s="9" t="str">
        <f t="shared" si="24"/>
        <v/>
      </c>
    </row>
    <row r="1584" spans="1:1" x14ac:dyDescent="0.25">
      <c r="A1584" s="9" t="str">
        <f t="shared" si="24"/>
        <v/>
      </c>
    </row>
    <row r="1585" spans="1:1" x14ac:dyDescent="0.25">
      <c r="A1585" s="9" t="str">
        <f t="shared" si="24"/>
        <v/>
      </c>
    </row>
    <row r="1586" spans="1:1" x14ac:dyDescent="0.25">
      <c r="A1586" s="9" t="str">
        <f t="shared" si="24"/>
        <v/>
      </c>
    </row>
    <row r="1587" spans="1:1" x14ac:dyDescent="0.25">
      <c r="A1587" s="9" t="str">
        <f t="shared" si="24"/>
        <v/>
      </c>
    </row>
    <row r="1588" spans="1:1" x14ac:dyDescent="0.25">
      <c r="A1588" s="9" t="str">
        <f t="shared" si="24"/>
        <v/>
      </c>
    </row>
    <row r="1589" spans="1:1" x14ac:dyDescent="0.25">
      <c r="A1589" s="9" t="str">
        <f t="shared" si="24"/>
        <v/>
      </c>
    </row>
    <row r="1590" spans="1:1" x14ac:dyDescent="0.25">
      <c r="A1590" s="9" t="str">
        <f t="shared" si="24"/>
        <v/>
      </c>
    </row>
    <row r="1591" spans="1:1" x14ac:dyDescent="0.25">
      <c r="A1591" s="9" t="str">
        <f t="shared" si="24"/>
        <v/>
      </c>
    </row>
    <row r="1592" spans="1:1" x14ac:dyDescent="0.25">
      <c r="A1592" s="9" t="str">
        <f t="shared" si="24"/>
        <v/>
      </c>
    </row>
    <row r="1593" spans="1:1" x14ac:dyDescent="0.25">
      <c r="A1593" s="9" t="str">
        <f t="shared" si="24"/>
        <v/>
      </c>
    </row>
    <row r="1594" spans="1:1" x14ac:dyDescent="0.25">
      <c r="A1594" s="9" t="str">
        <f t="shared" si="24"/>
        <v/>
      </c>
    </row>
    <row r="1595" spans="1:1" x14ac:dyDescent="0.25">
      <c r="A1595" s="9" t="str">
        <f t="shared" si="24"/>
        <v/>
      </c>
    </row>
    <row r="1596" spans="1:1" x14ac:dyDescent="0.25">
      <c r="A1596" s="9" t="str">
        <f t="shared" si="24"/>
        <v/>
      </c>
    </row>
    <row r="1597" spans="1:1" x14ac:dyDescent="0.25">
      <c r="A1597" s="9" t="str">
        <f t="shared" si="24"/>
        <v/>
      </c>
    </row>
    <row r="1598" spans="1:1" x14ac:dyDescent="0.25">
      <c r="A1598" s="9" t="str">
        <f t="shared" si="24"/>
        <v/>
      </c>
    </row>
    <row r="1599" spans="1:1" x14ac:dyDescent="0.25">
      <c r="A1599" s="9" t="str">
        <f t="shared" si="24"/>
        <v/>
      </c>
    </row>
    <row r="1600" spans="1:1" x14ac:dyDescent="0.25">
      <c r="A1600" s="9" t="str">
        <f t="shared" si="24"/>
        <v/>
      </c>
    </row>
    <row r="1601" spans="1:1" x14ac:dyDescent="0.25">
      <c r="A1601" s="9" t="str">
        <f t="shared" si="24"/>
        <v/>
      </c>
    </row>
    <row r="1602" spans="1:1" x14ac:dyDescent="0.25">
      <c r="A1602" s="9" t="str">
        <f t="shared" si="24"/>
        <v/>
      </c>
    </row>
    <row r="1603" spans="1:1" x14ac:dyDescent="0.25">
      <c r="A1603" s="9" t="str">
        <f t="shared" ref="A1603:A1666" si="25">IF(M1603="","",DATEVALUE(M1603))</f>
        <v/>
      </c>
    </row>
    <row r="1604" spans="1:1" x14ac:dyDescent="0.25">
      <c r="A1604" s="9" t="str">
        <f t="shared" si="25"/>
        <v/>
      </c>
    </row>
    <row r="1605" spans="1:1" x14ac:dyDescent="0.25">
      <c r="A1605" s="9" t="str">
        <f t="shared" si="25"/>
        <v/>
      </c>
    </row>
    <row r="1606" spans="1:1" x14ac:dyDescent="0.25">
      <c r="A1606" s="9" t="str">
        <f t="shared" si="25"/>
        <v/>
      </c>
    </row>
    <row r="1607" spans="1:1" x14ac:dyDescent="0.25">
      <c r="A1607" s="9" t="str">
        <f t="shared" si="25"/>
        <v/>
      </c>
    </row>
    <row r="1608" spans="1:1" x14ac:dyDescent="0.25">
      <c r="A1608" s="9" t="str">
        <f t="shared" si="25"/>
        <v/>
      </c>
    </row>
    <row r="1609" spans="1:1" x14ac:dyDescent="0.25">
      <c r="A1609" s="9" t="str">
        <f t="shared" si="25"/>
        <v/>
      </c>
    </row>
    <row r="1610" spans="1:1" x14ac:dyDescent="0.25">
      <c r="A1610" s="9" t="str">
        <f t="shared" si="25"/>
        <v/>
      </c>
    </row>
    <row r="1611" spans="1:1" x14ac:dyDescent="0.25">
      <c r="A1611" s="9" t="str">
        <f t="shared" si="25"/>
        <v/>
      </c>
    </row>
    <row r="1612" spans="1:1" x14ac:dyDescent="0.25">
      <c r="A1612" s="9" t="str">
        <f t="shared" si="25"/>
        <v/>
      </c>
    </row>
    <row r="1613" spans="1:1" x14ac:dyDescent="0.25">
      <c r="A1613" s="9" t="str">
        <f t="shared" si="25"/>
        <v/>
      </c>
    </row>
    <row r="1614" spans="1:1" x14ac:dyDescent="0.25">
      <c r="A1614" s="9" t="str">
        <f t="shared" si="25"/>
        <v/>
      </c>
    </row>
    <row r="1615" spans="1:1" x14ac:dyDescent="0.25">
      <c r="A1615" s="9" t="str">
        <f t="shared" si="25"/>
        <v/>
      </c>
    </row>
    <row r="1616" spans="1:1" x14ac:dyDescent="0.25">
      <c r="A1616" s="9" t="str">
        <f t="shared" si="25"/>
        <v/>
      </c>
    </row>
    <row r="1617" spans="1:1" x14ac:dyDescent="0.25">
      <c r="A1617" s="9" t="str">
        <f t="shared" si="25"/>
        <v/>
      </c>
    </row>
    <row r="1618" spans="1:1" x14ac:dyDescent="0.25">
      <c r="A1618" s="9" t="str">
        <f t="shared" si="25"/>
        <v/>
      </c>
    </row>
    <row r="1619" spans="1:1" x14ac:dyDescent="0.25">
      <c r="A1619" s="9" t="str">
        <f t="shared" si="25"/>
        <v/>
      </c>
    </row>
    <row r="1620" spans="1:1" x14ac:dyDescent="0.25">
      <c r="A1620" s="9" t="str">
        <f t="shared" si="25"/>
        <v/>
      </c>
    </row>
    <row r="1621" spans="1:1" x14ac:dyDescent="0.25">
      <c r="A1621" s="9" t="str">
        <f t="shared" si="25"/>
        <v/>
      </c>
    </row>
    <row r="1622" spans="1:1" x14ac:dyDescent="0.25">
      <c r="A1622" s="9" t="str">
        <f t="shared" si="25"/>
        <v/>
      </c>
    </row>
    <row r="1623" spans="1:1" x14ac:dyDescent="0.25">
      <c r="A1623" s="9" t="str">
        <f t="shared" si="25"/>
        <v/>
      </c>
    </row>
    <row r="1624" spans="1:1" x14ac:dyDescent="0.25">
      <c r="A1624" s="9" t="str">
        <f t="shared" si="25"/>
        <v/>
      </c>
    </row>
    <row r="1625" spans="1:1" x14ac:dyDescent="0.25">
      <c r="A1625" s="9" t="str">
        <f t="shared" si="25"/>
        <v/>
      </c>
    </row>
    <row r="1626" spans="1:1" x14ac:dyDescent="0.25">
      <c r="A1626" s="9" t="str">
        <f t="shared" si="25"/>
        <v/>
      </c>
    </row>
    <row r="1627" spans="1:1" x14ac:dyDescent="0.25">
      <c r="A1627" s="9" t="str">
        <f t="shared" si="25"/>
        <v/>
      </c>
    </row>
    <row r="1628" spans="1:1" x14ac:dyDescent="0.25">
      <c r="A1628" s="9" t="str">
        <f t="shared" si="25"/>
        <v/>
      </c>
    </row>
    <row r="1629" spans="1:1" x14ac:dyDescent="0.25">
      <c r="A1629" s="9" t="str">
        <f t="shared" si="25"/>
        <v/>
      </c>
    </row>
    <row r="1630" spans="1:1" x14ac:dyDescent="0.25">
      <c r="A1630" s="9" t="str">
        <f t="shared" si="25"/>
        <v/>
      </c>
    </row>
    <row r="1631" spans="1:1" x14ac:dyDescent="0.25">
      <c r="A1631" s="9" t="str">
        <f t="shared" si="25"/>
        <v/>
      </c>
    </row>
    <row r="1632" spans="1:1" x14ac:dyDescent="0.25">
      <c r="A1632" s="9" t="str">
        <f t="shared" si="25"/>
        <v/>
      </c>
    </row>
    <row r="1633" spans="1:1" x14ac:dyDescent="0.25">
      <c r="A1633" s="9" t="str">
        <f t="shared" si="25"/>
        <v/>
      </c>
    </row>
    <row r="1634" spans="1:1" x14ac:dyDescent="0.25">
      <c r="A1634" s="9" t="str">
        <f t="shared" si="25"/>
        <v/>
      </c>
    </row>
    <row r="1635" spans="1:1" x14ac:dyDescent="0.25">
      <c r="A1635" s="9" t="str">
        <f t="shared" si="25"/>
        <v/>
      </c>
    </row>
    <row r="1636" spans="1:1" x14ac:dyDescent="0.25">
      <c r="A1636" s="9" t="str">
        <f t="shared" si="25"/>
        <v/>
      </c>
    </row>
    <row r="1637" spans="1:1" x14ac:dyDescent="0.25">
      <c r="A1637" s="9" t="str">
        <f t="shared" si="25"/>
        <v/>
      </c>
    </row>
    <row r="1638" spans="1:1" x14ac:dyDescent="0.25">
      <c r="A1638" s="9" t="str">
        <f t="shared" si="25"/>
        <v/>
      </c>
    </row>
    <row r="1639" spans="1:1" x14ac:dyDescent="0.25">
      <c r="A1639" s="9" t="str">
        <f t="shared" si="25"/>
        <v/>
      </c>
    </row>
    <row r="1640" spans="1:1" x14ac:dyDescent="0.25">
      <c r="A1640" s="9" t="str">
        <f t="shared" si="25"/>
        <v/>
      </c>
    </row>
    <row r="1641" spans="1:1" x14ac:dyDescent="0.25">
      <c r="A1641" s="9" t="str">
        <f t="shared" si="25"/>
        <v/>
      </c>
    </row>
    <row r="1642" spans="1:1" x14ac:dyDescent="0.25">
      <c r="A1642" s="9" t="str">
        <f t="shared" si="25"/>
        <v/>
      </c>
    </row>
    <row r="1643" spans="1:1" x14ac:dyDescent="0.25">
      <c r="A1643" s="9" t="str">
        <f t="shared" si="25"/>
        <v/>
      </c>
    </row>
    <row r="1644" spans="1:1" x14ac:dyDescent="0.25">
      <c r="A1644" s="9" t="str">
        <f t="shared" si="25"/>
        <v/>
      </c>
    </row>
    <row r="1645" spans="1:1" x14ac:dyDescent="0.25">
      <c r="A1645" s="9" t="str">
        <f t="shared" si="25"/>
        <v/>
      </c>
    </row>
    <row r="1646" spans="1:1" x14ac:dyDescent="0.25">
      <c r="A1646" s="9" t="str">
        <f t="shared" si="25"/>
        <v/>
      </c>
    </row>
    <row r="1647" spans="1:1" x14ac:dyDescent="0.25">
      <c r="A1647" s="9" t="str">
        <f t="shared" si="25"/>
        <v/>
      </c>
    </row>
    <row r="1648" spans="1:1" x14ac:dyDescent="0.25">
      <c r="A1648" s="9" t="str">
        <f t="shared" si="25"/>
        <v/>
      </c>
    </row>
    <row r="1649" spans="1:1" x14ac:dyDescent="0.25">
      <c r="A1649" s="9" t="str">
        <f t="shared" si="25"/>
        <v/>
      </c>
    </row>
    <row r="1650" spans="1:1" x14ac:dyDescent="0.25">
      <c r="A1650" s="9" t="str">
        <f t="shared" si="25"/>
        <v/>
      </c>
    </row>
    <row r="1651" spans="1:1" x14ac:dyDescent="0.25">
      <c r="A1651" s="9" t="str">
        <f t="shared" si="25"/>
        <v/>
      </c>
    </row>
    <row r="1652" spans="1:1" x14ac:dyDescent="0.25">
      <c r="A1652" s="9" t="str">
        <f t="shared" si="25"/>
        <v/>
      </c>
    </row>
    <row r="1653" spans="1:1" x14ac:dyDescent="0.25">
      <c r="A1653" s="9" t="str">
        <f t="shared" si="25"/>
        <v/>
      </c>
    </row>
    <row r="1654" spans="1:1" x14ac:dyDescent="0.25">
      <c r="A1654" s="9" t="str">
        <f t="shared" si="25"/>
        <v/>
      </c>
    </row>
    <row r="1655" spans="1:1" x14ac:dyDescent="0.25">
      <c r="A1655" s="9" t="str">
        <f t="shared" si="25"/>
        <v/>
      </c>
    </row>
    <row r="1656" spans="1:1" x14ac:dyDescent="0.25">
      <c r="A1656" s="9" t="str">
        <f t="shared" si="25"/>
        <v/>
      </c>
    </row>
    <row r="1657" spans="1:1" x14ac:dyDescent="0.25">
      <c r="A1657" s="9" t="str">
        <f t="shared" si="25"/>
        <v/>
      </c>
    </row>
    <row r="1658" spans="1:1" x14ac:dyDescent="0.25">
      <c r="A1658" s="9" t="str">
        <f t="shared" si="25"/>
        <v/>
      </c>
    </row>
    <row r="1659" spans="1:1" x14ac:dyDescent="0.25">
      <c r="A1659" s="9" t="str">
        <f t="shared" si="25"/>
        <v/>
      </c>
    </row>
    <row r="1660" spans="1:1" x14ac:dyDescent="0.25">
      <c r="A1660" s="9" t="str">
        <f t="shared" si="25"/>
        <v/>
      </c>
    </row>
    <row r="1661" spans="1:1" x14ac:dyDescent="0.25">
      <c r="A1661" s="9" t="str">
        <f t="shared" si="25"/>
        <v/>
      </c>
    </row>
    <row r="1662" spans="1:1" x14ac:dyDescent="0.25">
      <c r="A1662" s="9" t="str">
        <f t="shared" si="25"/>
        <v/>
      </c>
    </row>
    <row r="1663" spans="1:1" x14ac:dyDescent="0.25">
      <c r="A1663" s="9" t="str">
        <f t="shared" si="25"/>
        <v/>
      </c>
    </row>
    <row r="1664" spans="1:1" x14ac:dyDescent="0.25">
      <c r="A1664" s="9" t="str">
        <f t="shared" si="25"/>
        <v/>
      </c>
    </row>
    <row r="1665" spans="1:1" x14ac:dyDescent="0.25">
      <c r="A1665" s="9" t="str">
        <f t="shared" si="25"/>
        <v/>
      </c>
    </row>
    <row r="1666" spans="1:1" x14ac:dyDescent="0.25">
      <c r="A1666" s="9" t="str">
        <f t="shared" si="25"/>
        <v/>
      </c>
    </row>
    <row r="1667" spans="1:1" x14ac:dyDescent="0.25">
      <c r="A1667" s="9" t="str">
        <f t="shared" ref="A1667:A1730" si="26">IF(M1667="","",DATEVALUE(M1667))</f>
        <v/>
      </c>
    </row>
    <row r="1668" spans="1:1" x14ac:dyDescent="0.25">
      <c r="A1668" s="9" t="str">
        <f t="shared" si="26"/>
        <v/>
      </c>
    </row>
    <row r="1669" spans="1:1" x14ac:dyDescent="0.25">
      <c r="A1669" s="9" t="str">
        <f t="shared" si="26"/>
        <v/>
      </c>
    </row>
    <row r="1670" spans="1:1" x14ac:dyDescent="0.25">
      <c r="A1670" s="9" t="str">
        <f t="shared" si="26"/>
        <v/>
      </c>
    </row>
    <row r="1671" spans="1:1" x14ac:dyDescent="0.25">
      <c r="A1671" s="9" t="str">
        <f t="shared" si="26"/>
        <v/>
      </c>
    </row>
    <row r="1672" spans="1:1" x14ac:dyDescent="0.25">
      <c r="A1672" s="9" t="str">
        <f t="shared" si="26"/>
        <v/>
      </c>
    </row>
    <row r="1673" spans="1:1" x14ac:dyDescent="0.25">
      <c r="A1673" s="9" t="str">
        <f t="shared" si="26"/>
        <v/>
      </c>
    </row>
    <row r="1674" spans="1:1" x14ac:dyDescent="0.25">
      <c r="A1674" s="9" t="str">
        <f t="shared" si="26"/>
        <v/>
      </c>
    </row>
    <row r="1675" spans="1:1" x14ac:dyDescent="0.25">
      <c r="A1675" s="9" t="str">
        <f t="shared" si="26"/>
        <v/>
      </c>
    </row>
    <row r="1676" spans="1:1" x14ac:dyDescent="0.25">
      <c r="A1676" s="9" t="str">
        <f t="shared" si="26"/>
        <v/>
      </c>
    </row>
    <row r="1677" spans="1:1" x14ac:dyDescent="0.25">
      <c r="A1677" s="9" t="str">
        <f t="shared" si="26"/>
        <v/>
      </c>
    </row>
    <row r="1678" spans="1:1" x14ac:dyDescent="0.25">
      <c r="A1678" s="9" t="str">
        <f t="shared" si="26"/>
        <v/>
      </c>
    </row>
    <row r="1679" spans="1:1" x14ac:dyDescent="0.25">
      <c r="A1679" s="9" t="str">
        <f t="shared" si="26"/>
        <v/>
      </c>
    </row>
    <row r="1680" spans="1:1" x14ac:dyDescent="0.25">
      <c r="A1680" s="9" t="str">
        <f t="shared" si="26"/>
        <v/>
      </c>
    </row>
    <row r="1681" spans="1:1" x14ac:dyDescent="0.25">
      <c r="A1681" s="9" t="str">
        <f t="shared" si="26"/>
        <v/>
      </c>
    </row>
    <row r="1682" spans="1:1" x14ac:dyDescent="0.25">
      <c r="A1682" s="9" t="str">
        <f t="shared" si="26"/>
        <v/>
      </c>
    </row>
    <row r="1683" spans="1:1" x14ac:dyDescent="0.25">
      <c r="A1683" s="9" t="str">
        <f t="shared" si="26"/>
        <v/>
      </c>
    </row>
    <row r="1684" spans="1:1" x14ac:dyDescent="0.25">
      <c r="A1684" s="9" t="str">
        <f t="shared" si="26"/>
        <v/>
      </c>
    </row>
    <row r="1685" spans="1:1" x14ac:dyDescent="0.25">
      <c r="A1685" s="9" t="str">
        <f t="shared" si="26"/>
        <v/>
      </c>
    </row>
    <row r="1686" spans="1:1" x14ac:dyDescent="0.25">
      <c r="A1686" s="9" t="str">
        <f t="shared" si="26"/>
        <v/>
      </c>
    </row>
    <row r="1687" spans="1:1" x14ac:dyDescent="0.25">
      <c r="A1687" s="9" t="str">
        <f t="shared" si="26"/>
        <v/>
      </c>
    </row>
    <row r="1688" spans="1:1" x14ac:dyDescent="0.25">
      <c r="A1688" s="9" t="str">
        <f t="shared" si="26"/>
        <v/>
      </c>
    </row>
    <row r="1689" spans="1:1" x14ac:dyDescent="0.25">
      <c r="A1689" s="9" t="str">
        <f t="shared" si="26"/>
        <v/>
      </c>
    </row>
    <row r="1690" spans="1:1" x14ac:dyDescent="0.25">
      <c r="A1690" s="9" t="str">
        <f t="shared" si="26"/>
        <v/>
      </c>
    </row>
    <row r="1691" spans="1:1" x14ac:dyDescent="0.25">
      <c r="A1691" s="9" t="str">
        <f t="shared" si="26"/>
        <v/>
      </c>
    </row>
    <row r="1692" spans="1:1" x14ac:dyDescent="0.25">
      <c r="A1692" s="9" t="str">
        <f t="shared" si="26"/>
        <v/>
      </c>
    </row>
    <row r="1693" spans="1:1" x14ac:dyDescent="0.25">
      <c r="A1693" s="9" t="str">
        <f t="shared" si="26"/>
        <v/>
      </c>
    </row>
    <row r="1694" spans="1:1" x14ac:dyDescent="0.25">
      <c r="A1694" s="9" t="str">
        <f t="shared" si="26"/>
        <v/>
      </c>
    </row>
    <row r="1695" spans="1:1" x14ac:dyDescent="0.25">
      <c r="A1695" s="9" t="str">
        <f t="shared" si="26"/>
        <v/>
      </c>
    </row>
    <row r="1696" spans="1:1" x14ac:dyDescent="0.25">
      <c r="A1696" s="9" t="str">
        <f t="shared" si="26"/>
        <v/>
      </c>
    </row>
    <row r="1697" spans="1:1" x14ac:dyDescent="0.25">
      <c r="A1697" s="9" t="str">
        <f t="shared" si="26"/>
        <v/>
      </c>
    </row>
    <row r="1698" spans="1:1" x14ac:dyDescent="0.25">
      <c r="A1698" s="9" t="str">
        <f t="shared" si="26"/>
        <v/>
      </c>
    </row>
    <row r="1699" spans="1:1" x14ac:dyDescent="0.25">
      <c r="A1699" s="9" t="str">
        <f t="shared" si="26"/>
        <v/>
      </c>
    </row>
    <row r="1700" spans="1:1" x14ac:dyDescent="0.25">
      <c r="A1700" s="9" t="str">
        <f t="shared" si="26"/>
        <v/>
      </c>
    </row>
    <row r="1701" spans="1:1" x14ac:dyDescent="0.25">
      <c r="A1701" s="9" t="str">
        <f t="shared" si="26"/>
        <v/>
      </c>
    </row>
    <row r="1702" spans="1:1" x14ac:dyDescent="0.25">
      <c r="A1702" s="9" t="str">
        <f t="shared" si="26"/>
        <v/>
      </c>
    </row>
    <row r="1703" spans="1:1" x14ac:dyDescent="0.25">
      <c r="A1703" s="9" t="str">
        <f t="shared" si="26"/>
        <v/>
      </c>
    </row>
    <row r="1704" spans="1:1" x14ac:dyDescent="0.25">
      <c r="A1704" s="9" t="str">
        <f t="shared" si="26"/>
        <v/>
      </c>
    </row>
    <row r="1705" spans="1:1" x14ac:dyDescent="0.25">
      <c r="A1705" s="9" t="str">
        <f t="shared" si="26"/>
        <v/>
      </c>
    </row>
    <row r="1706" spans="1:1" x14ac:dyDescent="0.25">
      <c r="A1706" s="9" t="str">
        <f t="shared" si="26"/>
        <v/>
      </c>
    </row>
    <row r="1707" spans="1:1" x14ac:dyDescent="0.25">
      <c r="A1707" s="9" t="str">
        <f t="shared" si="26"/>
        <v/>
      </c>
    </row>
    <row r="1708" spans="1:1" x14ac:dyDescent="0.25">
      <c r="A1708" s="9" t="str">
        <f t="shared" si="26"/>
        <v/>
      </c>
    </row>
    <row r="1709" spans="1:1" x14ac:dyDescent="0.25">
      <c r="A1709" s="9" t="str">
        <f t="shared" si="26"/>
        <v/>
      </c>
    </row>
    <row r="1710" spans="1:1" x14ac:dyDescent="0.25">
      <c r="A1710" s="9" t="str">
        <f t="shared" si="26"/>
        <v/>
      </c>
    </row>
    <row r="1711" spans="1:1" x14ac:dyDescent="0.25">
      <c r="A1711" s="9" t="str">
        <f t="shared" si="26"/>
        <v/>
      </c>
    </row>
    <row r="1712" spans="1:1" x14ac:dyDescent="0.25">
      <c r="A1712" s="9" t="str">
        <f t="shared" si="26"/>
        <v/>
      </c>
    </row>
    <row r="1713" spans="1:1" x14ac:dyDescent="0.25">
      <c r="A1713" s="9" t="str">
        <f t="shared" si="26"/>
        <v/>
      </c>
    </row>
    <row r="1714" spans="1:1" x14ac:dyDescent="0.25">
      <c r="A1714" s="9" t="str">
        <f t="shared" si="26"/>
        <v/>
      </c>
    </row>
    <row r="1715" spans="1:1" x14ac:dyDescent="0.25">
      <c r="A1715" s="9" t="str">
        <f t="shared" si="26"/>
        <v/>
      </c>
    </row>
    <row r="1716" spans="1:1" x14ac:dyDescent="0.25">
      <c r="A1716" s="9" t="str">
        <f t="shared" si="26"/>
        <v/>
      </c>
    </row>
    <row r="1717" spans="1:1" x14ac:dyDescent="0.25">
      <c r="A1717" s="9" t="str">
        <f t="shared" si="26"/>
        <v/>
      </c>
    </row>
    <row r="1718" spans="1:1" x14ac:dyDescent="0.25">
      <c r="A1718" s="9" t="str">
        <f t="shared" si="26"/>
        <v/>
      </c>
    </row>
    <row r="1719" spans="1:1" x14ac:dyDescent="0.25">
      <c r="A1719" s="9" t="str">
        <f t="shared" si="26"/>
        <v/>
      </c>
    </row>
    <row r="1720" spans="1:1" x14ac:dyDescent="0.25">
      <c r="A1720" s="9" t="str">
        <f t="shared" si="26"/>
        <v/>
      </c>
    </row>
    <row r="1721" spans="1:1" x14ac:dyDescent="0.25">
      <c r="A1721" s="9" t="str">
        <f t="shared" si="26"/>
        <v/>
      </c>
    </row>
    <row r="1722" spans="1:1" x14ac:dyDescent="0.25">
      <c r="A1722" s="9" t="str">
        <f t="shared" si="26"/>
        <v/>
      </c>
    </row>
    <row r="1723" spans="1:1" x14ac:dyDescent="0.25">
      <c r="A1723" s="9" t="str">
        <f t="shared" si="26"/>
        <v/>
      </c>
    </row>
    <row r="1724" spans="1:1" x14ac:dyDescent="0.25">
      <c r="A1724" s="9" t="str">
        <f t="shared" si="26"/>
        <v/>
      </c>
    </row>
    <row r="1725" spans="1:1" x14ac:dyDescent="0.25">
      <c r="A1725" s="9" t="str">
        <f t="shared" si="26"/>
        <v/>
      </c>
    </row>
    <row r="1726" spans="1:1" x14ac:dyDescent="0.25">
      <c r="A1726" s="9" t="str">
        <f t="shared" si="26"/>
        <v/>
      </c>
    </row>
    <row r="1727" spans="1:1" x14ac:dyDescent="0.25">
      <c r="A1727" s="9" t="str">
        <f t="shared" si="26"/>
        <v/>
      </c>
    </row>
    <row r="1728" spans="1:1" x14ac:dyDescent="0.25">
      <c r="A1728" s="9" t="str">
        <f t="shared" si="26"/>
        <v/>
      </c>
    </row>
    <row r="1729" spans="1:1" x14ac:dyDescent="0.25">
      <c r="A1729" s="9" t="str">
        <f t="shared" si="26"/>
        <v/>
      </c>
    </row>
    <row r="1730" spans="1:1" x14ac:dyDescent="0.25">
      <c r="A1730" s="9" t="str">
        <f t="shared" si="26"/>
        <v/>
      </c>
    </row>
    <row r="1731" spans="1:1" x14ac:dyDescent="0.25">
      <c r="A1731" s="9" t="str">
        <f t="shared" ref="A1731:A1794" si="27">IF(M1731="","",DATEVALUE(M1731))</f>
        <v/>
      </c>
    </row>
    <row r="1732" spans="1:1" x14ac:dyDescent="0.25">
      <c r="A1732" s="9" t="str">
        <f t="shared" si="27"/>
        <v/>
      </c>
    </row>
    <row r="1733" spans="1:1" x14ac:dyDescent="0.25">
      <c r="A1733" s="9" t="str">
        <f t="shared" si="27"/>
        <v/>
      </c>
    </row>
    <row r="1734" spans="1:1" x14ac:dyDescent="0.25">
      <c r="A1734" s="9" t="str">
        <f t="shared" si="27"/>
        <v/>
      </c>
    </row>
    <row r="1735" spans="1:1" x14ac:dyDescent="0.25">
      <c r="A1735" s="9" t="str">
        <f t="shared" si="27"/>
        <v/>
      </c>
    </row>
    <row r="1736" spans="1:1" x14ac:dyDescent="0.25">
      <c r="A1736" s="9" t="str">
        <f t="shared" si="27"/>
        <v/>
      </c>
    </row>
    <row r="1737" spans="1:1" x14ac:dyDescent="0.25">
      <c r="A1737" s="9" t="str">
        <f t="shared" si="27"/>
        <v/>
      </c>
    </row>
    <row r="1738" spans="1:1" x14ac:dyDescent="0.25">
      <c r="A1738" s="9" t="str">
        <f t="shared" si="27"/>
        <v/>
      </c>
    </row>
    <row r="1739" spans="1:1" x14ac:dyDescent="0.25">
      <c r="A1739" s="9" t="str">
        <f t="shared" si="27"/>
        <v/>
      </c>
    </row>
    <row r="1740" spans="1:1" x14ac:dyDescent="0.25">
      <c r="A1740" s="9" t="str">
        <f t="shared" si="27"/>
        <v/>
      </c>
    </row>
    <row r="1741" spans="1:1" x14ac:dyDescent="0.25">
      <c r="A1741" s="9" t="str">
        <f t="shared" si="27"/>
        <v/>
      </c>
    </row>
    <row r="1742" spans="1:1" x14ac:dyDescent="0.25">
      <c r="A1742" s="9" t="str">
        <f t="shared" si="27"/>
        <v/>
      </c>
    </row>
    <row r="1743" spans="1:1" x14ac:dyDescent="0.25">
      <c r="A1743" s="9" t="str">
        <f t="shared" si="27"/>
        <v/>
      </c>
    </row>
    <row r="1744" spans="1:1" x14ac:dyDescent="0.25">
      <c r="A1744" s="9" t="str">
        <f t="shared" si="27"/>
        <v/>
      </c>
    </row>
    <row r="1745" spans="1:1" x14ac:dyDescent="0.25">
      <c r="A1745" s="9" t="str">
        <f t="shared" si="27"/>
        <v/>
      </c>
    </row>
    <row r="1746" spans="1:1" x14ac:dyDescent="0.25">
      <c r="A1746" s="9" t="str">
        <f t="shared" si="27"/>
        <v/>
      </c>
    </row>
    <row r="1747" spans="1:1" x14ac:dyDescent="0.25">
      <c r="A1747" s="9" t="str">
        <f t="shared" si="27"/>
        <v/>
      </c>
    </row>
    <row r="1748" spans="1:1" x14ac:dyDescent="0.25">
      <c r="A1748" s="9" t="str">
        <f t="shared" si="27"/>
        <v/>
      </c>
    </row>
    <row r="1749" spans="1:1" x14ac:dyDescent="0.25">
      <c r="A1749" s="9" t="str">
        <f t="shared" si="27"/>
        <v/>
      </c>
    </row>
    <row r="1750" spans="1:1" x14ac:dyDescent="0.25">
      <c r="A1750" s="9" t="str">
        <f t="shared" si="27"/>
        <v/>
      </c>
    </row>
    <row r="1751" spans="1:1" x14ac:dyDescent="0.25">
      <c r="A1751" s="9" t="str">
        <f t="shared" si="27"/>
        <v/>
      </c>
    </row>
    <row r="1752" spans="1:1" x14ac:dyDescent="0.25">
      <c r="A1752" s="9" t="str">
        <f t="shared" si="27"/>
        <v/>
      </c>
    </row>
    <row r="1753" spans="1:1" x14ac:dyDescent="0.25">
      <c r="A1753" s="9" t="str">
        <f t="shared" si="27"/>
        <v/>
      </c>
    </row>
    <row r="1754" spans="1:1" x14ac:dyDescent="0.25">
      <c r="A1754" s="9" t="str">
        <f t="shared" si="27"/>
        <v/>
      </c>
    </row>
    <row r="1755" spans="1:1" x14ac:dyDescent="0.25">
      <c r="A1755" s="9" t="str">
        <f t="shared" si="27"/>
        <v/>
      </c>
    </row>
    <row r="1756" spans="1:1" x14ac:dyDescent="0.25">
      <c r="A1756" s="9" t="str">
        <f t="shared" si="27"/>
        <v/>
      </c>
    </row>
    <row r="1757" spans="1:1" x14ac:dyDescent="0.25">
      <c r="A1757" s="9" t="str">
        <f t="shared" si="27"/>
        <v/>
      </c>
    </row>
    <row r="1758" spans="1:1" x14ac:dyDescent="0.25">
      <c r="A1758" s="9" t="str">
        <f t="shared" si="27"/>
        <v/>
      </c>
    </row>
    <row r="1759" spans="1:1" x14ac:dyDescent="0.25">
      <c r="A1759" s="9" t="str">
        <f t="shared" si="27"/>
        <v/>
      </c>
    </row>
    <row r="1760" spans="1:1" x14ac:dyDescent="0.25">
      <c r="A1760" s="9" t="str">
        <f t="shared" si="27"/>
        <v/>
      </c>
    </row>
    <row r="1761" spans="1:1" x14ac:dyDescent="0.25">
      <c r="A1761" s="9" t="str">
        <f t="shared" si="27"/>
        <v/>
      </c>
    </row>
    <row r="1762" spans="1:1" x14ac:dyDescent="0.25">
      <c r="A1762" s="9" t="str">
        <f t="shared" si="27"/>
        <v/>
      </c>
    </row>
    <row r="1763" spans="1:1" x14ac:dyDescent="0.25">
      <c r="A1763" s="9" t="str">
        <f t="shared" si="27"/>
        <v/>
      </c>
    </row>
    <row r="1764" spans="1:1" x14ac:dyDescent="0.25">
      <c r="A1764" s="9" t="str">
        <f t="shared" si="27"/>
        <v/>
      </c>
    </row>
    <row r="1765" spans="1:1" x14ac:dyDescent="0.25">
      <c r="A1765" s="9" t="str">
        <f t="shared" si="27"/>
        <v/>
      </c>
    </row>
    <row r="1766" spans="1:1" x14ac:dyDescent="0.25">
      <c r="A1766" s="9" t="str">
        <f t="shared" si="27"/>
        <v/>
      </c>
    </row>
    <row r="1767" spans="1:1" x14ac:dyDescent="0.25">
      <c r="A1767" s="9" t="str">
        <f t="shared" si="27"/>
        <v/>
      </c>
    </row>
    <row r="1768" spans="1:1" x14ac:dyDescent="0.25">
      <c r="A1768" s="9" t="str">
        <f t="shared" si="27"/>
        <v/>
      </c>
    </row>
    <row r="1769" spans="1:1" x14ac:dyDescent="0.25">
      <c r="A1769" s="9" t="str">
        <f t="shared" si="27"/>
        <v/>
      </c>
    </row>
    <row r="1770" spans="1:1" x14ac:dyDescent="0.25">
      <c r="A1770" s="9" t="str">
        <f t="shared" si="27"/>
        <v/>
      </c>
    </row>
    <row r="1771" spans="1:1" x14ac:dyDescent="0.25">
      <c r="A1771" s="9" t="str">
        <f t="shared" si="27"/>
        <v/>
      </c>
    </row>
    <row r="1772" spans="1:1" x14ac:dyDescent="0.25">
      <c r="A1772" s="9" t="str">
        <f t="shared" si="27"/>
        <v/>
      </c>
    </row>
    <row r="1773" spans="1:1" x14ac:dyDescent="0.25">
      <c r="A1773" s="9" t="str">
        <f t="shared" si="27"/>
        <v/>
      </c>
    </row>
    <row r="1774" spans="1:1" x14ac:dyDescent="0.25">
      <c r="A1774" s="9" t="str">
        <f t="shared" si="27"/>
        <v/>
      </c>
    </row>
    <row r="1775" spans="1:1" x14ac:dyDescent="0.25">
      <c r="A1775" s="9" t="str">
        <f t="shared" si="27"/>
        <v/>
      </c>
    </row>
    <row r="1776" spans="1:1" x14ac:dyDescent="0.25">
      <c r="A1776" s="9" t="str">
        <f t="shared" si="27"/>
        <v/>
      </c>
    </row>
    <row r="1777" spans="1:1" x14ac:dyDescent="0.25">
      <c r="A1777" s="9" t="str">
        <f t="shared" si="27"/>
        <v/>
      </c>
    </row>
    <row r="1778" spans="1:1" x14ac:dyDescent="0.25">
      <c r="A1778" s="9" t="str">
        <f t="shared" si="27"/>
        <v/>
      </c>
    </row>
    <row r="1779" spans="1:1" x14ac:dyDescent="0.25">
      <c r="A1779" s="9" t="str">
        <f t="shared" si="27"/>
        <v/>
      </c>
    </row>
    <row r="1780" spans="1:1" x14ac:dyDescent="0.25">
      <c r="A1780" s="9" t="str">
        <f t="shared" si="27"/>
        <v/>
      </c>
    </row>
    <row r="1781" spans="1:1" x14ac:dyDescent="0.25">
      <c r="A1781" s="9" t="str">
        <f t="shared" si="27"/>
        <v/>
      </c>
    </row>
    <row r="1782" spans="1:1" x14ac:dyDescent="0.25">
      <c r="A1782" s="9" t="str">
        <f t="shared" si="27"/>
        <v/>
      </c>
    </row>
    <row r="1783" spans="1:1" x14ac:dyDescent="0.25">
      <c r="A1783" s="9" t="str">
        <f t="shared" si="27"/>
        <v/>
      </c>
    </row>
    <row r="1784" spans="1:1" x14ac:dyDescent="0.25">
      <c r="A1784" s="9" t="str">
        <f t="shared" si="27"/>
        <v/>
      </c>
    </row>
    <row r="1785" spans="1:1" x14ac:dyDescent="0.25">
      <c r="A1785" s="9" t="str">
        <f t="shared" si="27"/>
        <v/>
      </c>
    </row>
    <row r="1786" spans="1:1" x14ac:dyDescent="0.25">
      <c r="A1786" s="9" t="str">
        <f t="shared" si="27"/>
        <v/>
      </c>
    </row>
    <row r="1787" spans="1:1" x14ac:dyDescent="0.25">
      <c r="A1787" s="9" t="str">
        <f t="shared" si="27"/>
        <v/>
      </c>
    </row>
    <row r="1788" spans="1:1" x14ac:dyDescent="0.25">
      <c r="A1788" s="9" t="str">
        <f t="shared" si="27"/>
        <v/>
      </c>
    </row>
    <row r="1789" spans="1:1" x14ac:dyDescent="0.25">
      <c r="A1789" s="9" t="str">
        <f t="shared" si="27"/>
        <v/>
      </c>
    </row>
    <row r="1790" spans="1:1" x14ac:dyDescent="0.25">
      <c r="A1790" s="9" t="str">
        <f t="shared" si="27"/>
        <v/>
      </c>
    </row>
    <row r="1791" spans="1:1" x14ac:dyDescent="0.25">
      <c r="A1791" s="9" t="str">
        <f t="shared" si="27"/>
        <v/>
      </c>
    </row>
    <row r="1792" spans="1:1" x14ac:dyDescent="0.25">
      <c r="A1792" s="9" t="str">
        <f t="shared" si="27"/>
        <v/>
      </c>
    </row>
    <row r="1793" spans="1:1" x14ac:dyDescent="0.25">
      <c r="A1793" s="9" t="str">
        <f t="shared" si="27"/>
        <v/>
      </c>
    </row>
    <row r="1794" spans="1:1" x14ac:dyDescent="0.25">
      <c r="A1794" s="9" t="str">
        <f t="shared" si="27"/>
        <v/>
      </c>
    </row>
    <row r="1795" spans="1:1" x14ac:dyDescent="0.25">
      <c r="A1795" s="9" t="str">
        <f t="shared" ref="A1795:A1858" si="28">IF(M1795="","",DATEVALUE(M1795))</f>
        <v/>
      </c>
    </row>
    <row r="1796" spans="1:1" x14ac:dyDescent="0.25">
      <c r="A1796" s="9" t="str">
        <f t="shared" si="28"/>
        <v/>
      </c>
    </row>
    <row r="1797" spans="1:1" x14ac:dyDescent="0.25">
      <c r="A1797" s="9" t="str">
        <f t="shared" si="28"/>
        <v/>
      </c>
    </row>
    <row r="1798" spans="1:1" x14ac:dyDescent="0.25">
      <c r="A1798" s="9" t="str">
        <f t="shared" si="28"/>
        <v/>
      </c>
    </row>
    <row r="1799" spans="1:1" x14ac:dyDescent="0.25">
      <c r="A1799" s="9" t="str">
        <f t="shared" si="28"/>
        <v/>
      </c>
    </row>
    <row r="1800" spans="1:1" x14ac:dyDescent="0.25">
      <c r="A1800" s="9" t="str">
        <f t="shared" si="28"/>
        <v/>
      </c>
    </row>
    <row r="1801" spans="1:1" x14ac:dyDescent="0.25">
      <c r="A1801" s="9" t="str">
        <f t="shared" si="28"/>
        <v/>
      </c>
    </row>
    <row r="1802" spans="1:1" x14ac:dyDescent="0.25">
      <c r="A1802" s="9" t="str">
        <f t="shared" si="28"/>
        <v/>
      </c>
    </row>
    <row r="1803" spans="1:1" x14ac:dyDescent="0.25">
      <c r="A1803" s="9" t="str">
        <f t="shared" si="28"/>
        <v/>
      </c>
    </row>
    <row r="1804" spans="1:1" x14ac:dyDescent="0.25">
      <c r="A1804" s="9" t="str">
        <f t="shared" si="28"/>
        <v/>
      </c>
    </row>
    <row r="1805" spans="1:1" x14ac:dyDescent="0.25">
      <c r="A1805" s="9" t="str">
        <f t="shared" si="28"/>
        <v/>
      </c>
    </row>
    <row r="1806" spans="1:1" x14ac:dyDescent="0.25">
      <c r="A1806" s="9" t="str">
        <f t="shared" si="28"/>
        <v/>
      </c>
    </row>
    <row r="1807" spans="1:1" x14ac:dyDescent="0.25">
      <c r="A1807" s="9" t="str">
        <f t="shared" si="28"/>
        <v/>
      </c>
    </row>
    <row r="1808" spans="1:1" x14ac:dyDescent="0.25">
      <c r="A1808" s="9" t="str">
        <f t="shared" si="28"/>
        <v/>
      </c>
    </row>
    <row r="1809" spans="1:1" x14ac:dyDescent="0.25">
      <c r="A1809" s="9" t="str">
        <f t="shared" si="28"/>
        <v/>
      </c>
    </row>
    <row r="1810" spans="1:1" x14ac:dyDescent="0.25">
      <c r="A1810" s="9" t="str">
        <f t="shared" si="28"/>
        <v/>
      </c>
    </row>
    <row r="1811" spans="1:1" x14ac:dyDescent="0.25">
      <c r="A1811" s="9" t="str">
        <f t="shared" si="28"/>
        <v/>
      </c>
    </row>
    <row r="1812" spans="1:1" x14ac:dyDescent="0.25">
      <c r="A1812" s="9" t="str">
        <f t="shared" si="28"/>
        <v/>
      </c>
    </row>
    <row r="1813" spans="1:1" x14ac:dyDescent="0.25">
      <c r="A1813" s="9" t="str">
        <f t="shared" si="28"/>
        <v/>
      </c>
    </row>
    <row r="1814" spans="1:1" x14ac:dyDescent="0.25">
      <c r="A1814" s="9" t="str">
        <f t="shared" si="28"/>
        <v/>
      </c>
    </row>
    <row r="1815" spans="1:1" x14ac:dyDescent="0.25">
      <c r="A1815" s="9" t="str">
        <f t="shared" si="28"/>
        <v/>
      </c>
    </row>
    <row r="1816" spans="1:1" x14ac:dyDescent="0.25">
      <c r="A1816" s="9" t="str">
        <f t="shared" si="28"/>
        <v/>
      </c>
    </row>
    <row r="1817" spans="1:1" x14ac:dyDescent="0.25">
      <c r="A1817" s="9" t="str">
        <f t="shared" si="28"/>
        <v/>
      </c>
    </row>
    <row r="1818" spans="1:1" x14ac:dyDescent="0.25">
      <c r="A1818" s="9" t="str">
        <f t="shared" si="28"/>
        <v/>
      </c>
    </row>
    <row r="1819" spans="1:1" x14ac:dyDescent="0.25">
      <c r="A1819" s="9" t="str">
        <f t="shared" si="28"/>
        <v/>
      </c>
    </row>
    <row r="1820" spans="1:1" x14ac:dyDescent="0.25">
      <c r="A1820" s="9" t="str">
        <f t="shared" si="28"/>
        <v/>
      </c>
    </row>
    <row r="1821" spans="1:1" x14ac:dyDescent="0.25">
      <c r="A1821" s="9" t="str">
        <f t="shared" si="28"/>
        <v/>
      </c>
    </row>
    <row r="1822" spans="1:1" x14ac:dyDescent="0.25">
      <c r="A1822" s="9" t="str">
        <f t="shared" si="28"/>
        <v/>
      </c>
    </row>
    <row r="1823" spans="1:1" x14ac:dyDescent="0.25">
      <c r="A1823" s="9" t="str">
        <f t="shared" si="28"/>
        <v/>
      </c>
    </row>
    <row r="1824" spans="1:1" x14ac:dyDescent="0.25">
      <c r="A1824" s="9" t="str">
        <f t="shared" si="28"/>
        <v/>
      </c>
    </row>
    <row r="1825" spans="1:1" x14ac:dyDescent="0.25">
      <c r="A1825" s="9" t="str">
        <f t="shared" si="28"/>
        <v/>
      </c>
    </row>
    <row r="1826" spans="1:1" x14ac:dyDescent="0.25">
      <c r="A1826" s="9" t="str">
        <f t="shared" si="28"/>
        <v/>
      </c>
    </row>
    <row r="1827" spans="1:1" x14ac:dyDescent="0.25">
      <c r="A1827" s="9" t="str">
        <f t="shared" si="28"/>
        <v/>
      </c>
    </row>
    <row r="1828" spans="1:1" x14ac:dyDescent="0.25">
      <c r="A1828" s="9" t="str">
        <f t="shared" si="28"/>
        <v/>
      </c>
    </row>
    <row r="1829" spans="1:1" x14ac:dyDescent="0.25">
      <c r="A1829" s="9" t="str">
        <f t="shared" si="28"/>
        <v/>
      </c>
    </row>
    <row r="1830" spans="1:1" x14ac:dyDescent="0.25">
      <c r="A1830" s="9" t="str">
        <f t="shared" si="28"/>
        <v/>
      </c>
    </row>
    <row r="1831" spans="1:1" x14ac:dyDescent="0.25">
      <c r="A1831" s="9" t="str">
        <f t="shared" si="28"/>
        <v/>
      </c>
    </row>
    <row r="1832" spans="1:1" x14ac:dyDescent="0.25">
      <c r="A1832" s="9" t="str">
        <f t="shared" si="28"/>
        <v/>
      </c>
    </row>
    <row r="1833" spans="1:1" x14ac:dyDescent="0.25">
      <c r="A1833" s="9" t="str">
        <f t="shared" si="28"/>
        <v/>
      </c>
    </row>
    <row r="1834" spans="1:1" x14ac:dyDescent="0.25">
      <c r="A1834" s="9" t="str">
        <f t="shared" si="28"/>
        <v/>
      </c>
    </row>
    <row r="1835" spans="1:1" x14ac:dyDescent="0.25">
      <c r="A1835" s="9" t="str">
        <f t="shared" si="28"/>
        <v/>
      </c>
    </row>
    <row r="1836" spans="1:1" x14ac:dyDescent="0.25">
      <c r="A1836" s="9" t="str">
        <f t="shared" si="28"/>
        <v/>
      </c>
    </row>
    <row r="1837" spans="1:1" x14ac:dyDescent="0.25">
      <c r="A1837" s="9" t="str">
        <f t="shared" si="28"/>
        <v/>
      </c>
    </row>
    <row r="1838" spans="1:1" x14ac:dyDescent="0.25">
      <c r="A1838" s="9" t="str">
        <f t="shared" si="28"/>
        <v/>
      </c>
    </row>
    <row r="1839" spans="1:1" x14ac:dyDescent="0.25">
      <c r="A1839" s="9" t="str">
        <f t="shared" si="28"/>
        <v/>
      </c>
    </row>
    <row r="1840" spans="1:1" x14ac:dyDescent="0.25">
      <c r="A1840" s="9" t="str">
        <f t="shared" si="28"/>
        <v/>
      </c>
    </row>
    <row r="1841" spans="1:1" x14ac:dyDescent="0.25">
      <c r="A1841" s="9" t="str">
        <f t="shared" si="28"/>
        <v/>
      </c>
    </row>
    <row r="1842" spans="1:1" x14ac:dyDescent="0.25">
      <c r="A1842" s="9" t="str">
        <f t="shared" si="28"/>
        <v/>
      </c>
    </row>
    <row r="1843" spans="1:1" x14ac:dyDescent="0.25">
      <c r="A1843" s="9" t="str">
        <f t="shared" si="28"/>
        <v/>
      </c>
    </row>
    <row r="1844" spans="1:1" x14ac:dyDescent="0.25">
      <c r="A1844" s="9" t="str">
        <f t="shared" si="28"/>
        <v/>
      </c>
    </row>
    <row r="1845" spans="1:1" x14ac:dyDescent="0.25">
      <c r="A1845" s="9" t="str">
        <f t="shared" si="28"/>
        <v/>
      </c>
    </row>
    <row r="1846" spans="1:1" x14ac:dyDescent="0.25">
      <c r="A1846" s="9" t="str">
        <f t="shared" si="28"/>
        <v/>
      </c>
    </row>
    <row r="1847" spans="1:1" x14ac:dyDescent="0.25">
      <c r="A1847" s="9" t="str">
        <f t="shared" si="28"/>
        <v/>
      </c>
    </row>
    <row r="1848" spans="1:1" x14ac:dyDescent="0.25">
      <c r="A1848" s="9" t="str">
        <f t="shared" si="28"/>
        <v/>
      </c>
    </row>
    <row r="1849" spans="1:1" x14ac:dyDescent="0.25">
      <c r="A1849" s="9" t="str">
        <f t="shared" si="28"/>
        <v/>
      </c>
    </row>
    <row r="1850" spans="1:1" x14ac:dyDescent="0.25">
      <c r="A1850" s="9" t="str">
        <f t="shared" si="28"/>
        <v/>
      </c>
    </row>
    <row r="1851" spans="1:1" x14ac:dyDescent="0.25">
      <c r="A1851" s="9" t="str">
        <f t="shared" si="28"/>
        <v/>
      </c>
    </row>
    <row r="1852" spans="1:1" x14ac:dyDescent="0.25">
      <c r="A1852" s="9" t="str">
        <f t="shared" si="28"/>
        <v/>
      </c>
    </row>
    <row r="1853" spans="1:1" x14ac:dyDescent="0.25">
      <c r="A1853" s="9" t="str">
        <f t="shared" si="28"/>
        <v/>
      </c>
    </row>
    <row r="1854" spans="1:1" x14ac:dyDescent="0.25">
      <c r="A1854" s="9" t="str">
        <f t="shared" si="28"/>
        <v/>
      </c>
    </row>
    <row r="1855" spans="1:1" x14ac:dyDescent="0.25">
      <c r="A1855" s="9" t="str">
        <f t="shared" si="28"/>
        <v/>
      </c>
    </row>
    <row r="1856" spans="1:1" x14ac:dyDescent="0.25">
      <c r="A1856" s="9" t="str">
        <f t="shared" si="28"/>
        <v/>
      </c>
    </row>
    <row r="1857" spans="1:1" x14ac:dyDescent="0.25">
      <c r="A1857" s="9" t="str">
        <f t="shared" si="28"/>
        <v/>
      </c>
    </row>
    <row r="1858" spans="1:1" x14ac:dyDescent="0.25">
      <c r="A1858" s="9" t="str">
        <f t="shared" si="28"/>
        <v/>
      </c>
    </row>
    <row r="1859" spans="1:1" x14ac:dyDescent="0.25">
      <c r="A1859" s="9" t="str">
        <f t="shared" ref="A1859:A1922" si="29">IF(M1859="","",DATEVALUE(M1859))</f>
        <v/>
      </c>
    </row>
    <row r="1860" spans="1:1" x14ac:dyDescent="0.25">
      <c r="A1860" s="9" t="str">
        <f t="shared" si="29"/>
        <v/>
      </c>
    </row>
    <row r="1861" spans="1:1" x14ac:dyDescent="0.25">
      <c r="A1861" s="9" t="str">
        <f t="shared" si="29"/>
        <v/>
      </c>
    </row>
    <row r="1862" spans="1:1" x14ac:dyDescent="0.25">
      <c r="A1862" s="9" t="str">
        <f t="shared" si="29"/>
        <v/>
      </c>
    </row>
    <row r="1863" spans="1:1" x14ac:dyDescent="0.25">
      <c r="A1863" s="9" t="str">
        <f t="shared" si="29"/>
        <v/>
      </c>
    </row>
    <row r="1864" spans="1:1" x14ac:dyDescent="0.25">
      <c r="A1864" s="9" t="str">
        <f t="shared" si="29"/>
        <v/>
      </c>
    </row>
    <row r="1865" spans="1:1" x14ac:dyDescent="0.25">
      <c r="A1865" s="9" t="str">
        <f t="shared" si="29"/>
        <v/>
      </c>
    </row>
    <row r="1866" spans="1:1" x14ac:dyDescent="0.25">
      <c r="A1866" s="9" t="str">
        <f t="shared" si="29"/>
        <v/>
      </c>
    </row>
    <row r="1867" spans="1:1" x14ac:dyDescent="0.25">
      <c r="A1867" s="9" t="str">
        <f t="shared" si="29"/>
        <v/>
      </c>
    </row>
    <row r="1868" spans="1:1" x14ac:dyDescent="0.25">
      <c r="A1868" s="9" t="str">
        <f t="shared" si="29"/>
        <v/>
      </c>
    </row>
    <row r="1869" spans="1:1" x14ac:dyDescent="0.25">
      <c r="A1869" s="9" t="str">
        <f t="shared" si="29"/>
        <v/>
      </c>
    </row>
    <row r="1870" spans="1:1" x14ac:dyDescent="0.25">
      <c r="A1870" s="9" t="str">
        <f t="shared" si="29"/>
        <v/>
      </c>
    </row>
    <row r="1871" spans="1:1" x14ac:dyDescent="0.25">
      <c r="A1871" s="9" t="str">
        <f t="shared" si="29"/>
        <v/>
      </c>
    </row>
    <row r="1872" spans="1:1" x14ac:dyDescent="0.25">
      <c r="A1872" s="9" t="str">
        <f t="shared" si="29"/>
        <v/>
      </c>
    </row>
    <row r="1873" spans="1:1" x14ac:dyDescent="0.25">
      <c r="A1873" s="9" t="str">
        <f t="shared" si="29"/>
        <v/>
      </c>
    </row>
    <row r="1874" spans="1:1" x14ac:dyDescent="0.25">
      <c r="A1874" s="9" t="str">
        <f t="shared" si="29"/>
        <v/>
      </c>
    </row>
    <row r="1875" spans="1:1" x14ac:dyDescent="0.25">
      <c r="A1875" s="9" t="str">
        <f t="shared" si="29"/>
        <v/>
      </c>
    </row>
    <row r="1876" spans="1:1" x14ac:dyDescent="0.25">
      <c r="A1876" s="9" t="str">
        <f t="shared" si="29"/>
        <v/>
      </c>
    </row>
    <row r="1877" spans="1:1" x14ac:dyDescent="0.25">
      <c r="A1877" s="9" t="str">
        <f t="shared" si="29"/>
        <v/>
      </c>
    </row>
    <row r="1878" spans="1:1" x14ac:dyDescent="0.25">
      <c r="A1878" s="9" t="str">
        <f t="shared" si="29"/>
        <v/>
      </c>
    </row>
    <row r="1879" spans="1:1" x14ac:dyDescent="0.25">
      <c r="A1879" s="9" t="str">
        <f t="shared" si="29"/>
        <v/>
      </c>
    </row>
    <row r="1880" spans="1:1" x14ac:dyDescent="0.25">
      <c r="A1880" s="9" t="str">
        <f t="shared" si="29"/>
        <v/>
      </c>
    </row>
    <row r="1881" spans="1:1" x14ac:dyDescent="0.25">
      <c r="A1881" s="9" t="str">
        <f t="shared" si="29"/>
        <v/>
      </c>
    </row>
    <row r="1882" spans="1:1" x14ac:dyDescent="0.25">
      <c r="A1882" s="9" t="str">
        <f t="shared" si="29"/>
        <v/>
      </c>
    </row>
    <row r="1883" spans="1:1" x14ac:dyDescent="0.25">
      <c r="A1883" s="9" t="str">
        <f t="shared" si="29"/>
        <v/>
      </c>
    </row>
    <row r="1884" spans="1:1" x14ac:dyDescent="0.25">
      <c r="A1884" s="9" t="str">
        <f t="shared" si="29"/>
        <v/>
      </c>
    </row>
    <row r="1885" spans="1:1" x14ac:dyDescent="0.25">
      <c r="A1885" s="9" t="str">
        <f t="shared" si="29"/>
        <v/>
      </c>
    </row>
    <row r="1886" spans="1:1" x14ac:dyDescent="0.25">
      <c r="A1886" s="9" t="str">
        <f t="shared" si="29"/>
        <v/>
      </c>
    </row>
    <row r="1887" spans="1:1" x14ac:dyDescent="0.25">
      <c r="A1887" s="9" t="str">
        <f t="shared" si="29"/>
        <v/>
      </c>
    </row>
    <row r="1888" spans="1:1" x14ac:dyDescent="0.25">
      <c r="A1888" s="9" t="str">
        <f t="shared" si="29"/>
        <v/>
      </c>
    </row>
    <row r="1889" spans="1:1" x14ac:dyDescent="0.25">
      <c r="A1889" s="9" t="str">
        <f t="shared" si="29"/>
        <v/>
      </c>
    </row>
    <row r="1890" spans="1:1" x14ac:dyDescent="0.25">
      <c r="A1890" s="9" t="str">
        <f t="shared" si="29"/>
        <v/>
      </c>
    </row>
    <row r="1891" spans="1:1" x14ac:dyDescent="0.25">
      <c r="A1891" s="9" t="str">
        <f t="shared" si="29"/>
        <v/>
      </c>
    </row>
    <row r="1892" spans="1:1" x14ac:dyDescent="0.25">
      <c r="A1892" s="9" t="str">
        <f t="shared" si="29"/>
        <v/>
      </c>
    </row>
    <row r="1893" spans="1:1" x14ac:dyDescent="0.25">
      <c r="A1893" s="9" t="str">
        <f t="shared" si="29"/>
        <v/>
      </c>
    </row>
    <row r="1894" spans="1:1" x14ac:dyDescent="0.25">
      <c r="A1894" s="9" t="str">
        <f t="shared" si="29"/>
        <v/>
      </c>
    </row>
    <row r="1895" spans="1:1" x14ac:dyDescent="0.25">
      <c r="A1895" s="9" t="str">
        <f t="shared" si="29"/>
        <v/>
      </c>
    </row>
    <row r="1896" spans="1:1" x14ac:dyDescent="0.25">
      <c r="A1896" s="9" t="str">
        <f t="shared" si="29"/>
        <v/>
      </c>
    </row>
    <row r="1897" spans="1:1" x14ac:dyDescent="0.25">
      <c r="A1897" s="9" t="str">
        <f t="shared" si="29"/>
        <v/>
      </c>
    </row>
    <row r="1898" spans="1:1" x14ac:dyDescent="0.25">
      <c r="A1898" s="9" t="str">
        <f t="shared" si="29"/>
        <v/>
      </c>
    </row>
    <row r="1899" spans="1:1" x14ac:dyDescent="0.25">
      <c r="A1899" s="9" t="str">
        <f t="shared" si="29"/>
        <v/>
      </c>
    </row>
    <row r="1900" spans="1:1" x14ac:dyDescent="0.25">
      <c r="A1900" s="9" t="str">
        <f t="shared" si="29"/>
        <v/>
      </c>
    </row>
    <row r="1901" spans="1:1" x14ac:dyDescent="0.25">
      <c r="A1901" s="9" t="str">
        <f t="shared" si="29"/>
        <v/>
      </c>
    </row>
    <row r="1902" spans="1:1" x14ac:dyDescent="0.25">
      <c r="A1902" s="9" t="str">
        <f t="shared" si="29"/>
        <v/>
      </c>
    </row>
    <row r="1903" spans="1:1" x14ac:dyDescent="0.25">
      <c r="A1903" s="9" t="str">
        <f t="shared" si="29"/>
        <v/>
      </c>
    </row>
    <row r="1904" spans="1:1" x14ac:dyDescent="0.25">
      <c r="A1904" s="9" t="str">
        <f t="shared" si="29"/>
        <v/>
      </c>
    </row>
    <row r="1905" spans="1:1" x14ac:dyDescent="0.25">
      <c r="A1905" s="9" t="str">
        <f t="shared" si="29"/>
        <v/>
      </c>
    </row>
    <row r="1906" spans="1:1" x14ac:dyDescent="0.25">
      <c r="A1906" s="9" t="str">
        <f t="shared" si="29"/>
        <v/>
      </c>
    </row>
    <row r="1907" spans="1:1" x14ac:dyDescent="0.25">
      <c r="A1907" s="9" t="str">
        <f t="shared" si="29"/>
        <v/>
      </c>
    </row>
    <row r="1908" spans="1:1" x14ac:dyDescent="0.25">
      <c r="A1908" s="9" t="str">
        <f t="shared" si="29"/>
        <v/>
      </c>
    </row>
    <row r="1909" spans="1:1" x14ac:dyDescent="0.25">
      <c r="A1909" s="9" t="str">
        <f t="shared" si="29"/>
        <v/>
      </c>
    </row>
    <row r="1910" spans="1:1" x14ac:dyDescent="0.25">
      <c r="A1910" s="9" t="str">
        <f t="shared" si="29"/>
        <v/>
      </c>
    </row>
    <row r="1911" spans="1:1" x14ac:dyDescent="0.25">
      <c r="A1911" s="9" t="str">
        <f t="shared" si="29"/>
        <v/>
      </c>
    </row>
    <row r="1912" spans="1:1" x14ac:dyDescent="0.25">
      <c r="A1912" s="9" t="str">
        <f t="shared" si="29"/>
        <v/>
      </c>
    </row>
    <row r="1913" spans="1:1" x14ac:dyDescent="0.25">
      <c r="A1913" s="9" t="str">
        <f t="shared" si="29"/>
        <v/>
      </c>
    </row>
    <row r="1914" spans="1:1" x14ac:dyDescent="0.25">
      <c r="A1914" s="9" t="str">
        <f t="shared" si="29"/>
        <v/>
      </c>
    </row>
    <row r="1915" spans="1:1" x14ac:dyDescent="0.25">
      <c r="A1915" s="9" t="str">
        <f t="shared" si="29"/>
        <v/>
      </c>
    </row>
    <row r="1916" spans="1:1" x14ac:dyDescent="0.25">
      <c r="A1916" s="9" t="str">
        <f t="shared" si="29"/>
        <v/>
      </c>
    </row>
    <row r="1917" spans="1:1" x14ac:dyDescent="0.25">
      <c r="A1917" s="9" t="str">
        <f t="shared" si="29"/>
        <v/>
      </c>
    </row>
    <row r="1918" spans="1:1" x14ac:dyDescent="0.25">
      <c r="A1918" s="9" t="str">
        <f t="shared" si="29"/>
        <v/>
      </c>
    </row>
    <row r="1919" spans="1:1" x14ac:dyDescent="0.25">
      <c r="A1919" s="9" t="str">
        <f t="shared" si="29"/>
        <v/>
      </c>
    </row>
    <row r="1920" spans="1:1" x14ac:dyDescent="0.25">
      <c r="A1920" s="9" t="str">
        <f t="shared" si="29"/>
        <v/>
      </c>
    </row>
    <row r="1921" spans="1:1" x14ac:dyDescent="0.25">
      <c r="A1921" s="9" t="str">
        <f t="shared" si="29"/>
        <v/>
      </c>
    </row>
    <row r="1922" spans="1:1" x14ac:dyDescent="0.25">
      <c r="A1922" s="9" t="str">
        <f t="shared" si="29"/>
        <v/>
      </c>
    </row>
    <row r="1923" spans="1:1" x14ac:dyDescent="0.25">
      <c r="A1923" s="9" t="str">
        <f t="shared" ref="A1923:A1986" si="30">IF(M1923="","",DATEVALUE(M1923))</f>
        <v/>
      </c>
    </row>
    <row r="1924" spans="1:1" x14ac:dyDescent="0.25">
      <c r="A1924" s="9" t="str">
        <f t="shared" si="30"/>
        <v/>
      </c>
    </row>
    <row r="1925" spans="1:1" x14ac:dyDescent="0.25">
      <c r="A1925" s="9" t="str">
        <f t="shared" si="30"/>
        <v/>
      </c>
    </row>
    <row r="1926" spans="1:1" x14ac:dyDescent="0.25">
      <c r="A1926" s="9" t="str">
        <f t="shared" si="30"/>
        <v/>
      </c>
    </row>
    <row r="1927" spans="1:1" x14ac:dyDescent="0.25">
      <c r="A1927" s="9" t="str">
        <f t="shared" si="30"/>
        <v/>
      </c>
    </row>
    <row r="1928" spans="1:1" x14ac:dyDescent="0.25">
      <c r="A1928" s="9" t="str">
        <f t="shared" si="30"/>
        <v/>
      </c>
    </row>
    <row r="1929" spans="1:1" x14ac:dyDescent="0.25">
      <c r="A1929" s="9" t="str">
        <f t="shared" si="30"/>
        <v/>
      </c>
    </row>
    <row r="1930" spans="1:1" x14ac:dyDescent="0.25">
      <c r="A1930" s="9" t="str">
        <f t="shared" si="30"/>
        <v/>
      </c>
    </row>
    <row r="1931" spans="1:1" x14ac:dyDescent="0.25">
      <c r="A1931" s="9" t="str">
        <f t="shared" si="30"/>
        <v/>
      </c>
    </row>
    <row r="1932" spans="1:1" x14ac:dyDescent="0.25">
      <c r="A1932" s="9" t="str">
        <f t="shared" si="30"/>
        <v/>
      </c>
    </row>
    <row r="1933" spans="1:1" x14ac:dyDescent="0.25">
      <c r="A1933" s="9" t="str">
        <f t="shared" si="30"/>
        <v/>
      </c>
    </row>
    <row r="1934" spans="1:1" x14ac:dyDescent="0.25">
      <c r="A1934" s="9" t="str">
        <f t="shared" si="30"/>
        <v/>
      </c>
    </row>
    <row r="1935" spans="1:1" x14ac:dyDescent="0.25">
      <c r="A1935" s="9" t="str">
        <f t="shared" si="30"/>
        <v/>
      </c>
    </row>
    <row r="1936" spans="1:1" x14ac:dyDescent="0.25">
      <c r="A1936" s="9" t="str">
        <f t="shared" si="30"/>
        <v/>
      </c>
    </row>
    <row r="1937" spans="1:1" x14ac:dyDescent="0.25">
      <c r="A1937" s="9" t="str">
        <f t="shared" si="30"/>
        <v/>
      </c>
    </row>
    <row r="1938" spans="1:1" x14ac:dyDescent="0.25">
      <c r="A1938" s="9" t="str">
        <f t="shared" si="30"/>
        <v/>
      </c>
    </row>
    <row r="1939" spans="1:1" x14ac:dyDescent="0.25">
      <c r="A1939" s="9" t="str">
        <f t="shared" si="30"/>
        <v/>
      </c>
    </row>
    <row r="1940" spans="1:1" x14ac:dyDescent="0.25">
      <c r="A1940" s="9" t="str">
        <f t="shared" si="30"/>
        <v/>
      </c>
    </row>
    <row r="1941" spans="1:1" x14ac:dyDescent="0.25">
      <c r="A1941" s="9" t="str">
        <f t="shared" si="30"/>
        <v/>
      </c>
    </row>
    <row r="1942" spans="1:1" x14ac:dyDescent="0.25">
      <c r="A1942" s="9" t="str">
        <f t="shared" si="30"/>
        <v/>
      </c>
    </row>
    <row r="1943" spans="1:1" x14ac:dyDescent="0.25">
      <c r="A1943" s="9" t="str">
        <f t="shared" si="30"/>
        <v/>
      </c>
    </row>
    <row r="1944" spans="1:1" x14ac:dyDescent="0.25">
      <c r="A1944" s="9" t="str">
        <f t="shared" si="30"/>
        <v/>
      </c>
    </row>
    <row r="1945" spans="1:1" x14ac:dyDescent="0.25">
      <c r="A1945" s="9" t="str">
        <f t="shared" si="30"/>
        <v/>
      </c>
    </row>
    <row r="1946" spans="1:1" x14ac:dyDescent="0.25">
      <c r="A1946" s="9" t="str">
        <f t="shared" si="30"/>
        <v/>
      </c>
    </row>
    <row r="1947" spans="1:1" x14ac:dyDescent="0.25">
      <c r="A1947" s="9" t="str">
        <f t="shared" si="30"/>
        <v/>
      </c>
    </row>
    <row r="1948" spans="1:1" x14ac:dyDescent="0.25">
      <c r="A1948" s="9" t="str">
        <f t="shared" si="30"/>
        <v/>
      </c>
    </row>
    <row r="1949" spans="1:1" x14ac:dyDescent="0.25">
      <c r="A1949" s="9" t="str">
        <f t="shared" si="30"/>
        <v/>
      </c>
    </row>
    <row r="1950" spans="1:1" x14ac:dyDescent="0.25">
      <c r="A1950" s="9" t="str">
        <f t="shared" si="30"/>
        <v/>
      </c>
    </row>
    <row r="1951" spans="1:1" x14ac:dyDescent="0.25">
      <c r="A1951" s="9" t="str">
        <f t="shared" si="30"/>
        <v/>
      </c>
    </row>
    <row r="1952" spans="1:1" x14ac:dyDescent="0.25">
      <c r="A1952" s="9" t="str">
        <f t="shared" si="30"/>
        <v/>
      </c>
    </row>
    <row r="1953" spans="1:1" x14ac:dyDescent="0.25">
      <c r="A1953" s="9" t="str">
        <f t="shared" si="30"/>
        <v/>
      </c>
    </row>
    <row r="1954" spans="1:1" x14ac:dyDescent="0.25">
      <c r="A1954" s="9" t="str">
        <f t="shared" si="30"/>
        <v/>
      </c>
    </row>
    <row r="1955" spans="1:1" x14ac:dyDescent="0.25">
      <c r="A1955" s="9" t="str">
        <f t="shared" si="30"/>
        <v/>
      </c>
    </row>
    <row r="1956" spans="1:1" x14ac:dyDescent="0.25">
      <c r="A1956" s="9" t="str">
        <f t="shared" si="30"/>
        <v/>
      </c>
    </row>
    <row r="1957" spans="1:1" x14ac:dyDescent="0.25">
      <c r="A1957" s="9" t="str">
        <f t="shared" si="30"/>
        <v/>
      </c>
    </row>
    <row r="1958" spans="1:1" x14ac:dyDescent="0.25">
      <c r="A1958" s="9" t="str">
        <f t="shared" si="30"/>
        <v/>
      </c>
    </row>
    <row r="1959" spans="1:1" x14ac:dyDescent="0.25">
      <c r="A1959" s="9" t="str">
        <f t="shared" si="30"/>
        <v/>
      </c>
    </row>
    <row r="1960" spans="1:1" x14ac:dyDescent="0.25">
      <c r="A1960" s="9" t="str">
        <f t="shared" si="30"/>
        <v/>
      </c>
    </row>
    <row r="1961" spans="1:1" x14ac:dyDescent="0.25">
      <c r="A1961" s="9" t="str">
        <f t="shared" si="30"/>
        <v/>
      </c>
    </row>
    <row r="1962" spans="1:1" x14ac:dyDescent="0.25">
      <c r="A1962" s="9" t="str">
        <f t="shared" si="30"/>
        <v/>
      </c>
    </row>
    <row r="1963" spans="1:1" x14ac:dyDescent="0.25">
      <c r="A1963" s="9" t="str">
        <f t="shared" si="30"/>
        <v/>
      </c>
    </row>
    <row r="1964" spans="1:1" x14ac:dyDescent="0.25">
      <c r="A1964" s="9" t="str">
        <f t="shared" si="30"/>
        <v/>
      </c>
    </row>
    <row r="1965" spans="1:1" x14ac:dyDescent="0.25">
      <c r="A1965" s="9" t="str">
        <f t="shared" si="30"/>
        <v/>
      </c>
    </row>
    <row r="1966" spans="1:1" x14ac:dyDescent="0.25">
      <c r="A1966" s="9" t="str">
        <f t="shared" si="30"/>
        <v/>
      </c>
    </row>
    <row r="1967" spans="1:1" x14ac:dyDescent="0.25">
      <c r="A1967" s="9" t="str">
        <f t="shared" si="30"/>
        <v/>
      </c>
    </row>
    <row r="1968" spans="1:1" x14ac:dyDescent="0.25">
      <c r="A1968" s="9" t="str">
        <f t="shared" si="30"/>
        <v/>
      </c>
    </row>
    <row r="1969" spans="1:1" x14ac:dyDescent="0.25">
      <c r="A1969" s="9" t="str">
        <f t="shared" si="30"/>
        <v/>
      </c>
    </row>
    <row r="1970" spans="1:1" x14ac:dyDescent="0.25">
      <c r="A1970" s="9" t="str">
        <f t="shared" si="30"/>
        <v/>
      </c>
    </row>
    <row r="1971" spans="1:1" x14ac:dyDescent="0.25">
      <c r="A1971" s="9" t="str">
        <f t="shared" si="30"/>
        <v/>
      </c>
    </row>
    <row r="1972" spans="1:1" x14ac:dyDescent="0.25">
      <c r="A1972" s="9" t="str">
        <f t="shared" si="30"/>
        <v/>
      </c>
    </row>
    <row r="1973" spans="1:1" x14ac:dyDescent="0.25">
      <c r="A1973" s="9" t="str">
        <f t="shared" si="30"/>
        <v/>
      </c>
    </row>
    <row r="1974" spans="1:1" x14ac:dyDescent="0.25">
      <c r="A1974" s="9" t="str">
        <f t="shared" si="30"/>
        <v/>
      </c>
    </row>
    <row r="1975" spans="1:1" x14ac:dyDescent="0.25">
      <c r="A1975" s="9" t="str">
        <f t="shared" si="30"/>
        <v/>
      </c>
    </row>
    <row r="1976" spans="1:1" x14ac:dyDescent="0.25">
      <c r="A1976" s="9" t="str">
        <f t="shared" si="30"/>
        <v/>
      </c>
    </row>
    <row r="1977" spans="1:1" x14ac:dyDescent="0.25">
      <c r="A1977" s="9" t="str">
        <f t="shared" si="30"/>
        <v/>
      </c>
    </row>
    <row r="1978" spans="1:1" x14ac:dyDescent="0.25">
      <c r="A1978" s="9" t="str">
        <f t="shared" si="30"/>
        <v/>
      </c>
    </row>
    <row r="1979" spans="1:1" x14ac:dyDescent="0.25">
      <c r="A1979" s="9" t="str">
        <f t="shared" si="30"/>
        <v/>
      </c>
    </row>
    <row r="1980" spans="1:1" x14ac:dyDescent="0.25">
      <c r="A1980" s="9" t="str">
        <f t="shared" si="30"/>
        <v/>
      </c>
    </row>
    <row r="1981" spans="1:1" x14ac:dyDescent="0.25">
      <c r="A1981" s="9" t="str">
        <f t="shared" si="30"/>
        <v/>
      </c>
    </row>
    <row r="1982" spans="1:1" x14ac:dyDescent="0.25">
      <c r="A1982" s="9" t="str">
        <f t="shared" si="30"/>
        <v/>
      </c>
    </row>
    <row r="1983" spans="1:1" x14ac:dyDescent="0.25">
      <c r="A1983" s="9" t="str">
        <f t="shared" si="30"/>
        <v/>
      </c>
    </row>
    <row r="1984" spans="1:1" x14ac:dyDescent="0.25">
      <c r="A1984" s="9" t="str">
        <f t="shared" si="30"/>
        <v/>
      </c>
    </row>
    <row r="1985" spans="1:1" x14ac:dyDescent="0.25">
      <c r="A1985" s="9" t="str">
        <f t="shared" si="30"/>
        <v/>
      </c>
    </row>
    <row r="1986" spans="1:1" x14ac:dyDescent="0.25">
      <c r="A1986" s="9" t="str">
        <f t="shared" si="30"/>
        <v/>
      </c>
    </row>
    <row r="1987" spans="1:1" x14ac:dyDescent="0.25">
      <c r="A1987" s="9" t="str">
        <f t="shared" ref="A1987:A2000" si="31">IF(M1987="","",DATEVALUE(M1987))</f>
        <v/>
      </c>
    </row>
    <row r="1988" spans="1:1" x14ac:dyDescent="0.25">
      <c r="A1988" s="9" t="str">
        <f t="shared" si="31"/>
        <v/>
      </c>
    </row>
    <row r="1989" spans="1:1" x14ac:dyDescent="0.25">
      <c r="A1989" s="9" t="str">
        <f t="shared" si="31"/>
        <v/>
      </c>
    </row>
    <row r="1990" spans="1:1" x14ac:dyDescent="0.25">
      <c r="A1990" s="9" t="str">
        <f t="shared" si="31"/>
        <v/>
      </c>
    </row>
    <row r="1991" spans="1:1" x14ac:dyDescent="0.25">
      <c r="A1991" s="9" t="str">
        <f t="shared" si="31"/>
        <v/>
      </c>
    </row>
    <row r="1992" spans="1:1" x14ac:dyDescent="0.25">
      <c r="A1992" s="9" t="str">
        <f t="shared" si="31"/>
        <v/>
      </c>
    </row>
    <row r="1993" spans="1:1" x14ac:dyDescent="0.25">
      <c r="A1993" s="9" t="str">
        <f t="shared" si="31"/>
        <v/>
      </c>
    </row>
    <row r="1994" spans="1:1" x14ac:dyDescent="0.25">
      <c r="A1994" s="9" t="str">
        <f t="shared" si="31"/>
        <v/>
      </c>
    </row>
    <row r="1995" spans="1:1" x14ac:dyDescent="0.25">
      <c r="A1995" s="9" t="str">
        <f t="shared" si="31"/>
        <v/>
      </c>
    </row>
    <row r="1996" spans="1:1" x14ac:dyDescent="0.25">
      <c r="A1996" s="9" t="str">
        <f t="shared" si="31"/>
        <v/>
      </c>
    </row>
    <row r="1997" spans="1:1" x14ac:dyDescent="0.25">
      <c r="A1997" s="9" t="str">
        <f t="shared" si="31"/>
        <v/>
      </c>
    </row>
    <row r="1998" spans="1:1" x14ac:dyDescent="0.25">
      <c r="A1998" s="9" t="str">
        <f t="shared" si="31"/>
        <v/>
      </c>
    </row>
    <row r="1999" spans="1:1" x14ac:dyDescent="0.25">
      <c r="A1999" s="9" t="str">
        <f t="shared" si="31"/>
        <v/>
      </c>
    </row>
    <row r="2000" spans="1:1" x14ac:dyDescent="0.25">
      <c r="A2000" s="9" t="str">
        <f t="shared" si="31"/>
        <v/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8080"/>
  </sheetPr>
  <dimension ref="B3:N505"/>
  <sheetViews>
    <sheetView zoomScale="80" zoomScaleNormal="80" workbookViewId="0">
      <selection activeCell="H42" sqref="H42:H72"/>
    </sheetView>
  </sheetViews>
  <sheetFormatPr defaultRowHeight="15" x14ac:dyDescent="0.25"/>
  <cols>
    <col min="2" max="2" width="20.85546875" style="60" bestFit="1" customWidth="1"/>
    <col min="3" max="3" width="20.85546875" style="60" customWidth="1"/>
    <col min="4" max="4" width="9.5703125" style="73" customWidth="1"/>
    <col min="5" max="8" width="16.7109375" style="81" customWidth="1"/>
    <col min="9" max="9" width="9.140625" style="80"/>
    <col min="10" max="10" width="15.7109375" style="84" customWidth="1"/>
    <col min="11" max="14" width="9.140625" style="1"/>
  </cols>
  <sheetData>
    <row r="3" spans="2:14" ht="15.75" thickBot="1" x14ac:dyDescent="0.3"/>
    <row r="4" spans="2:14" ht="15.75" customHeight="1" x14ac:dyDescent="0.25">
      <c r="B4" s="174" t="s">
        <v>115</v>
      </c>
      <c r="C4" s="170" t="s">
        <v>505</v>
      </c>
      <c r="D4" s="170" t="s">
        <v>502</v>
      </c>
      <c r="E4" s="82" t="s">
        <v>480</v>
      </c>
      <c r="F4" s="82" t="s">
        <v>481</v>
      </c>
      <c r="G4" s="82" t="s">
        <v>482</v>
      </c>
      <c r="H4" s="82" t="s">
        <v>483</v>
      </c>
      <c r="I4" s="172" t="s">
        <v>114</v>
      </c>
      <c r="J4" s="168" t="s">
        <v>515</v>
      </c>
      <c r="K4" s="176" t="s">
        <v>511</v>
      </c>
      <c r="L4" s="176" t="s">
        <v>512</v>
      </c>
      <c r="M4" s="176" t="s">
        <v>513</v>
      </c>
      <c r="N4" s="166" t="s">
        <v>514</v>
      </c>
    </row>
    <row r="5" spans="2:14" ht="15.75" customHeight="1" thickBot="1" x14ac:dyDescent="0.3">
      <c r="B5" s="175"/>
      <c r="C5" s="171"/>
      <c r="D5" s="171"/>
      <c r="E5" s="83">
        <v>42604</v>
      </c>
      <c r="F5" s="83">
        <v>42611</v>
      </c>
      <c r="G5" s="83">
        <v>42619</v>
      </c>
      <c r="H5" s="83">
        <v>42625</v>
      </c>
      <c r="I5" s="173"/>
      <c r="J5" s="169"/>
      <c r="K5" s="177"/>
      <c r="L5" s="177"/>
      <c r="M5" s="177"/>
      <c r="N5" s="167"/>
    </row>
    <row r="6" spans="2:14" x14ac:dyDescent="0.25">
      <c r="B6" s="71" t="s">
        <v>0</v>
      </c>
      <c r="C6" s="74" t="str">
        <f>IFERROR(VLOOKUP(B6,Table2[],2,0),"")</f>
        <v>Deb</v>
      </c>
      <c r="D6" s="77">
        <v>60</v>
      </c>
      <c r="E6" s="78">
        <v>12</v>
      </c>
      <c r="F6" s="78">
        <v>15</v>
      </c>
      <c r="G6" s="78">
        <v>9</v>
      </c>
      <c r="H6" s="78">
        <v>15</v>
      </c>
      <c r="I6" s="79">
        <f>IF(B6="","",SUM(E6:H6))</f>
        <v>51</v>
      </c>
      <c r="J6" s="84">
        <f>IFERROR(ROUNDUP(8*(I6/VLOOKUP(B6,Table2[],5,0)),0),"")</f>
        <v>51</v>
      </c>
      <c r="K6" s="1">
        <f>IFERROR(ROUNDUP(8*(E6/VLOOKUP(B6,Table2[],5,0)),0),"")</f>
        <v>12</v>
      </c>
      <c r="L6" s="1">
        <f>IFERROR(ROUNDUP(8*(F6/VLOOKUP(B6,Table2[],5,0)),0),"")</f>
        <v>15</v>
      </c>
      <c r="M6" s="1">
        <f>IFERROR(ROUNDUP(8*(G6/VLOOKUP(B6,Table2[],5,0)),0),"")</f>
        <v>9</v>
      </c>
      <c r="N6" s="1">
        <f>IFERROR(ROUNDUP(8*(H6/VLOOKUP(B6,Table2[],5,0)),0),"")</f>
        <v>15</v>
      </c>
    </row>
    <row r="7" spans="2:14" ht="12.75" customHeight="1" x14ac:dyDescent="0.25">
      <c r="B7" s="71" t="s">
        <v>1</v>
      </c>
      <c r="C7" s="74" t="str">
        <f>IFERROR(VLOOKUP(B7,Table2[],2,0),"")</f>
        <v>Deb</v>
      </c>
      <c r="D7" s="77">
        <v>0</v>
      </c>
      <c r="E7" s="78">
        <v>2</v>
      </c>
      <c r="F7" s="78">
        <v>0</v>
      </c>
      <c r="G7" s="78">
        <v>0</v>
      </c>
      <c r="H7" s="78">
        <v>0</v>
      </c>
      <c r="I7" s="79">
        <f t="shared" ref="I7:I70" si="0">IF(B7="","",SUM(E7:H7))</f>
        <v>2</v>
      </c>
      <c r="J7" s="84">
        <f>IFERROR(ROUNDUP(8*(I7/VLOOKUP(B7,Table2[],5,0)),0),"")</f>
        <v>4</v>
      </c>
      <c r="K7" s="1">
        <f>IFERROR(ROUNDUP(8*(E7/VLOOKUP(B7,Table2[],5,0)),0),"")</f>
        <v>4</v>
      </c>
      <c r="L7" s="1">
        <f>IFERROR(ROUNDUP(8*(F7/VLOOKUP(B7,Table2[],5,0)),0),"")</f>
        <v>0</v>
      </c>
      <c r="M7" s="1">
        <f>IFERROR(ROUNDUP(8*(G7/VLOOKUP(B7,Table2[],5,0)),0),"")</f>
        <v>0</v>
      </c>
      <c r="N7" s="1">
        <f>IFERROR(ROUNDUP(8*(H7/VLOOKUP(B7,Table2[],5,0)),0),"")</f>
        <v>0</v>
      </c>
    </row>
    <row r="8" spans="2:14" x14ac:dyDescent="0.25">
      <c r="B8" s="71" t="s">
        <v>2</v>
      </c>
      <c r="C8" s="74" t="str">
        <f>IFERROR(VLOOKUP(B8,Table2[],2,0),"")</f>
        <v>Deb</v>
      </c>
      <c r="D8" s="77">
        <v>0</v>
      </c>
      <c r="E8" s="78">
        <v>0</v>
      </c>
      <c r="F8" s="78">
        <v>0</v>
      </c>
      <c r="G8" s="78">
        <v>0</v>
      </c>
      <c r="H8" s="78">
        <v>0</v>
      </c>
      <c r="I8" s="79">
        <f t="shared" si="0"/>
        <v>0</v>
      </c>
      <c r="J8" s="84">
        <f>IFERROR(ROUNDUP(8*(I8/VLOOKUP(B8,Table2[],5,0)),0),"")</f>
        <v>0</v>
      </c>
      <c r="K8" s="1">
        <f>IFERROR(ROUNDUP(8*(E8/VLOOKUP(B8,Table2[],5,0)),0),"")</f>
        <v>0</v>
      </c>
      <c r="L8" s="1">
        <f>IFERROR(ROUNDUP(8*(F8/VLOOKUP(B8,Table2[],5,0)),0),"")</f>
        <v>0</v>
      </c>
      <c r="M8" s="1">
        <f>IFERROR(ROUNDUP(8*(G8/VLOOKUP(B8,Table2[],5,0)),0),"")</f>
        <v>0</v>
      </c>
      <c r="N8" s="1">
        <f>IFERROR(ROUNDUP(8*(H8/VLOOKUP(B8,Table2[],5,0)),0),"")</f>
        <v>0</v>
      </c>
    </row>
    <row r="9" spans="2:14" x14ac:dyDescent="0.25">
      <c r="B9" s="71" t="s">
        <v>3</v>
      </c>
      <c r="C9" s="74" t="str">
        <f>IFERROR(VLOOKUP(B9,Table2[],2,0),"")</f>
        <v>Deb</v>
      </c>
      <c r="D9" s="77">
        <v>0</v>
      </c>
      <c r="E9" s="78">
        <v>0</v>
      </c>
      <c r="F9" s="78">
        <v>0</v>
      </c>
      <c r="G9" s="78">
        <v>0</v>
      </c>
      <c r="H9" s="78">
        <v>0</v>
      </c>
      <c r="I9" s="79">
        <f t="shared" si="0"/>
        <v>0</v>
      </c>
      <c r="J9" s="84">
        <f>IFERROR(ROUNDUP(8*(I9/VLOOKUP(B9,Table2[],5,0)),0),"")</f>
        <v>0</v>
      </c>
      <c r="K9" s="1">
        <f>IFERROR(ROUNDUP(8*(E9/VLOOKUP(B9,Table2[],5,0)),0),"")</f>
        <v>0</v>
      </c>
      <c r="L9" s="1">
        <f>IFERROR(ROUNDUP(8*(F9/VLOOKUP(B9,Table2[],5,0)),0),"")</f>
        <v>0</v>
      </c>
      <c r="M9" s="1">
        <f>IFERROR(ROUNDUP(8*(G9/VLOOKUP(B9,Table2[],5,0)),0),"")</f>
        <v>0</v>
      </c>
      <c r="N9" s="1">
        <f>IFERROR(ROUNDUP(8*(H9/VLOOKUP(B9,Table2[],5,0)),0),"")</f>
        <v>0</v>
      </c>
    </row>
    <row r="10" spans="2:14" x14ac:dyDescent="0.25">
      <c r="B10" s="71" t="s">
        <v>4</v>
      </c>
      <c r="C10" s="74" t="str">
        <f>IFERROR(VLOOKUP(B10,Table2[],2,0),"")</f>
        <v>Deb</v>
      </c>
      <c r="D10" s="77">
        <v>0</v>
      </c>
      <c r="E10" s="78">
        <v>0</v>
      </c>
      <c r="F10" s="78">
        <v>0</v>
      </c>
      <c r="G10" s="78">
        <v>0</v>
      </c>
      <c r="H10" s="78">
        <v>0</v>
      </c>
      <c r="I10" s="79">
        <f t="shared" si="0"/>
        <v>0</v>
      </c>
      <c r="J10" s="84">
        <f>IFERROR(ROUNDUP(8*(I10/VLOOKUP(B10,Table2[],5,0)),0),"")</f>
        <v>0</v>
      </c>
      <c r="K10" s="1">
        <f>IFERROR(ROUNDUP(8*(E10/VLOOKUP(B10,Table2[],5,0)),0),"")</f>
        <v>0</v>
      </c>
      <c r="L10" s="1">
        <f>IFERROR(ROUNDUP(8*(F10/VLOOKUP(B10,Table2[],5,0)),0),"")</f>
        <v>0</v>
      </c>
      <c r="M10" s="1">
        <f>IFERROR(ROUNDUP(8*(G10/VLOOKUP(B10,Table2[],5,0)),0),"")</f>
        <v>0</v>
      </c>
      <c r="N10" s="1">
        <f>IFERROR(ROUNDUP(8*(H10/VLOOKUP(B10,Table2[],5,0)),0),"")</f>
        <v>0</v>
      </c>
    </row>
    <row r="11" spans="2:14" x14ac:dyDescent="0.25">
      <c r="B11" s="71" t="s">
        <v>5</v>
      </c>
      <c r="C11" s="74" t="str">
        <f>IFERROR(VLOOKUP(B11,Table2[],2,0),"")</f>
        <v>Elvis</v>
      </c>
      <c r="D11" s="77">
        <v>0</v>
      </c>
      <c r="E11" s="78">
        <v>4</v>
      </c>
      <c r="F11" s="78">
        <v>5</v>
      </c>
      <c r="G11" s="78">
        <v>1</v>
      </c>
      <c r="H11" s="78">
        <v>0</v>
      </c>
      <c r="I11" s="79">
        <f t="shared" si="0"/>
        <v>10</v>
      </c>
      <c r="J11" s="84">
        <f>IFERROR(ROUNDUP(8*(I11/VLOOKUP(B11,Table2[],5,0)),0),"")</f>
        <v>160</v>
      </c>
      <c r="K11" s="1">
        <f>IFERROR(ROUNDUP(8*(E11/VLOOKUP(B11,Table2[],5,0)),0),"")</f>
        <v>64</v>
      </c>
      <c r="L11" s="1">
        <f>IFERROR(ROUNDUP(8*(F11/VLOOKUP(B11,Table2[],5,0)),0),"")</f>
        <v>80</v>
      </c>
      <c r="M11" s="1">
        <f>IFERROR(ROUNDUP(8*(G11/VLOOKUP(B11,Table2[],5,0)),0),"")</f>
        <v>16</v>
      </c>
      <c r="N11" s="1">
        <f>IFERROR(ROUNDUP(8*(H11/VLOOKUP(B11,Table2[],5,0)),0),"")</f>
        <v>0</v>
      </c>
    </row>
    <row r="12" spans="2:14" x14ac:dyDescent="0.25">
      <c r="B12" s="71" t="s">
        <v>6</v>
      </c>
      <c r="C12" s="74" t="str">
        <f>IFERROR(VLOOKUP(B12,Table2[],2,0),"")</f>
        <v>Luis</v>
      </c>
      <c r="D12" s="77">
        <v>0</v>
      </c>
      <c r="E12" s="78">
        <v>0</v>
      </c>
      <c r="F12" s="78">
        <v>0</v>
      </c>
      <c r="G12" s="78">
        <v>0</v>
      </c>
      <c r="H12" s="78">
        <v>0</v>
      </c>
      <c r="I12" s="79">
        <f t="shared" si="0"/>
        <v>0</v>
      </c>
      <c r="J12" s="84">
        <f>IFERROR(ROUNDUP(8*(I12/VLOOKUP(B12,Table2[],5,0)),0),"")</f>
        <v>0</v>
      </c>
      <c r="K12" s="1">
        <f>IFERROR(ROUNDUP(8*(E12/VLOOKUP(B12,Table2[],5,0)),0),"")</f>
        <v>0</v>
      </c>
      <c r="L12" s="1">
        <f>IFERROR(ROUNDUP(8*(F12/VLOOKUP(B12,Table2[],5,0)),0),"")</f>
        <v>0</v>
      </c>
      <c r="M12" s="1">
        <f>IFERROR(ROUNDUP(8*(G12/VLOOKUP(B12,Table2[],5,0)),0),"")</f>
        <v>0</v>
      </c>
      <c r="N12" s="1">
        <f>IFERROR(ROUNDUP(8*(H12/VLOOKUP(B12,Table2[],5,0)),0),"")</f>
        <v>0</v>
      </c>
    </row>
    <row r="13" spans="2:14" x14ac:dyDescent="0.25">
      <c r="B13" s="71" t="s">
        <v>7</v>
      </c>
      <c r="C13" s="74" t="str">
        <f>IFERROR(VLOOKUP(B13,Table2[],2,0),"")</f>
        <v>Dan</v>
      </c>
      <c r="D13" s="77">
        <v>7</v>
      </c>
      <c r="E13" s="78">
        <v>4</v>
      </c>
      <c r="F13" s="78">
        <v>5</v>
      </c>
      <c r="G13" s="78">
        <v>3</v>
      </c>
      <c r="H13" s="78">
        <v>5</v>
      </c>
      <c r="I13" s="79">
        <f t="shared" si="0"/>
        <v>17</v>
      </c>
      <c r="J13" s="84">
        <f>IFERROR(ROUNDUP(8*(I13/VLOOKUP(B13,Table2[],5,0)),0),"")</f>
        <v>14</v>
      </c>
      <c r="K13" s="1">
        <f>IFERROR(ROUNDUP(8*(E13/VLOOKUP(B13,Table2[],5,0)),0),"")</f>
        <v>4</v>
      </c>
      <c r="L13" s="1">
        <f>IFERROR(ROUNDUP(8*(F13/VLOOKUP(B13,Table2[],5,0)),0),"")</f>
        <v>4</v>
      </c>
      <c r="M13" s="1">
        <f>IFERROR(ROUNDUP(8*(G13/VLOOKUP(B13,Table2[],5,0)),0),"")</f>
        <v>3</v>
      </c>
      <c r="N13" s="1">
        <f>IFERROR(ROUNDUP(8*(H13/VLOOKUP(B13,Table2[],5,0)),0),"")</f>
        <v>4</v>
      </c>
    </row>
    <row r="14" spans="2:14" x14ac:dyDescent="0.25">
      <c r="B14" s="71" t="s">
        <v>8</v>
      </c>
      <c r="C14" s="74" t="str">
        <f>IFERROR(VLOOKUP(B14,Table2[],2,0),"")</f>
        <v>Dan</v>
      </c>
      <c r="D14" s="77">
        <v>13</v>
      </c>
      <c r="E14" s="78">
        <v>4</v>
      </c>
      <c r="F14" s="78">
        <v>5</v>
      </c>
      <c r="G14" s="78">
        <v>3</v>
      </c>
      <c r="H14" s="78">
        <v>0</v>
      </c>
      <c r="I14" s="79">
        <f t="shared" si="0"/>
        <v>12</v>
      </c>
      <c r="J14" s="84">
        <f>IFERROR(ROUNDUP(8*(I14/VLOOKUP(B14,Table2[],5,0)),0),"")</f>
        <v>96</v>
      </c>
      <c r="K14" s="1">
        <f>IFERROR(ROUNDUP(8*(E14/VLOOKUP(B14,Table2[],5,0)),0),"")</f>
        <v>32</v>
      </c>
      <c r="L14" s="1">
        <f>IFERROR(ROUNDUP(8*(F14/VLOOKUP(B14,Table2[],5,0)),0),"")</f>
        <v>40</v>
      </c>
      <c r="M14" s="1">
        <f>IFERROR(ROUNDUP(8*(G14/VLOOKUP(B14,Table2[],5,0)),0),"")</f>
        <v>24</v>
      </c>
      <c r="N14" s="1">
        <f>IFERROR(ROUNDUP(8*(H14/VLOOKUP(B14,Table2[],5,0)),0),"")</f>
        <v>0</v>
      </c>
    </row>
    <row r="15" spans="2:14" x14ac:dyDescent="0.25">
      <c r="B15" s="71" t="s">
        <v>9</v>
      </c>
      <c r="C15" s="74" t="str">
        <f>IFERROR(VLOOKUP(B15,Table2[],2,0),"")</f>
        <v>Felix</v>
      </c>
      <c r="D15" s="77">
        <v>48</v>
      </c>
      <c r="E15" s="78">
        <v>8</v>
      </c>
      <c r="F15" s="78">
        <v>0</v>
      </c>
      <c r="G15" s="78">
        <v>0</v>
      </c>
      <c r="H15" s="78">
        <v>0</v>
      </c>
      <c r="I15" s="79">
        <f t="shared" si="0"/>
        <v>8</v>
      </c>
      <c r="J15" s="84">
        <f>IFERROR(ROUNDUP(8*(I15/VLOOKUP(B15,Table2[],5,0)),0),"")</f>
        <v>128</v>
      </c>
      <c r="K15" s="1">
        <f>IFERROR(ROUNDUP(8*(E15/VLOOKUP(B15,Table2[],5,0)),0),"")</f>
        <v>128</v>
      </c>
      <c r="L15" s="1">
        <f>IFERROR(ROUNDUP(8*(F15/VLOOKUP(B15,Table2[],5,0)),0),"")</f>
        <v>0</v>
      </c>
      <c r="M15" s="1">
        <f>IFERROR(ROUNDUP(8*(G15/VLOOKUP(B15,Table2[],5,0)),0),"")</f>
        <v>0</v>
      </c>
      <c r="N15" s="1">
        <f>IFERROR(ROUNDUP(8*(H15/VLOOKUP(B15,Table2[],5,0)),0),"")</f>
        <v>0</v>
      </c>
    </row>
    <row r="16" spans="2:14" x14ac:dyDescent="0.25">
      <c r="B16" s="71" t="s">
        <v>10</v>
      </c>
      <c r="C16" s="74" t="str">
        <f>IFERROR(VLOOKUP(B16,Table2[],2,0),"")</f>
        <v>Jeana</v>
      </c>
      <c r="D16" s="77">
        <v>0</v>
      </c>
      <c r="E16" s="78">
        <v>0</v>
      </c>
      <c r="F16" s="78">
        <v>0</v>
      </c>
      <c r="G16" s="78">
        <v>0</v>
      </c>
      <c r="H16" s="78">
        <v>0</v>
      </c>
      <c r="I16" s="79">
        <f t="shared" si="0"/>
        <v>0</v>
      </c>
      <c r="J16" s="84">
        <f>IFERROR(ROUNDUP(8*(I16/VLOOKUP(B16,Table2[],5,0)),0),"")</f>
        <v>0</v>
      </c>
      <c r="K16" s="1">
        <f>IFERROR(ROUNDUP(8*(E16/VLOOKUP(B16,Table2[],5,0)),0),"")</f>
        <v>0</v>
      </c>
      <c r="L16" s="1">
        <f>IFERROR(ROUNDUP(8*(F16/VLOOKUP(B16,Table2[],5,0)),0),"")</f>
        <v>0</v>
      </c>
      <c r="M16" s="1">
        <f>IFERROR(ROUNDUP(8*(G16/VLOOKUP(B16,Table2[],5,0)),0),"")</f>
        <v>0</v>
      </c>
      <c r="N16" s="1">
        <f>IFERROR(ROUNDUP(8*(H16/VLOOKUP(B16,Table2[],5,0)),0),"")</f>
        <v>0</v>
      </c>
    </row>
    <row r="17" spans="2:14" x14ac:dyDescent="0.25">
      <c r="B17" s="71" t="s">
        <v>11</v>
      </c>
      <c r="C17" s="74" t="str">
        <f>IFERROR(VLOOKUP(B17,Table2[],2,0),"")</f>
        <v>Jeana</v>
      </c>
      <c r="D17" s="77">
        <v>0</v>
      </c>
      <c r="E17" s="78">
        <v>4</v>
      </c>
      <c r="F17" s="78">
        <v>5</v>
      </c>
      <c r="G17" s="78">
        <v>1</v>
      </c>
      <c r="H17" s="78">
        <v>0</v>
      </c>
      <c r="I17" s="79">
        <f t="shared" si="0"/>
        <v>10</v>
      </c>
      <c r="J17" s="84">
        <f>IFERROR(ROUNDUP(8*(I17/VLOOKUP(B17,Table2[],5,0)),0),"")</f>
        <v>4</v>
      </c>
      <c r="K17" s="1">
        <f>IFERROR(ROUNDUP(8*(E17/VLOOKUP(B17,Table2[],5,0)),0),"")</f>
        <v>2</v>
      </c>
      <c r="L17" s="1">
        <f>IFERROR(ROUNDUP(8*(F17/VLOOKUP(B17,Table2[],5,0)),0),"")</f>
        <v>2</v>
      </c>
      <c r="M17" s="1">
        <f>IFERROR(ROUNDUP(8*(G17/VLOOKUP(B17,Table2[],5,0)),0),"")</f>
        <v>1</v>
      </c>
      <c r="N17" s="1">
        <f>IFERROR(ROUNDUP(8*(H17/VLOOKUP(B17,Table2[],5,0)),0),"")</f>
        <v>0</v>
      </c>
    </row>
    <row r="18" spans="2:14" x14ac:dyDescent="0.25">
      <c r="B18" s="71" t="s">
        <v>12</v>
      </c>
      <c r="C18" s="74" t="str">
        <f>IFERROR(VLOOKUP(B18,Table2[],2,0),"")</f>
        <v>Jeana</v>
      </c>
      <c r="D18" s="77">
        <v>18</v>
      </c>
      <c r="E18" s="78">
        <v>4</v>
      </c>
      <c r="F18" s="78">
        <v>5</v>
      </c>
      <c r="G18" s="78">
        <v>3</v>
      </c>
      <c r="H18" s="78">
        <v>5</v>
      </c>
      <c r="I18" s="79">
        <f t="shared" si="0"/>
        <v>17</v>
      </c>
      <c r="J18" s="84">
        <f>IFERROR(ROUNDUP(8*(I18/VLOOKUP(B18,Table2[],5,0)),0),"")</f>
        <v>6</v>
      </c>
      <c r="K18" s="1">
        <f>IFERROR(ROUNDUP(8*(E18/VLOOKUP(B18,Table2[],5,0)),0),"")</f>
        <v>2</v>
      </c>
      <c r="L18" s="1">
        <f>IFERROR(ROUNDUP(8*(F18/VLOOKUP(B18,Table2[],5,0)),0),"")</f>
        <v>2</v>
      </c>
      <c r="M18" s="1">
        <f>IFERROR(ROUNDUP(8*(G18/VLOOKUP(B18,Table2[],5,0)),0),"")</f>
        <v>1</v>
      </c>
      <c r="N18" s="1">
        <f>IFERROR(ROUNDUP(8*(H18/VLOOKUP(B18,Table2[],5,0)),0),"")</f>
        <v>2</v>
      </c>
    </row>
    <row r="19" spans="2:14" x14ac:dyDescent="0.25">
      <c r="B19" s="71" t="s">
        <v>13</v>
      </c>
      <c r="C19" s="74" t="str">
        <f>IFERROR(VLOOKUP(B19,Table2[],2,0),"")</f>
        <v>Jeana</v>
      </c>
      <c r="D19" s="77">
        <v>4</v>
      </c>
      <c r="E19" s="78">
        <v>1</v>
      </c>
      <c r="F19" s="78">
        <v>0</v>
      </c>
      <c r="G19" s="78">
        <v>0</v>
      </c>
      <c r="H19" s="78">
        <v>0</v>
      </c>
      <c r="I19" s="79">
        <f t="shared" si="0"/>
        <v>1</v>
      </c>
      <c r="J19" s="84">
        <f>IFERROR(ROUNDUP(8*(I19/VLOOKUP(B19,Table2[],5,0)),0),"")</f>
        <v>1</v>
      </c>
      <c r="K19" s="1">
        <f>IFERROR(ROUNDUP(8*(E19/VLOOKUP(B19,Table2[],5,0)),0),"")</f>
        <v>1</v>
      </c>
      <c r="L19" s="1">
        <f>IFERROR(ROUNDUP(8*(F19/VLOOKUP(B19,Table2[],5,0)),0),"")</f>
        <v>0</v>
      </c>
      <c r="M19" s="1">
        <f>IFERROR(ROUNDUP(8*(G19/VLOOKUP(B19,Table2[],5,0)),0),"")</f>
        <v>0</v>
      </c>
      <c r="N19" s="1">
        <f>IFERROR(ROUNDUP(8*(H19/VLOOKUP(B19,Table2[],5,0)),0),"")</f>
        <v>0</v>
      </c>
    </row>
    <row r="20" spans="2:14" x14ac:dyDescent="0.25">
      <c r="B20" s="71" t="s">
        <v>14</v>
      </c>
      <c r="C20" s="74" t="str">
        <f>IFERROR(VLOOKUP(B20,Table2[],2,0),"")</f>
        <v>Jeana</v>
      </c>
      <c r="D20" s="77">
        <v>4</v>
      </c>
      <c r="E20" s="78">
        <v>4</v>
      </c>
      <c r="F20" s="78">
        <v>5</v>
      </c>
      <c r="G20" s="78">
        <v>3</v>
      </c>
      <c r="H20" s="78">
        <v>4</v>
      </c>
      <c r="I20" s="79">
        <f t="shared" si="0"/>
        <v>16</v>
      </c>
      <c r="J20" s="84">
        <f>IFERROR(ROUNDUP(8*(I20/VLOOKUP(B20,Table2[],5,0)),0),"")</f>
        <v>6</v>
      </c>
      <c r="K20" s="1">
        <f>IFERROR(ROUNDUP(8*(E20/VLOOKUP(B20,Table2[],5,0)),0),"")</f>
        <v>2</v>
      </c>
      <c r="L20" s="1">
        <f>IFERROR(ROUNDUP(8*(F20/VLOOKUP(B20,Table2[],5,0)),0),"")</f>
        <v>2</v>
      </c>
      <c r="M20" s="1">
        <f>IFERROR(ROUNDUP(8*(G20/VLOOKUP(B20,Table2[],5,0)),0),"")</f>
        <v>1</v>
      </c>
      <c r="N20" s="1">
        <f>IFERROR(ROUNDUP(8*(H20/VLOOKUP(B20,Table2[],5,0)),0),"")</f>
        <v>2</v>
      </c>
    </row>
    <row r="21" spans="2:14" x14ac:dyDescent="0.25">
      <c r="B21" s="71" t="s">
        <v>15</v>
      </c>
      <c r="C21" s="74" t="str">
        <f>IFERROR(VLOOKUP(B21,Table2[],2,0),"")</f>
        <v>Jeana</v>
      </c>
      <c r="D21" s="77">
        <v>0</v>
      </c>
      <c r="E21" s="78">
        <v>0</v>
      </c>
      <c r="F21" s="78">
        <v>0</v>
      </c>
      <c r="G21" s="78">
        <v>0</v>
      </c>
      <c r="H21" s="78">
        <v>0</v>
      </c>
      <c r="I21" s="79">
        <f t="shared" si="0"/>
        <v>0</v>
      </c>
      <c r="J21" s="84">
        <f>IFERROR(ROUNDUP(8*(I21/VLOOKUP(B21,Table2[],5,0)),0),"")</f>
        <v>0</v>
      </c>
      <c r="K21" s="1">
        <f>IFERROR(ROUNDUP(8*(E21/VLOOKUP(B21,Table2[],5,0)),0),"")</f>
        <v>0</v>
      </c>
      <c r="L21" s="1">
        <f>IFERROR(ROUNDUP(8*(F21/VLOOKUP(B21,Table2[],5,0)),0),"")</f>
        <v>0</v>
      </c>
      <c r="M21" s="1">
        <f>IFERROR(ROUNDUP(8*(G21/VLOOKUP(B21,Table2[],5,0)),0),"")</f>
        <v>0</v>
      </c>
      <c r="N21" s="1">
        <f>IFERROR(ROUNDUP(8*(H21/VLOOKUP(B21,Table2[],5,0)),0),"")</f>
        <v>0</v>
      </c>
    </row>
    <row r="22" spans="2:14" x14ac:dyDescent="0.25">
      <c r="B22" s="71" t="s">
        <v>16</v>
      </c>
      <c r="C22" s="74" t="str">
        <f>IFERROR(VLOOKUP(B22,Table2[],2,0),"")</f>
        <v>Jeana</v>
      </c>
      <c r="D22" s="77">
        <v>10</v>
      </c>
      <c r="E22" s="78">
        <v>4</v>
      </c>
      <c r="F22" s="78">
        <v>5</v>
      </c>
      <c r="G22" s="78">
        <v>3</v>
      </c>
      <c r="H22" s="78">
        <v>4</v>
      </c>
      <c r="I22" s="79">
        <f t="shared" si="0"/>
        <v>16</v>
      </c>
      <c r="J22" s="84">
        <f>IFERROR(ROUNDUP(8*(I22/VLOOKUP(B22,Table2[],5,0)),0),"")</f>
        <v>6</v>
      </c>
      <c r="K22" s="1">
        <f>IFERROR(ROUNDUP(8*(E22/VLOOKUP(B22,Table2[],5,0)),0),"")</f>
        <v>2</v>
      </c>
      <c r="L22" s="1">
        <f>IFERROR(ROUNDUP(8*(F22/VLOOKUP(B22,Table2[],5,0)),0),"")</f>
        <v>2</v>
      </c>
      <c r="M22" s="1">
        <f>IFERROR(ROUNDUP(8*(G22/VLOOKUP(B22,Table2[],5,0)),0),"")</f>
        <v>1</v>
      </c>
      <c r="N22" s="1">
        <f>IFERROR(ROUNDUP(8*(H22/VLOOKUP(B22,Table2[],5,0)),0),"")</f>
        <v>2</v>
      </c>
    </row>
    <row r="23" spans="2:14" x14ac:dyDescent="0.25">
      <c r="B23" s="71" t="s">
        <v>17</v>
      </c>
      <c r="C23" s="74" t="str">
        <f>IFERROR(VLOOKUP(B23,Table2[],2,0),"")</f>
        <v>Jeana</v>
      </c>
      <c r="D23" s="77">
        <v>15</v>
      </c>
      <c r="E23" s="78">
        <v>4</v>
      </c>
      <c r="F23" s="78">
        <v>5</v>
      </c>
      <c r="G23" s="78">
        <v>3</v>
      </c>
      <c r="H23" s="78">
        <v>5</v>
      </c>
      <c r="I23" s="79">
        <f t="shared" si="0"/>
        <v>17</v>
      </c>
      <c r="J23" s="84">
        <f>IFERROR(ROUNDUP(8*(I23/VLOOKUP(B23,Table2[],5,0)),0),"")</f>
        <v>6</v>
      </c>
      <c r="K23" s="1">
        <f>IFERROR(ROUNDUP(8*(E23/VLOOKUP(B23,Table2[],5,0)),0),"")</f>
        <v>2</v>
      </c>
      <c r="L23" s="1">
        <f>IFERROR(ROUNDUP(8*(F23/VLOOKUP(B23,Table2[],5,0)),0),"")</f>
        <v>2</v>
      </c>
      <c r="M23" s="1">
        <f>IFERROR(ROUNDUP(8*(G23/VLOOKUP(B23,Table2[],5,0)),0),"")</f>
        <v>1</v>
      </c>
      <c r="N23" s="1">
        <f>IFERROR(ROUNDUP(8*(H23/VLOOKUP(B23,Table2[],5,0)),0),"")</f>
        <v>2</v>
      </c>
    </row>
    <row r="24" spans="2:14" x14ac:dyDescent="0.25">
      <c r="B24" s="71" t="s">
        <v>18</v>
      </c>
      <c r="C24" s="74" t="str">
        <f>IFERROR(VLOOKUP(B24,Table2[],2,0),"")</f>
        <v>Jeana</v>
      </c>
      <c r="D24" s="77">
        <v>8</v>
      </c>
      <c r="E24" s="78">
        <v>4</v>
      </c>
      <c r="F24" s="78">
        <v>3</v>
      </c>
      <c r="G24" s="78">
        <v>0</v>
      </c>
      <c r="H24" s="78">
        <v>0</v>
      </c>
      <c r="I24" s="79">
        <f t="shared" si="0"/>
        <v>7</v>
      </c>
      <c r="J24" s="84">
        <f>IFERROR(ROUNDUP(8*(I24/VLOOKUP(B24,Table2[],5,0)),0),"")</f>
        <v>3</v>
      </c>
      <c r="K24" s="1">
        <f>IFERROR(ROUNDUP(8*(E24/VLOOKUP(B24,Table2[],5,0)),0),"")</f>
        <v>2</v>
      </c>
      <c r="L24" s="1">
        <f>IFERROR(ROUNDUP(8*(F24/VLOOKUP(B24,Table2[],5,0)),0),"")</f>
        <v>1</v>
      </c>
      <c r="M24" s="1">
        <f>IFERROR(ROUNDUP(8*(G24/VLOOKUP(B24,Table2[],5,0)),0),"")</f>
        <v>0</v>
      </c>
      <c r="N24" s="1">
        <f>IFERROR(ROUNDUP(8*(H24/VLOOKUP(B24,Table2[],5,0)),0),"")</f>
        <v>0</v>
      </c>
    </row>
    <row r="25" spans="2:14" x14ac:dyDescent="0.25">
      <c r="B25" s="71" t="s">
        <v>19</v>
      </c>
      <c r="C25" s="74" t="str">
        <f>IFERROR(VLOOKUP(B25,Table2[],2,0),"")</f>
        <v>Jeana</v>
      </c>
      <c r="D25" s="77">
        <v>0</v>
      </c>
      <c r="E25" s="78">
        <v>4</v>
      </c>
      <c r="F25" s="78">
        <v>5</v>
      </c>
      <c r="G25" s="78">
        <v>3</v>
      </c>
      <c r="H25" s="78">
        <v>5</v>
      </c>
      <c r="I25" s="79">
        <f t="shared" si="0"/>
        <v>17</v>
      </c>
      <c r="J25" s="84">
        <f>IFERROR(ROUNDUP(8*(I25/VLOOKUP(B25,Table2[],5,0)),0),"")</f>
        <v>6</v>
      </c>
      <c r="K25" s="1">
        <f>IFERROR(ROUNDUP(8*(E25/VLOOKUP(B25,Table2[],5,0)),0),"")</f>
        <v>2</v>
      </c>
      <c r="L25" s="1">
        <f>IFERROR(ROUNDUP(8*(F25/VLOOKUP(B25,Table2[],5,0)),0),"")</f>
        <v>2</v>
      </c>
      <c r="M25" s="1">
        <f>IFERROR(ROUNDUP(8*(G25/VLOOKUP(B25,Table2[],5,0)),0),"")</f>
        <v>1</v>
      </c>
      <c r="N25" s="1">
        <f>IFERROR(ROUNDUP(8*(H25/VLOOKUP(B25,Table2[],5,0)),0),"")</f>
        <v>2</v>
      </c>
    </row>
    <row r="26" spans="2:14" x14ac:dyDescent="0.25">
      <c r="B26" s="71" t="s">
        <v>20</v>
      </c>
      <c r="C26" s="74" t="str">
        <f>IFERROR(VLOOKUP(B26,Table2[],2,0),"")</f>
        <v>Jeana</v>
      </c>
      <c r="D26" s="77">
        <v>0</v>
      </c>
      <c r="E26" s="78">
        <v>4</v>
      </c>
      <c r="F26" s="78">
        <v>5</v>
      </c>
      <c r="G26" s="78">
        <v>3</v>
      </c>
      <c r="H26" s="78">
        <v>1</v>
      </c>
      <c r="I26" s="79">
        <f t="shared" si="0"/>
        <v>13</v>
      </c>
      <c r="J26" s="84">
        <f>IFERROR(ROUNDUP(8*(I26/VLOOKUP(B26,Table2[],5,0)),0),"")</f>
        <v>5</v>
      </c>
      <c r="K26" s="1">
        <f>IFERROR(ROUNDUP(8*(E26/VLOOKUP(B26,Table2[],5,0)),0),"")</f>
        <v>2</v>
      </c>
      <c r="L26" s="1">
        <f>IFERROR(ROUNDUP(8*(F26/VLOOKUP(B26,Table2[],5,0)),0),"")</f>
        <v>2</v>
      </c>
      <c r="M26" s="1">
        <f>IFERROR(ROUNDUP(8*(G26/VLOOKUP(B26,Table2[],5,0)),0),"")</f>
        <v>1</v>
      </c>
      <c r="N26" s="1">
        <f>IFERROR(ROUNDUP(8*(H26/VLOOKUP(B26,Table2[],5,0)),0),"")</f>
        <v>1</v>
      </c>
    </row>
    <row r="27" spans="2:14" x14ac:dyDescent="0.25">
      <c r="B27" s="71" t="s">
        <v>21</v>
      </c>
      <c r="C27" s="74" t="str">
        <f>IFERROR(VLOOKUP(B27,Table2[],2,0),"")</f>
        <v>Jeana</v>
      </c>
      <c r="D27" s="77">
        <v>0</v>
      </c>
      <c r="E27" s="78">
        <v>0</v>
      </c>
      <c r="F27" s="78">
        <v>0</v>
      </c>
      <c r="G27" s="78">
        <v>0</v>
      </c>
      <c r="H27" s="78">
        <v>0</v>
      </c>
      <c r="I27" s="79">
        <f t="shared" si="0"/>
        <v>0</v>
      </c>
      <c r="J27" s="84">
        <f>IFERROR(ROUNDUP(8*(I27/VLOOKUP(B27,Table2[],5,0)),0),"")</f>
        <v>0</v>
      </c>
      <c r="K27" s="1">
        <f>IFERROR(ROUNDUP(8*(E27/VLOOKUP(B27,Table2[],5,0)),0),"")</f>
        <v>0</v>
      </c>
      <c r="L27" s="1">
        <f>IFERROR(ROUNDUP(8*(F27/VLOOKUP(B27,Table2[],5,0)),0),"")</f>
        <v>0</v>
      </c>
      <c r="M27" s="1">
        <f>IFERROR(ROUNDUP(8*(G27/VLOOKUP(B27,Table2[],5,0)),0),"")</f>
        <v>0</v>
      </c>
      <c r="N27" s="1">
        <f>IFERROR(ROUNDUP(8*(H27/VLOOKUP(B27,Table2[],5,0)),0),"")</f>
        <v>0</v>
      </c>
    </row>
    <row r="28" spans="2:14" x14ac:dyDescent="0.25">
      <c r="B28" s="71" t="s">
        <v>22</v>
      </c>
      <c r="C28" s="74" t="str">
        <f>IFERROR(VLOOKUP(B28,Table2[],2,0),"")</f>
        <v>Jeana</v>
      </c>
      <c r="D28" s="77">
        <v>1</v>
      </c>
      <c r="E28" s="78">
        <v>4</v>
      </c>
      <c r="F28" s="78">
        <v>3</v>
      </c>
      <c r="G28" s="78">
        <v>0</v>
      </c>
      <c r="H28" s="78">
        <v>0</v>
      </c>
      <c r="I28" s="79">
        <f t="shared" si="0"/>
        <v>7</v>
      </c>
      <c r="J28" s="84">
        <f>IFERROR(ROUNDUP(8*(I28/VLOOKUP(B28,Table2[],5,0)),0),"")</f>
        <v>3</v>
      </c>
      <c r="K28" s="1">
        <f>IFERROR(ROUNDUP(8*(E28/VLOOKUP(B28,Table2[],5,0)),0),"")</f>
        <v>2</v>
      </c>
      <c r="L28" s="1">
        <f>IFERROR(ROUNDUP(8*(F28/VLOOKUP(B28,Table2[],5,0)),0),"")</f>
        <v>1</v>
      </c>
      <c r="M28" s="1">
        <f>IFERROR(ROUNDUP(8*(G28/VLOOKUP(B28,Table2[],5,0)),0),"")</f>
        <v>0</v>
      </c>
      <c r="N28" s="1">
        <f>IFERROR(ROUNDUP(8*(H28/VLOOKUP(B28,Table2[],5,0)),0),"")</f>
        <v>0</v>
      </c>
    </row>
    <row r="29" spans="2:14" x14ac:dyDescent="0.25">
      <c r="B29" s="71" t="s">
        <v>23</v>
      </c>
      <c r="C29" s="74" t="str">
        <f>IFERROR(VLOOKUP(B29,Table2[],2,0),"")</f>
        <v>Jeana</v>
      </c>
      <c r="D29" s="77">
        <v>15</v>
      </c>
      <c r="E29" s="78">
        <v>4</v>
      </c>
      <c r="F29" s="78">
        <v>5</v>
      </c>
      <c r="G29" s="78">
        <v>3</v>
      </c>
      <c r="H29" s="78">
        <v>5</v>
      </c>
      <c r="I29" s="79">
        <f t="shared" si="0"/>
        <v>17</v>
      </c>
      <c r="J29" s="84">
        <f>IFERROR(ROUNDUP(8*(I29/VLOOKUP(B29,Table2[],5,0)),0),"")</f>
        <v>6</v>
      </c>
      <c r="K29" s="1">
        <f>IFERROR(ROUNDUP(8*(E29/VLOOKUP(B29,Table2[],5,0)),0),"")</f>
        <v>2</v>
      </c>
      <c r="L29" s="1">
        <f>IFERROR(ROUNDUP(8*(F29/VLOOKUP(B29,Table2[],5,0)),0),"")</f>
        <v>2</v>
      </c>
      <c r="M29" s="1">
        <f>IFERROR(ROUNDUP(8*(G29/VLOOKUP(B29,Table2[],5,0)),0),"")</f>
        <v>1</v>
      </c>
      <c r="N29" s="1">
        <f>IFERROR(ROUNDUP(8*(H29/VLOOKUP(B29,Table2[],5,0)),0),"")</f>
        <v>2</v>
      </c>
    </row>
    <row r="30" spans="2:14" x14ac:dyDescent="0.25">
      <c r="B30" s="71" t="s">
        <v>24</v>
      </c>
      <c r="C30" s="74" t="str">
        <f>IFERROR(VLOOKUP(B30,Table2[],2,0),"")</f>
        <v>Jeana</v>
      </c>
      <c r="D30" s="77">
        <v>41</v>
      </c>
      <c r="E30" s="78">
        <v>16</v>
      </c>
      <c r="F30" s="78">
        <v>20</v>
      </c>
      <c r="G30" s="78">
        <v>12</v>
      </c>
      <c r="H30" s="78">
        <v>20</v>
      </c>
      <c r="I30" s="79">
        <f t="shared" si="0"/>
        <v>68</v>
      </c>
      <c r="J30" s="84">
        <f>IFERROR(ROUNDUP(8*(I30/VLOOKUP(B30,Table2[],5,0)),0),"")</f>
        <v>23</v>
      </c>
      <c r="K30" s="1">
        <f>IFERROR(ROUNDUP(8*(E30/VLOOKUP(B30,Table2[],5,0)),0),"")</f>
        <v>6</v>
      </c>
      <c r="L30" s="1">
        <f>IFERROR(ROUNDUP(8*(F30/VLOOKUP(B30,Table2[],5,0)),0),"")</f>
        <v>7</v>
      </c>
      <c r="M30" s="1">
        <f>IFERROR(ROUNDUP(8*(G30/VLOOKUP(B30,Table2[],5,0)),0),"")</f>
        <v>4</v>
      </c>
      <c r="N30" s="1">
        <f>IFERROR(ROUNDUP(8*(H30/VLOOKUP(B30,Table2[],5,0)),0),"")</f>
        <v>7</v>
      </c>
    </row>
    <row r="31" spans="2:14" x14ac:dyDescent="0.25">
      <c r="B31" s="71" t="s">
        <v>25</v>
      </c>
      <c r="C31" s="74" t="str">
        <f>IFERROR(VLOOKUP(B31,Table2[],2,0),"")</f>
        <v>Jeana</v>
      </c>
      <c r="D31" s="77">
        <v>45</v>
      </c>
      <c r="E31" s="78">
        <v>12</v>
      </c>
      <c r="F31" s="78">
        <v>15</v>
      </c>
      <c r="G31" s="78">
        <v>9</v>
      </c>
      <c r="H31" s="78">
        <v>15</v>
      </c>
      <c r="I31" s="79">
        <f t="shared" si="0"/>
        <v>51</v>
      </c>
      <c r="J31" s="84">
        <f>IFERROR(ROUNDUP(8*(I31/VLOOKUP(B31,Table2[],5,0)),0),"")</f>
        <v>9</v>
      </c>
      <c r="K31" s="1">
        <f>IFERROR(ROUNDUP(8*(E31/VLOOKUP(B31,Table2[],5,0)),0),"")</f>
        <v>2</v>
      </c>
      <c r="L31" s="1">
        <f>IFERROR(ROUNDUP(8*(F31/VLOOKUP(B31,Table2[],5,0)),0),"")</f>
        <v>3</v>
      </c>
      <c r="M31" s="1">
        <f>IFERROR(ROUNDUP(8*(G31/VLOOKUP(B31,Table2[],5,0)),0),"")</f>
        <v>2</v>
      </c>
      <c r="N31" s="1">
        <f>IFERROR(ROUNDUP(8*(H31/VLOOKUP(B31,Table2[],5,0)),0),"")</f>
        <v>3</v>
      </c>
    </row>
    <row r="32" spans="2:14" x14ac:dyDescent="0.25">
      <c r="B32" s="71" t="s">
        <v>26</v>
      </c>
      <c r="C32" s="74" t="str">
        <f>IFERROR(VLOOKUP(B32,Table2[],2,0),"")</f>
        <v>Jeana</v>
      </c>
      <c r="D32" s="77">
        <v>3</v>
      </c>
      <c r="E32" s="78">
        <v>4</v>
      </c>
      <c r="F32" s="78">
        <v>5</v>
      </c>
      <c r="G32" s="78">
        <v>3</v>
      </c>
      <c r="H32" s="78">
        <v>0</v>
      </c>
      <c r="I32" s="79">
        <f t="shared" si="0"/>
        <v>12</v>
      </c>
      <c r="J32" s="84">
        <f>IFERROR(ROUNDUP(8*(I32/VLOOKUP(B32,Table2[],5,0)),0),"")</f>
        <v>4</v>
      </c>
      <c r="K32" s="1">
        <f>IFERROR(ROUNDUP(8*(E32/VLOOKUP(B32,Table2[],5,0)),0),"")</f>
        <v>2</v>
      </c>
      <c r="L32" s="1">
        <f>IFERROR(ROUNDUP(8*(F32/VLOOKUP(B32,Table2[],5,0)),0),"")</f>
        <v>2</v>
      </c>
      <c r="M32" s="1">
        <f>IFERROR(ROUNDUP(8*(G32/VLOOKUP(B32,Table2[],5,0)),0),"")</f>
        <v>1</v>
      </c>
      <c r="N32" s="1">
        <f>IFERROR(ROUNDUP(8*(H32/VLOOKUP(B32,Table2[],5,0)),0),"")</f>
        <v>0</v>
      </c>
    </row>
    <row r="33" spans="2:14" x14ac:dyDescent="0.25">
      <c r="B33" s="71" t="s">
        <v>27</v>
      </c>
      <c r="C33" s="74" t="str">
        <f>IFERROR(VLOOKUP(B33,Table2[],2,0),"")</f>
        <v>Jeana</v>
      </c>
      <c r="D33" s="77">
        <v>0</v>
      </c>
      <c r="E33" s="78">
        <v>0</v>
      </c>
      <c r="F33" s="78">
        <v>0</v>
      </c>
      <c r="G33" s="78">
        <v>0</v>
      </c>
      <c r="H33" s="78">
        <v>0</v>
      </c>
      <c r="I33" s="79">
        <f t="shared" si="0"/>
        <v>0</v>
      </c>
      <c r="J33" s="84">
        <f>IFERROR(ROUNDUP(8*(I33/VLOOKUP(B33,Table2[],5,0)),0),"")</f>
        <v>0</v>
      </c>
      <c r="K33" s="1">
        <f>IFERROR(ROUNDUP(8*(E33/VLOOKUP(B33,Table2[],5,0)),0),"")</f>
        <v>0</v>
      </c>
      <c r="L33" s="1">
        <f>IFERROR(ROUNDUP(8*(F33/VLOOKUP(B33,Table2[],5,0)),0),"")</f>
        <v>0</v>
      </c>
      <c r="M33" s="1">
        <f>IFERROR(ROUNDUP(8*(G33/VLOOKUP(B33,Table2[],5,0)),0),"")</f>
        <v>0</v>
      </c>
      <c r="N33" s="1">
        <f>IFERROR(ROUNDUP(8*(H33/VLOOKUP(B33,Table2[],5,0)),0),"")</f>
        <v>0</v>
      </c>
    </row>
    <row r="34" spans="2:14" x14ac:dyDescent="0.25">
      <c r="B34" s="71" t="s">
        <v>28</v>
      </c>
      <c r="C34" s="74" t="str">
        <f>IFERROR(VLOOKUP(B34,Table2[],2,0),"")</f>
        <v>Jeana</v>
      </c>
      <c r="D34" s="77">
        <v>0</v>
      </c>
      <c r="E34" s="78">
        <v>0</v>
      </c>
      <c r="F34" s="78">
        <v>0</v>
      </c>
      <c r="G34" s="78">
        <v>0</v>
      </c>
      <c r="H34" s="78">
        <v>0</v>
      </c>
      <c r="I34" s="79">
        <f t="shared" si="0"/>
        <v>0</v>
      </c>
      <c r="J34" s="84">
        <f>IFERROR(ROUNDUP(8*(I34/VLOOKUP(B34,Table2[],5,0)),0),"")</f>
        <v>0</v>
      </c>
      <c r="K34" s="1">
        <f>IFERROR(ROUNDUP(8*(E34/VLOOKUP(B34,Table2[],5,0)),0),"")</f>
        <v>0</v>
      </c>
      <c r="L34" s="1">
        <f>IFERROR(ROUNDUP(8*(F34/VLOOKUP(B34,Table2[],5,0)),0),"")</f>
        <v>0</v>
      </c>
      <c r="M34" s="1">
        <f>IFERROR(ROUNDUP(8*(G34/VLOOKUP(B34,Table2[],5,0)),0),"")</f>
        <v>0</v>
      </c>
      <c r="N34" s="1">
        <f>IFERROR(ROUNDUP(8*(H34/VLOOKUP(B34,Table2[],5,0)),0),"")</f>
        <v>0</v>
      </c>
    </row>
    <row r="35" spans="2:14" x14ac:dyDescent="0.25">
      <c r="B35" s="71" t="s">
        <v>29</v>
      </c>
      <c r="C35" s="74" t="str">
        <f>IFERROR(VLOOKUP(B35,Table2[],2,0),"")</f>
        <v>Jeana</v>
      </c>
      <c r="D35" s="77">
        <v>37</v>
      </c>
      <c r="E35" s="78">
        <v>3</v>
      </c>
      <c r="F35" s="78">
        <v>0</v>
      </c>
      <c r="G35" s="78">
        <v>0</v>
      </c>
      <c r="H35" s="78">
        <v>0</v>
      </c>
      <c r="I35" s="79">
        <f t="shared" si="0"/>
        <v>3</v>
      </c>
      <c r="J35" s="84">
        <f>IFERROR(ROUNDUP(8*(I35/VLOOKUP(B35,Table2[],5,0)),0),"")</f>
        <v>1</v>
      </c>
      <c r="K35" s="1">
        <f>IFERROR(ROUNDUP(8*(E35/VLOOKUP(B35,Table2[],5,0)),0),"")</f>
        <v>1</v>
      </c>
      <c r="L35" s="1">
        <f>IFERROR(ROUNDUP(8*(F35/VLOOKUP(B35,Table2[],5,0)),0),"")</f>
        <v>0</v>
      </c>
      <c r="M35" s="1">
        <f>IFERROR(ROUNDUP(8*(G35/VLOOKUP(B35,Table2[],5,0)),0),"")</f>
        <v>0</v>
      </c>
      <c r="N35" s="1">
        <f>IFERROR(ROUNDUP(8*(H35/VLOOKUP(B35,Table2[],5,0)),0),"")</f>
        <v>0</v>
      </c>
    </row>
    <row r="36" spans="2:14" x14ac:dyDescent="0.25">
      <c r="B36" s="71" t="s">
        <v>30</v>
      </c>
      <c r="C36" s="74" t="str">
        <f>IFERROR(VLOOKUP(B36,Table2[],2,0),"")</f>
        <v>Jeana</v>
      </c>
      <c r="D36" s="77">
        <v>7</v>
      </c>
      <c r="E36" s="78">
        <v>4</v>
      </c>
      <c r="F36" s="78">
        <v>5</v>
      </c>
      <c r="G36" s="78">
        <v>3</v>
      </c>
      <c r="H36" s="78">
        <v>5</v>
      </c>
      <c r="I36" s="79">
        <f t="shared" si="0"/>
        <v>17</v>
      </c>
      <c r="J36" s="84">
        <f>IFERROR(ROUNDUP(8*(I36/VLOOKUP(B36,Table2[],5,0)),0),"")</f>
        <v>6</v>
      </c>
      <c r="K36" s="1">
        <f>IFERROR(ROUNDUP(8*(E36/VLOOKUP(B36,Table2[],5,0)),0),"")</f>
        <v>2</v>
      </c>
      <c r="L36" s="1">
        <f>IFERROR(ROUNDUP(8*(F36/VLOOKUP(B36,Table2[],5,0)),0),"")</f>
        <v>2</v>
      </c>
      <c r="M36" s="1">
        <f>IFERROR(ROUNDUP(8*(G36/VLOOKUP(B36,Table2[],5,0)),0),"")</f>
        <v>1</v>
      </c>
      <c r="N36" s="1">
        <f>IFERROR(ROUNDUP(8*(H36/VLOOKUP(B36,Table2[],5,0)),0),"")</f>
        <v>2</v>
      </c>
    </row>
    <row r="37" spans="2:14" x14ac:dyDescent="0.25">
      <c r="B37" s="71" t="s">
        <v>31</v>
      </c>
      <c r="C37" s="74" t="str">
        <f>IFERROR(VLOOKUP(B37,Table2[],2,0),"")</f>
        <v>Jeana</v>
      </c>
      <c r="D37" s="77">
        <v>0</v>
      </c>
      <c r="E37" s="81">
        <v>0</v>
      </c>
      <c r="F37" s="81">
        <v>0</v>
      </c>
      <c r="G37" s="81">
        <v>0</v>
      </c>
      <c r="H37" s="81">
        <v>0</v>
      </c>
      <c r="I37" s="79">
        <f t="shared" si="0"/>
        <v>0</v>
      </c>
      <c r="J37" s="84">
        <f>IFERROR(ROUNDUP(8*(I37/VLOOKUP(B37,Table2[],5,0)),0),"")</f>
        <v>0</v>
      </c>
      <c r="K37" s="1">
        <f>IFERROR(ROUNDUP(8*(E37/VLOOKUP(B37,Table2[],5,0)),0),"")</f>
        <v>0</v>
      </c>
      <c r="L37" s="1">
        <f>IFERROR(ROUNDUP(8*(F37/VLOOKUP(B37,Table2[],5,0)),0),"")</f>
        <v>0</v>
      </c>
      <c r="M37" s="1">
        <f>IFERROR(ROUNDUP(8*(G37/VLOOKUP(B37,Table2[],5,0)),0),"")</f>
        <v>0</v>
      </c>
      <c r="N37" s="1">
        <f>IFERROR(ROUNDUP(8*(H37/VLOOKUP(B37,Table2[],5,0)),0),"")</f>
        <v>0</v>
      </c>
    </row>
    <row r="38" spans="2:14" x14ac:dyDescent="0.25">
      <c r="B38" s="71" t="s">
        <v>32</v>
      </c>
      <c r="C38" s="74" t="str">
        <f>IFERROR(VLOOKUP(B38,Table2[],2,0),"")</f>
        <v>Jeana</v>
      </c>
      <c r="D38" s="77">
        <v>0</v>
      </c>
      <c r="E38" s="81">
        <v>0</v>
      </c>
      <c r="F38" s="81">
        <v>0</v>
      </c>
      <c r="G38" s="81">
        <v>0</v>
      </c>
      <c r="H38" s="81">
        <v>0</v>
      </c>
      <c r="I38" s="79">
        <f t="shared" si="0"/>
        <v>0</v>
      </c>
      <c r="J38" s="84">
        <f>IFERROR(ROUNDUP(8*(I38/VLOOKUP(B38,Table2[],5,0)),0),"")</f>
        <v>0</v>
      </c>
      <c r="K38" s="1">
        <f>IFERROR(ROUNDUP(8*(E38/VLOOKUP(B38,Table2[],5,0)),0),"")</f>
        <v>0</v>
      </c>
      <c r="L38" s="1">
        <f>IFERROR(ROUNDUP(8*(F38/VLOOKUP(B38,Table2[],5,0)),0),"")</f>
        <v>0</v>
      </c>
      <c r="M38" s="1">
        <f>IFERROR(ROUNDUP(8*(G38/VLOOKUP(B38,Table2[],5,0)),0),"")</f>
        <v>0</v>
      </c>
      <c r="N38" s="1">
        <f>IFERROR(ROUNDUP(8*(H38/VLOOKUP(B38,Table2[],5,0)),0),"")</f>
        <v>0</v>
      </c>
    </row>
    <row r="39" spans="2:14" x14ac:dyDescent="0.25">
      <c r="B39" s="71" t="s">
        <v>33</v>
      </c>
      <c r="C39" s="74" t="str">
        <f>IFERROR(VLOOKUP(B39,Table2[],2,0),"")</f>
        <v>Jeana</v>
      </c>
      <c r="D39" s="77">
        <v>0</v>
      </c>
      <c r="E39" s="81">
        <v>0</v>
      </c>
      <c r="F39" s="81">
        <v>0</v>
      </c>
      <c r="G39" s="81">
        <v>0</v>
      </c>
      <c r="H39" s="81">
        <v>0</v>
      </c>
      <c r="I39" s="79">
        <f t="shared" si="0"/>
        <v>0</v>
      </c>
      <c r="J39" s="84">
        <f>IFERROR(ROUNDUP(8*(I39/VLOOKUP(B39,Table2[],5,0)),0),"")</f>
        <v>0</v>
      </c>
      <c r="K39" s="1">
        <f>IFERROR(ROUNDUP(8*(E39/VLOOKUP(B39,Table2[],5,0)),0),"")</f>
        <v>0</v>
      </c>
      <c r="L39" s="1">
        <f>IFERROR(ROUNDUP(8*(F39/VLOOKUP(B39,Table2[],5,0)),0),"")</f>
        <v>0</v>
      </c>
      <c r="M39" s="1">
        <f>IFERROR(ROUNDUP(8*(G39/VLOOKUP(B39,Table2[],5,0)),0),"")</f>
        <v>0</v>
      </c>
      <c r="N39" s="1">
        <f>IFERROR(ROUNDUP(8*(H39/VLOOKUP(B39,Table2[],5,0)),0),"")</f>
        <v>0</v>
      </c>
    </row>
    <row r="40" spans="2:14" x14ac:dyDescent="0.25">
      <c r="B40" s="71" t="s">
        <v>34</v>
      </c>
      <c r="C40" s="74" t="str">
        <f>IFERROR(VLOOKUP(B40,Table2[],2,0),"")</f>
        <v>Jeana</v>
      </c>
      <c r="D40" s="77">
        <v>9</v>
      </c>
      <c r="E40" s="81">
        <v>4</v>
      </c>
      <c r="F40" s="81">
        <v>5</v>
      </c>
      <c r="G40" s="81">
        <v>1</v>
      </c>
      <c r="H40" s="81">
        <v>0</v>
      </c>
      <c r="I40" s="79">
        <f t="shared" si="0"/>
        <v>10</v>
      </c>
      <c r="J40" s="84">
        <f>IFERROR(ROUNDUP(8*(I40/VLOOKUP(B40,Table2[],5,0)),0),"")</f>
        <v>3</v>
      </c>
      <c r="K40" s="1">
        <f>IFERROR(ROUNDUP(8*(E40/VLOOKUP(B40,Table2[],5,0)),0),"")</f>
        <v>1</v>
      </c>
      <c r="L40" s="1">
        <f>IFERROR(ROUNDUP(8*(F40/VLOOKUP(B40,Table2[],5,0)),0),"")</f>
        <v>2</v>
      </c>
      <c r="M40" s="1">
        <f>IFERROR(ROUNDUP(8*(G40/VLOOKUP(B40,Table2[],5,0)),0),"")</f>
        <v>1</v>
      </c>
      <c r="N40" s="1">
        <f>IFERROR(ROUNDUP(8*(H40/VLOOKUP(B40,Table2[],5,0)),0),"")</f>
        <v>0</v>
      </c>
    </row>
    <row r="41" spans="2:14" x14ac:dyDescent="0.25">
      <c r="B41" s="71" t="s">
        <v>35</v>
      </c>
      <c r="C41" s="74" t="str">
        <f>IFERROR(VLOOKUP(B41,Table2[],2,0),"")</f>
        <v>Jeana</v>
      </c>
      <c r="D41" s="77">
        <v>14</v>
      </c>
      <c r="E41" s="81">
        <v>1</v>
      </c>
      <c r="F41" s="81">
        <v>0</v>
      </c>
      <c r="G41" s="81">
        <v>0</v>
      </c>
      <c r="H41" s="81">
        <v>0</v>
      </c>
      <c r="I41" s="79">
        <f t="shared" si="0"/>
        <v>1</v>
      </c>
      <c r="J41" s="84">
        <f>IFERROR(ROUNDUP(8*(I41/VLOOKUP(B41,Table2[],5,0)),0),"")</f>
        <v>1</v>
      </c>
      <c r="K41" s="1">
        <f>IFERROR(ROUNDUP(8*(E41/VLOOKUP(B41,Table2[],5,0)),0),"")</f>
        <v>1</v>
      </c>
      <c r="L41" s="1">
        <f>IFERROR(ROUNDUP(8*(F41/VLOOKUP(B41,Table2[],5,0)),0),"")</f>
        <v>0</v>
      </c>
      <c r="M41" s="1">
        <f>IFERROR(ROUNDUP(8*(G41/VLOOKUP(B41,Table2[],5,0)),0),"")</f>
        <v>0</v>
      </c>
      <c r="N41" s="1">
        <f>IFERROR(ROUNDUP(8*(H41/VLOOKUP(B41,Table2[],5,0)),0),"")</f>
        <v>0</v>
      </c>
    </row>
    <row r="42" spans="2:14" x14ac:dyDescent="0.25">
      <c r="B42" s="71" t="s">
        <v>36</v>
      </c>
      <c r="C42" s="74" t="str">
        <f>IFERROR(VLOOKUP(B42,Table2[],2,0),"")</f>
        <v>Kim</v>
      </c>
      <c r="D42" s="77">
        <v>0</v>
      </c>
      <c r="E42" s="81">
        <v>0</v>
      </c>
      <c r="F42" s="81">
        <v>0</v>
      </c>
      <c r="G42" s="81">
        <v>0</v>
      </c>
      <c r="H42" s="81">
        <v>0</v>
      </c>
      <c r="I42" s="79">
        <f t="shared" si="0"/>
        <v>0</v>
      </c>
      <c r="J42" s="84">
        <f>IFERROR(ROUNDUP(8*(I42/VLOOKUP(B42,Table2[],5,0)),0),"")</f>
        <v>0</v>
      </c>
      <c r="K42" s="1">
        <f>IFERROR(ROUNDUP(8*(E42/VLOOKUP(B42,Table2[],5,0)),0),"")</f>
        <v>0</v>
      </c>
      <c r="L42" s="1">
        <f>IFERROR(ROUNDUP(8*(F42/VLOOKUP(B42,Table2[],5,0)),0),"")</f>
        <v>0</v>
      </c>
      <c r="M42" s="1">
        <f>IFERROR(ROUNDUP(8*(G42/VLOOKUP(B42,Table2[],5,0)),0),"")</f>
        <v>0</v>
      </c>
      <c r="N42" s="1">
        <f>IFERROR(ROUNDUP(8*(H42/VLOOKUP(B42,Table2[],5,0)),0),"")</f>
        <v>0</v>
      </c>
    </row>
    <row r="43" spans="2:14" x14ac:dyDescent="0.25">
      <c r="B43" s="71" t="s">
        <v>37</v>
      </c>
      <c r="C43" s="74" t="str">
        <f>IFERROR(VLOOKUP(B43,Table2[],2,0),"")</f>
        <v>Kim</v>
      </c>
      <c r="D43" s="77">
        <v>48</v>
      </c>
      <c r="E43" s="81">
        <v>2</v>
      </c>
      <c r="F43" s="81">
        <v>0</v>
      </c>
      <c r="G43" s="81">
        <v>0</v>
      </c>
      <c r="H43" s="81">
        <v>0</v>
      </c>
      <c r="I43" s="79">
        <f t="shared" si="0"/>
        <v>2</v>
      </c>
      <c r="J43" s="84">
        <f>IFERROR(ROUNDUP(8*(I43/VLOOKUP(B43,Table2[],5,0)),0),"")</f>
        <v>1</v>
      </c>
      <c r="K43" s="1">
        <f>IFERROR(ROUNDUP(8*(E43/VLOOKUP(B43,Table2[],5,0)),0),"")</f>
        <v>1</v>
      </c>
      <c r="L43" s="1">
        <f>IFERROR(ROUNDUP(8*(F43/VLOOKUP(B43,Table2[],5,0)),0),"")</f>
        <v>0</v>
      </c>
      <c r="M43" s="1">
        <f>IFERROR(ROUNDUP(8*(G43/VLOOKUP(B43,Table2[],5,0)),0),"")</f>
        <v>0</v>
      </c>
      <c r="N43" s="1">
        <f>IFERROR(ROUNDUP(8*(H43/VLOOKUP(B43,Table2[],5,0)),0),"")</f>
        <v>0</v>
      </c>
    </row>
    <row r="44" spans="2:14" x14ac:dyDescent="0.25">
      <c r="B44" s="71" t="s">
        <v>38</v>
      </c>
      <c r="C44" s="74" t="str">
        <f>IFERROR(VLOOKUP(B44,Table2[],2,0),"")</f>
        <v>Milly</v>
      </c>
      <c r="D44" s="77">
        <v>84</v>
      </c>
      <c r="E44" s="81">
        <v>16</v>
      </c>
      <c r="F44" s="81">
        <v>20</v>
      </c>
      <c r="G44" s="81">
        <v>12</v>
      </c>
      <c r="H44" s="81">
        <v>20</v>
      </c>
      <c r="I44" s="79">
        <f t="shared" si="0"/>
        <v>68</v>
      </c>
      <c r="J44" s="84">
        <f>IFERROR(ROUNDUP(8*(I44/VLOOKUP(B44,Table2[],5,0)),0),"")</f>
        <v>28</v>
      </c>
      <c r="K44" s="1">
        <f>IFERROR(ROUNDUP(8*(E44/VLOOKUP(B44,Table2[],5,0)),0),"")</f>
        <v>7</v>
      </c>
      <c r="L44" s="1">
        <f>IFERROR(ROUNDUP(8*(F44/VLOOKUP(B44,Table2[],5,0)),0),"")</f>
        <v>8</v>
      </c>
      <c r="M44" s="1">
        <f>IFERROR(ROUNDUP(8*(G44/VLOOKUP(B44,Table2[],5,0)),0),"")</f>
        <v>5</v>
      </c>
      <c r="N44" s="1">
        <f>IFERROR(ROUNDUP(8*(H44/VLOOKUP(B44,Table2[],5,0)),0),"")</f>
        <v>8</v>
      </c>
    </row>
    <row r="45" spans="2:14" x14ac:dyDescent="0.25">
      <c r="B45" s="71" t="s">
        <v>39</v>
      </c>
      <c r="C45" s="74" t="str">
        <f>IFERROR(VLOOKUP(B45,Table2[],2,0),"")</f>
        <v>Kim</v>
      </c>
      <c r="D45" s="77">
        <v>99</v>
      </c>
      <c r="E45" s="81">
        <v>16</v>
      </c>
      <c r="F45" s="81">
        <v>20</v>
      </c>
      <c r="G45" s="81">
        <v>12</v>
      </c>
      <c r="H45" s="81">
        <v>4</v>
      </c>
      <c r="I45" s="79">
        <f t="shared" si="0"/>
        <v>52</v>
      </c>
      <c r="J45" s="84">
        <f>IFERROR(ROUNDUP(8*(I45/VLOOKUP(B45,Table2[],5,0)),0),"")</f>
        <v>26</v>
      </c>
      <c r="K45" s="1">
        <f>IFERROR(ROUNDUP(8*(E45/VLOOKUP(B45,Table2[],5,0)),0),"")</f>
        <v>8</v>
      </c>
      <c r="L45" s="1">
        <f>IFERROR(ROUNDUP(8*(F45/VLOOKUP(B45,Table2[],5,0)),0),"")</f>
        <v>10</v>
      </c>
      <c r="M45" s="1">
        <f>IFERROR(ROUNDUP(8*(G45/VLOOKUP(B45,Table2[],5,0)),0),"")</f>
        <v>6</v>
      </c>
      <c r="N45" s="1">
        <f>IFERROR(ROUNDUP(8*(H45/VLOOKUP(B45,Table2[],5,0)),0),"")</f>
        <v>2</v>
      </c>
    </row>
    <row r="46" spans="2:14" x14ac:dyDescent="0.25">
      <c r="B46" s="71" t="s">
        <v>40</v>
      </c>
      <c r="C46" s="74" t="str">
        <f>IFERROR(VLOOKUP(B46,Table2[],2,0),"")</f>
        <v>Kim</v>
      </c>
      <c r="D46" s="77">
        <v>0</v>
      </c>
      <c r="E46" s="81">
        <v>0</v>
      </c>
      <c r="F46" s="81">
        <v>0</v>
      </c>
      <c r="G46" s="81">
        <v>0</v>
      </c>
      <c r="H46" s="81">
        <v>0</v>
      </c>
      <c r="I46" s="79">
        <f t="shared" si="0"/>
        <v>0</v>
      </c>
      <c r="J46" s="84">
        <f>IFERROR(ROUNDUP(8*(I46/VLOOKUP(B46,Table2[],5,0)),0),"")</f>
        <v>0</v>
      </c>
      <c r="K46" s="1">
        <f>IFERROR(ROUNDUP(8*(E46/VLOOKUP(B46,Table2[],5,0)),0),"")</f>
        <v>0</v>
      </c>
      <c r="L46" s="1">
        <f>IFERROR(ROUNDUP(8*(F46/VLOOKUP(B46,Table2[],5,0)),0),"")</f>
        <v>0</v>
      </c>
      <c r="M46" s="1">
        <f>IFERROR(ROUNDUP(8*(G46/VLOOKUP(B46,Table2[],5,0)),0),"")</f>
        <v>0</v>
      </c>
      <c r="N46" s="1">
        <f>IFERROR(ROUNDUP(8*(H46/VLOOKUP(B46,Table2[],5,0)),0),"")</f>
        <v>0</v>
      </c>
    </row>
    <row r="47" spans="2:14" x14ac:dyDescent="0.25">
      <c r="B47" s="71" t="s">
        <v>41</v>
      </c>
      <c r="C47" s="74" t="str">
        <f>IFERROR(VLOOKUP(B47,Table2[],2,0),"")</f>
        <v>Kim</v>
      </c>
      <c r="D47" s="77">
        <v>14</v>
      </c>
      <c r="E47" s="81">
        <v>16</v>
      </c>
      <c r="F47" s="81">
        <v>20</v>
      </c>
      <c r="G47" s="81">
        <v>12</v>
      </c>
      <c r="H47" s="81">
        <v>20</v>
      </c>
      <c r="I47" s="79">
        <f t="shared" si="0"/>
        <v>68</v>
      </c>
      <c r="J47" s="84">
        <f>IFERROR(ROUNDUP(8*(I47/VLOOKUP(B47,Table2[],5,0)),0),"")</f>
        <v>28</v>
      </c>
      <c r="K47" s="1">
        <f>IFERROR(ROUNDUP(8*(E47/VLOOKUP(B47,Table2[],5,0)),0),"")</f>
        <v>7</v>
      </c>
      <c r="L47" s="1">
        <f>IFERROR(ROUNDUP(8*(F47/VLOOKUP(B47,Table2[],5,0)),0),"")</f>
        <v>8</v>
      </c>
      <c r="M47" s="1">
        <f>IFERROR(ROUNDUP(8*(G47/VLOOKUP(B47,Table2[],5,0)),0),"")</f>
        <v>5</v>
      </c>
      <c r="N47" s="1">
        <f>IFERROR(ROUNDUP(8*(H47/VLOOKUP(B47,Table2[],5,0)),0),"")</f>
        <v>8</v>
      </c>
    </row>
    <row r="48" spans="2:14" x14ac:dyDescent="0.25">
      <c r="B48" s="71" t="s">
        <v>42</v>
      </c>
      <c r="C48" s="74" t="str">
        <f>IFERROR(VLOOKUP(B48,Table2[],2,0),"")</f>
        <v>Kim</v>
      </c>
      <c r="D48" s="77">
        <v>22</v>
      </c>
      <c r="E48" s="81">
        <v>8</v>
      </c>
      <c r="F48" s="81">
        <v>10</v>
      </c>
      <c r="G48" s="81">
        <v>6</v>
      </c>
      <c r="H48" s="81">
        <v>10</v>
      </c>
      <c r="I48" s="79">
        <f t="shared" si="0"/>
        <v>34</v>
      </c>
      <c r="J48" s="84">
        <f>IFERROR(ROUNDUP(8*(I48/VLOOKUP(B48,Table2[],5,0)),0),"")</f>
        <v>14</v>
      </c>
      <c r="K48" s="1">
        <f>IFERROR(ROUNDUP(8*(E48/VLOOKUP(B48,Table2[],5,0)),0),"")</f>
        <v>4</v>
      </c>
      <c r="L48" s="1">
        <f>IFERROR(ROUNDUP(8*(F48/VLOOKUP(B48,Table2[],5,0)),0),"")</f>
        <v>4</v>
      </c>
      <c r="M48" s="1">
        <f>IFERROR(ROUNDUP(8*(G48/VLOOKUP(B48,Table2[],5,0)),0),"")</f>
        <v>3</v>
      </c>
      <c r="N48" s="1">
        <f>IFERROR(ROUNDUP(8*(H48/VLOOKUP(B48,Table2[],5,0)),0),"")</f>
        <v>4</v>
      </c>
    </row>
    <row r="49" spans="2:14" x14ac:dyDescent="0.25">
      <c r="B49" s="71" t="s">
        <v>43</v>
      </c>
      <c r="C49" s="74" t="str">
        <f>IFERROR(VLOOKUP(B49,Table2[],2,0),"")</f>
        <v>Kim</v>
      </c>
      <c r="D49" s="77">
        <v>25</v>
      </c>
      <c r="E49" s="81">
        <v>4</v>
      </c>
      <c r="F49" s="81">
        <v>5</v>
      </c>
      <c r="G49" s="81">
        <v>2</v>
      </c>
      <c r="H49" s="81">
        <v>0</v>
      </c>
      <c r="I49" s="79">
        <f t="shared" si="0"/>
        <v>11</v>
      </c>
      <c r="J49" s="84">
        <f>IFERROR(ROUNDUP(8*(I49/VLOOKUP(B49,Table2[],5,0)),0),"")</f>
        <v>11</v>
      </c>
      <c r="K49" s="1">
        <f>IFERROR(ROUNDUP(8*(E49/VLOOKUP(B49,Table2[],5,0)),0),"")</f>
        <v>4</v>
      </c>
      <c r="L49" s="1">
        <f>IFERROR(ROUNDUP(8*(F49/VLOOKUP(B49,Table2[],5,0)),0),"")</f>
        <v>5</v>
      </c>
      <c r="M49" s="1">
        <f>IFERROR(ROUNDUP(8*(G49/VLOOKUP(B49,Table2[],5,0)),0),"")</f>
        <v>2</v>
      </c>
      <c r="N49" s="1">
        <f>IFERROR(ROUNDUP(8*(H49/VLOOKUP(B49,Table2[],5,0)),0),"")</f>
        <v>0</v>
      </c>
    </row>
    <row r="50" spans="2:14" x14ac:dyDescent="0.25">
      <c r="B50" s="71" t="s">
        <v>44</v>
      </c>
      <c r="C50" s="74" t="str">
        <f>IFERROR(VLOOKUP(B50,Table2[],2,0),"")</f>
        <v>Kim</v>
      </c>
      <c r="D50" s="77">
        <v>15</v>
      </c>
      <c r="E50" s="81">
        <v>8</v>
      </c>
      <c r="F50" s="81">
        <v>10</v>
      </c>
      <c r="G50" s="81">
        <v>6</v>
      </c>
      <c r="H50" s="81">
        <v>8</v>
      </c>
      <c r="I50" s="79">
        <f t="shared" si="0"/>
        <v>32</v>
      </c>
      <c r="J50" s="84">
        <f>IFERROR(ROUNDUP(8*(I50/VLOOKUP(B50,Table2[],5,0)),0),"")</f>
        <v>13</v>
      </c>
      <c r="K50" s="1">
        <f>IFERROR(ROUNDUP(8*(E50/VLOOKUP(B50,Table2[],5,0)),0),"")</f>
        <v>4</v>
      </c>
      <c r="L50" s="1">
        <f>IFERROR(ROUNDUP(8*(F50/VLOOKUP(B50,Table2[],5,0)),0),"")</f>
        <v>4</v>
      </c>
      <c r="M50" s="1">
        <f>IFERROR(ROUNDUP(8*(G50/VLOOKUP(B50,Table2[],5,0)),0),"")</f>
        <v>3</v>
      </c>
      <c r="N50" s="1">
        <f>IFERROR(ROUNDUP(8*(H50/VLOOKUP(B50,Table2[],5,0)),0),"")</f>
        <v>4</v>
      </c>
    </row>
    <row r="51" spans="2:14" x14ac:dyDescent="0.25">
      <c r="B51" s="71" t="s">
        <v>45</v>
      </c>
      <c r="C51" s="74" t="str">
        <f>IFERROR(VLOOKUP(B51,Table2[],2,0),"")</f>
        <v>Kim</v>
      </c>
      <c r="D51" s="77">
        <v>30</v>
      </c>
      <c r="E51" s="81">
        <v>20</v>
      </c>
      <c r="F51" s="81">
        <v>25</v>
      </c>
      <c r="G51" s="81">
        <v>15</v>
      </c>
      <c r="H51" s="81">
        <v>25</v>
      </c>
      <c r="I51" s="79">
        <f t="shared" si="0"/>
        <v>85</v>
      </c>
      <c r="J51" s="84">
        <f>IFERROR(ROUNDUP(8*(I51/VLOOKUP(B51,Table2[],5,0)),0),"")</f>
        <v>43</v>
      </c>
      <c r="K51" s="1">
        <f>IFERROR(ROUNDUP(8*(E51/VLOOKUP(B51,Table2[],5,0)),0),"")</f>
        <v>10</v>
      </c>
      <c r="L51" s="1">
        <f>IFERROR(ROUNDUP(8*(F51/VLOOKUP(B51,Table2[],5,0)),0),"")</f>
        <v>13</v>
      </c>
      <c r="M51" s="1">
        <f>IFERROR(ROUNDUP(8*(G51/VLOOKUP(B51,Table2[],5,0)),0),"")</f>
        <v>8</v>
      </c>
      <c r="N51" s="1">
        <f>IFERROR(ROUNDUP(8*(H51/VLOOKUP(B51,Table2[],5,0)),0),"")</f>
        <v>13</v>
      </c>
    </row>
    <row r="52" spans="2:14" x14ac:dyDescent="0.25">
      <c r="B52" s="71" t="s">
        <v>46</v>
      </c>
      <c r="C52" s="74" t="str">
        <f>IFERROR(VLOOKUP(B52,Table2[],2,0),"")</f>
        <v>Kim</v>
      </c>
      <c r="D52" s="77">
        <v>19</v>
      </c>
      <c r="E52" s="81">
        <v>1</v>
      </c>
      <c r="F52" s="81">
        <v>0</v>
      </c>
      <c r="G52" s="81">
        <v>0</v>
      </c>
      <c r="H52" s="81">
        <v>0</v>
      </c>
      <c r="I52" s="79">
        <f t="shared" si="0"/>
        <v>1</v>
      </c>
      <c r="J52" s="84">
        <f>IFERROR(ROUNDUP(8*(I52/VLOOKUP(B52,Table2[],5,0)),0),"")</f>
        <v>1</v>
      </c>
      <c r="K52" s="1">
        <f>IFERROR(ROUNDUP(8*(E52/VLOOKUP(B52,Table2[],5,0)),0),"")</f>
        <v>1</v>
      </c>
      <c r="L52" s="1">
        <f>IFERROR(ROUNDUP(8*(F52/VLOOKUP(B52,Table2[],5,0)),0),"")</f>
        <v>0</v>
      </c>
      <c r="M52" s="1">
        <f>IFERROR(ROUNDUP(8*(G52/VLOOKUP(B52,Table2[],5,0)),0),"")</f>
        <v>0</v>
      </c>
      <c r="N52" s="1">
        <f>IFERROR(ROUNDUP(8*(H52/VLOOKUP(B52,Table2[],5,0)),0),"")</f>
        <v>0</v>
      </c>
    </row>
    <row r="53" spans="2:14" x14ac:dyDescent="0.25">
      <c r="B53" s="71" t="s">
        <v>47</v>
      </c>
      <c r="C53" s="74" t="str">
        <f>IFERROR(VLOOKUP(B53,Table2[],2,0),"")</f>
        <v>Kim</v>
      </c>
      <c r="D53" s="77">
        <v>0</v>
      </c>
      <c r="E53" s="81">
        <v>4</v>
      </c>
      <c r="F53" s="81">
        <v>5</v>
      </c>
      <c r="G53" s="81">
        <v>1</v>
      </c>
      <c r="H53" s="81">
        <v>0</v>
      </c>
      <c r="I53" s="79">
        <f t="shared" si="0"/>
        <v>10</v>
      </c>
      <c r="J53" s="84">
        <f>IFERROR(ROUNDUP(8*(I53/VLOOKUP(B53,Table2[],5,0)),0),"")</f>
        <v>4</v>
      </c>
      <c r="K53" s="1">
        <f>IFERROR(ROUNDUP(8*(E53/VLOOKUP(B53,Table2[],5,0)),0),"")</f>
        <v>2</v>
      </c>
      <c r="L53" s="1">
        <f>IFERROR(ROUNDUP(8*(F53/VLOOKUP(B53,Table2[],5,0)),0),"")</f>
        <v>2</v>
      </c>
      <c r="M53" s="1">
        <f>IFERROR(ROUNDUP(8*(G53/VLOOKUP(B53,Table2[],5,0)),0),"")</f>
        <v>1</v>
      </c>
      <c r="N53" s="1">
        <f>IFERROR(ROUNDUP(8*(H53/VLOOKUP(B53,Table2[],5,0)),0),"")</f>
        <v>0</v>
      </c>
    </row>
    <row r="54" spans="2:14" x14ac:dyDescent="0.25">
      <c r="B54" s="71" t="s">
        <v>48</v>
      </c>
      <c r="C54" s="74" t="str">
        <f>IFERROR(VLOOKUP(B54,Table2[],2,0),"")</f>
        <v>Kim</v>
      </c>
      <c r="D54" s="77">
        <v>0</v>
      </c>
      <c r="E54" s="81">
        <v>0</v>
      </c>
      <c r="F54" s="81">
        <v>0</v>
      </c>
      <c r="G54" s="81">
        <v>0</v>
      </c>
      <c r="H54" s="81">
        <v>0</v>
      </c>
      <c r="I54" s="79">
        <f t="shared" si="0"/>
        <v>0</v>
      </c>
      <c r="J54" s="84">
        <f>IFERROR(ROUNDUP(8*(I54/VLOOKUP(B54,Table2[],5,0)),0),"")</f>
        <v>0</v>
      </c>
      <c r="K54" s="1">
        <f>IFERROR(ROUNDUP(8*(E54/VLOOKUP(B54,Table2[],5,0)),0),"")</f>
        <v>0</v>
      </c>
      <c r="L54" s="1">
        <f>IFERROR(ROUNDUP(8*(F54/VLOOKUP(B54,Table2[],5,0)),0),"")</f>
        <v>0</v>
      </c>
      <c r="M54" s="1">
        <f>IFERROR(ROUNDUP(8*(G54/VLOOKUP(B54,Table2[],5,0)),0),"")</f>
        <v>0</v>
      </c>
      <c r="N54" s="1">
        <f>IFERROR(ROUNDUP(8*(H54/VLOOKUP(B54,Table2[],5,0)),0),"")</f>
        <v>0</v>
      </c>
    </row>
    <row r="55" spans="2:14" x14ac:dyDescent="0.25">
      <c r="B55" s="71" t="s">
        <v>49</v>
      </c>
      <c r="C55" s="74" t="str">
        <f>IFERROR(VLOOKUP(B55,Table2[],2,0),"")</f>
        <v>Dan</v>
      </c>
      <c r="D55" s="77">
        <v>0</v>
      </c>
      <c r="E55" s="81">
        <v>4</v>
      </c>
      <c r="F55" s="81">
        <v>5</v>
      </c>
      <c r="G55" s="81">
        <v>3</v>
      </c>
      <c r="H55" s="81">
        <v>1</v>
      </c>
      <c r="I55" s="79">
        <f t="shared" si="0"/>
        <v>13</v>
      </c>
      <c r="J55" s="84">
        <f>IFERROR(ROUNDUP(8*(I55/VLOOKUP(B55,Table2[],5,0)),0),"")</f>
        <v>7</v>
      </c>
      <c r="K55" s="1">
        <f>IFERROR(ROUNDUP(8*(E55/VLOOKUP(B55,Table2[],5,0)),0),"")</f>
        <v>2</v>
      </c>
      <c r="L55" s="1">
        <f>IFERROR(ROUNDUP(8*(F55/VLOOKUP(B55,Table2[],5,0)),0),"")</f>
        <v>3</v>
      </c>
      <c r="M55" s="1">
        <f>IFERROR(ROUNDUP(8*(G55/VLOOKUP(B55,Table2[],5,0)),0),"")</f>
        <v>2</v>
      </c>
      <c r="N55" s="1">
        <f>IFERROR(ROUNDUP(8*(H55/VLOOKUP(B55,Table2[],5,0)),0),"")</f>
        <v>1</v>
      </c>
    </row>
    <row r="56" spans="2:14" x14ac:dyDescent="0.25">
      <c r="B56" s="71" t="s">
        <v>50</v>
      </c>
      <c r="C56" s="74" t="str">
        <f>IFERROR(VLOOKUP(B56,Table2[],2,0),"")</f>
        <v>Kim</v>
      </c>
      <c r="D56" s="77">
        <v>41</v>
      </c>
      <c r="E56" s="81">
        <v>3</v>
      </c>
      <c r="F56" s="81">
        <v>0</v>
      </c>
      <c r="G56" s="81">
        <v>0</v>
      </c>
      <c r="H56" s="81">
        <v>0</v>
      </c>
      <c r="I56" s="79">
        <f t="shared" si="0"/>
        <v>3</v>
      </c>
      <c r="J56" s="84">
        <f>IFERROR(ROUNDUP(8*(I56/VLOOKUP(B56,Table2[],5,0)),0),"")</f>
        <v>2</v>
      </c>
      <c r="K56" s="1">
        <f>IFERROR(ROUNDUP(8*(E56/VLOOKUP(B56,Table2[],5,0)),0),"")</f>
        <v>2</v>
      </c>
      <c r="L56" s="1">
        <f>IFERROR(ROUNDUP(8*(F56/VLOOKUP(B56,Table2[],5,0)),0),"")</f>
        <v>0</v>
      </c>
      <c r="M56" s="1">
        <f>IFERROR(ROUNDUP(8*(G56/VLOOKUP(B56,Table2[],5,0)),0),"")</f>
        <v>0</v>
      </c>
      <c r="N56" s="1">
        <f>IFERROR(ROUNDUP(8*(H56/VLOOKUP(B56,Table2[],5,0)),0),"")</f>
        <v>0</v>
      </c>
    </row>
    <row r="57" spans="2:14" x14ac:dyDescent="0.25">
      <c r="B57" s="71" t="s">
        <v>51</v>
      </c>
      <c r="C57" s="74" t="str">
        <f>IFERROR(VLOOKUP(B57,Table2[],2,0),"")</f>
        <v>Kim</v>
      </c>
      <c r="D57" s="77">
        <v>0</v>
      </c>
      <c r="E57" s="81">
        <v>0</v>
      </c>
      <c r="F57" s="81">
        <v>0</v>
      </c>
      <c r="G57" s="81">
        <v>0</v>
      </c>
      <c r="H57" s="81">
        <v>0</v>
      </c>
      <c r="I57" s="79">
        <f t="shared" si="0"/>
        <v>0</v>
      </c>
      <c r="J57" s="84">
        <f>IFERROR(ROUNDUP(8*(I57/VLOOKUP(B57,Table2[],5,0)),0),"")</f>
        <v>0</v>
      </c>
      <c r="K57" s="1">
        <f>IFERROR(ROUNDUP(8*(E57/VLOOKUP(B57,Table2[],5,0)),0),"")</f>
        <v>0</v>
      </c>
      <c r="L57" s="1">
        <f>IFERROR(ROUNDUP(8*(F57/VLOOKUP(B57,Table2[],5,0)),0),"")</f>
        <v>0</v>
      </c>
      <c r="M57" s="1">
        <f>IFERROR(ROUNDUP(8*(G57/VLOOKUP(B57,Table2[],5,0)),0),"")</f>
        <v>0</v>
      </c>
      <c r="N57" s="1">
        <f>IFERROR(ROUNDUP(8*(H57/VLOOKUP(B57,Table2[],5,0)),0),"")</f>
        <v>0</v>
      </c>
    </row>
    <row r="58" spans="2:14" x14ac:dyDescent="0.25">
      <c r="B58" s="71" t="s">
        <v>52</v>
      </c>
      <c r="C58" s="74" t="str">
        <f>IFERROR(VLOOKUP(B58,Table2[],2,0),"")</f>
        <v>Kim</v>
      </c>
      <c r="D58" s="77">
        <v>0</v>
      </c>
      <c r="E58" s="81">
        <v>4</v>
      </c>
      <c r="F58" s="81">
        <v>1</v>
      </c>
      <c r="G58" s="81">
        <v>0</v>
      </c>
      <c r="H58" s="81">
        <v>0</v>
      </c>
      <c r="I58" s="79">
        <f t="shared" si="0"/>
        <v>5</v>
      </c>
      <c r="J58" s="84">
        <f>IFERROR(ROUNDUP(8*(I58/VLOOKUP(B58,Table2[],5,0)),0),"")</f>
        <v>3</v>
      </c>
      <c r="K58" s="1">
        <f>IFERROR(ROUNDUP(8*(E58/VLOOKUP(B58,Table2[],5,0)),0),"")</f>
        <v>2</v>
      </c>
      <c r="L58" s="1">
        <f>IFERROR(ROUNDUP(8*(F58/VLOOKUP(B58,Table2[],5,0)),0),"")</f>
        <v>1</v>
      </c>
      <c r="M58" s="1">
        <f>IFERROR(ROUNDUP(8*(G58/VLOOKUP(B58,Table2[],5,0)),0),"")</f>
        <v>0</v>
      </c>
      <c r="N58" s="1">
        <f>IFERROR(ROUNDUP(8*(H58/VLOOKUP(B58,Table2[],5,0)),0),"")</f>
        <v>0</v>
      </c>
    </row>
    <row r="59" spans="2:14" x14ac:dyDescent="0.25">
      <c r="B59" s="71" t="s">
        <v>53</v>
      </c>
      <c r="C59" s="74" t="str">
        <f>IFERROR(VLOOKUP(B59,Table2[],2,0),"")</f>
        <v>Kim</v>
      </c>
      <c r="D59" s="77">
        <v>0</v>
      </c>
      <c r="E59" s="81">
        <v>4</v>
      </c>
      <c r="F59" s="81">
        <v>0</v>
      </c>
      <c r="G59" s="81">
        <v>0</v>
      </c>
      <c r="H59" s="81">
        <v>0</v>
      </c>
      <c r="I59" s="79">
        <f t="shared" si="0"/>
        <v>4</v>
      </c>
      <c r="J59" s="84">
        <f>IFERROR(ROUNDUP(8*(I59/VLOOKUP(B59,Table2[],5,0)),0),"")</f>
        <v>2</v>
      </c>
      <c r="K59" s="1">
        <f>IFERROR(ROUNDUP(8*(E59/VLOOKUP(B59,Table2[],5,0)),0),"")</f>
        <v>2</v>
      </c>
      <c r="L59" s="1">
        <f>IFERROR(ROUNDUP(8*(F59/VLOOKUP(B59,Table2[],5,0)),0),"")</f>
        <v>0</v>
      </c>
      <c r="M59" s="1">
        <f>IFERROR(ROUNDUP(8*(G59/VLOOKUP(B59,Table2[],5,0)),0),"")</f>
        <v>0</v>
      </c>
      <c r="N59" s="1">
        <f>IFERROR(ROUNDUP(8*(H59/VLOOKUP(B59,Table2[],5,0)),0),"")</f>
        <v>0</v>
      </c>
    </row>
    <row r="60" spans="2:14" x14ac:dyDescent="0.25">
      <c r="B60" s="71" t="s">
        <v>54</v>
      </c>
      <c r="C60" s="74" t="str">
        <f>IFERROR(VLOOKUP(B60,Table2[],2,0),"")</f>
        <v>Milly</v>
      </c>
      <c r="D60" s="77">
        <v>0</v>
      </c>
      <c r="E60" s="81">
        <v>4</v>
      </c>
      <c r="F60" s="81">
        <v>1</v>
      </c>
      <c r="G60" s="81">
        <v>0</v>
      </c>
      <c r="H60" s="81">
        <v>0</v>
      </c>
      <c r="I60" s="79">
        <f t="shared" si="0"/>
        <v>5</v>
      </c>
      <c r="J60" s="84">
        <f>IFERROR(ROUNDUP(8*(I60/VLOOKUP(B60,Table2[],5,0)),0),"")</f>
        <v>20</v>
      </c>
      <c r="K60" s="1">
        <f>IFERROR(ROUNDUP(8*(E60/VLOOKUP(B60,Table2[],5,0)),0),"")</f>
        <v>16</v>
      </c>
      <c r="L60" s="1">
        <f>IFERROR(ROUNDUP(8*(F60/VLOOKUP(B60,Table2[],5,0)),0),"")</f>
        <v>4</v>
      </c>
      <c r="M60" s="1">
        <f>IFERROR(ROUNDUP(8*(G60/VLOOKUP(B60,Table2[],5,0)),0),"")</f>
        <v>0</v>
      </c>
      <c r="N60" s="1">
        <f>IFERROR(ROUNDUP(8*(H60/VLOOKUP(B60,Table2[],5,0)),0),"")</f>
        <v>0</v>
      </c>
    </row>
    <row r="61" spans="2:14" x14ac:dyDescent="0.25">
      <c r="B61" s="71" t="s">
        <v>55</v>
      </c>
      <c r="C61" s="74" t="str">
        <f>IFERROR(VLOOKUP(B61,Table2[],2,0),"")</f>
        <v>Milly</v>
      </c>
      <c r="D61" s="77">
        <v>14</v>
      </c>
      <c r="E61" s="81">
        <v>4</v>
      </c>
      <c r="F61" s="81">
        <v>5</v>
      </c>
      <c r="G61" s="81">
        <v>3</v>
      </c>
      <c r="H61" s="81">
        <v>4</v>
      </c>
      <c r="I61" s="79">
        <f t="shared" si="0"/>
        <v>16</v>
      </c>
      <c r="J61" s="84">
        <f>IFERROR(ROUNDUP(8*(I61/VLOOKUP(B61,Table2[],5,0)),0),"")</f>
        <v>64</v>
      </c>
      <c r="K61" s="1">
        <f>IFERROR(ROUNDUP(8*(E61/VLOOKUP(B61,Table2[],5,0)),0),"")</f>
        <v>16</v>
      </c>
      <c r="L61" s="1">
        <f>IFERROR(ROUNDUP(8*(F61/VLOOKUP(B61,Table2[],5,0)),0),"")</f>
        <v>20</v>
      </c>
      <c r="M61" s="1">
        <f>IFERROR(ROUNDUP(8*(G61/VLOOKUP(B61,Table2[],5,0)),0),"")</f>
        <v>12</v>
      </c>
      <c r="N61" s="1">
        <f>IFERROR(ROUNDUP(8*(H61/VLOOKUP(B61,Table2[],5,0)),0),"")</f>
        <v>16</v>
      </c>
    </row>
    <row r="62" spans="2:14" x14ac:dyDescent="0.25">
      <c r="B62" s="71" t="s">
        <v>56</v>
      </c>
      <c r="C62" s="74" t="str">
        <f>IFERROR(VLOOKUP(B62,Table2[],2,0),"")</f>
        <v>Felix</v>
      </c>
      <c r="D62" s="77">
        <v>0</v>
      </c>
      <c r="E62" s="81">
        <v>3</v>
      </c>
      <c r="F62" s="81">
        <v>0</v>
      </c>
      <c r="G62" s="81">
        <v>0</v>
      </c>
      <c r="H62" s="81">
        <v>0</v>
      </c>
      <c r="I62" s="79">
        <f t="shared" si="0"/>
        <v>3</v>
      </c>
      <c r="J62" s="84">
        <f>IFERROR(ROUNDUP(8*(I62/VLOOKUP(B62,Table2[],5,0)),0),"")</f>
        <v>6</v>
      </c>
      <c r="K62" s="1">
        <f>IFERROR(ROUNDUP(8*(E62/VLOOKUP(B62,Table2[],5,0)),0),"")</f>
        <v>6</v>
      </c>
      <c r="L62" s="1">
        <f>IFERROR(ROUNDUP(8*(F62/VLOOKUP(B62,Table2[],5,0)),0),"")</f>
        <v>0</v>
      </c>
      <c r="M62" s="1">
        <f>IFERROR(ROUNDUP(8*(G62/VLOOKUP(B62,Table2[],5,0)),0),"")</f>
        <v>0</v>
      </c>
      <c r="N62" s="1">
        <f>IFERROR(ROUNDUP(8*(H62/VLOOKUP(B62,Table2[],5,0)),0),"")</f>
        <v>0</v>
      </c>
    </row>
    <row r="63" spans="2:14" x14ac:dyDescent="0.25">
      <c r="B63" s="71" t="s">
        <v>57</v>
      </c>
      <c r="C63" s="74" t="str">
        <f>IFERROR(VLOOKUP(B63,Table2[],2,0),"")</f>
        <v>Felix</v>
      </c>
      <c r="D63" s="77">
        <v>0</v>
      </c>
      <c r="E63" s="81">
        <v>0</v>
      </c>
      <c r="F63" s="81">
        <v>0</v>
      </c>
      <c r="G63" s="81">
        <v>0</v>
      </c>
      <c r="H63" s="81">
        <v>0</v>
      </c>
      <c r="I63" s="79">
        <f t="shared" si="0"/>
        <v>0</v>
      </c>
      <c r="J63" s="84" t="str">
        <f>IFERROR(ROUNDUP(8*(I63/VLOOKUP(B63,Table2[],5,0)),0),"")</f>
        <v/>
      </c>
      <c r="K63" s="1" t="str">
        <f>IFERROR(ROUNDUP(8*(E63/VLOOKUP(B63,Table2[],5,0)),0),"")</f>
        <v/>
      </c>
      <c r="L63" s="1" t="str">
        <f>IFERROR(ROUNDUP(8*(F63/VLOOKUP(B63,Table2[],5,0)),0),"")</f>
        <v/>
      </c>
      <c r="M63" s="1" t="str">
        <f>IFERROR(ROUNDUP(8*(G63/VLOOKUP(B63,Table2[],5,0)),0),"")</f>
        <v/>
      </c>
      <c r="N63" s="1" t="str">
        <f>IFERROR(ROUNDUP(8*(H63/VLOOKUP(B63,Table2[],5,0)),0),"")</f>
        <v/>
      </c>
    </row>
    <row r="64" spans="2:14" x14ac:dyDescent="0.25">
      <c r="B64" s="71" t="s">
        <v>58</v>
      </c>
      <c r="C64" s="74" t="str">
        <f>IFERROR(VLOOKUP(B64,Table2[],2,0),"")</f>
        <v>Sam</v>
      </c>
      <c r="D64" s="77">
        <v>14</v>
      </c>
      <c r="E64" s="81">
        <v>4</v>
      </c>
      <c r="F64" s="81">
        <v>5</v>
      </c>
      <c r="G64" s="81">
        <v>2</v>
      </c>
      <c r="H64" s="81">
        <v>0</v>
      </c>
      <c r="I64" s="79">
        <f t="shared" si="0"/>
        <v>11</v>
      </c>
      <c r="J64" s="84" t="str">
        <f>IFERROR(ROUNDUP(8*(I64/VLOOKUP(B64,Table2[],5,0)),0),"")</f>
        <v/>
      </c>
      <c r="K64" s="1" t="str">
        <f>IFERROR(ROUNDUP(8*(E64/VLOOKUP(B64,Table2[],5,0)),0),"")</f>
        <v/>
      </c>
      <c r="L64" s="1" t="str">
        <f>IFERROR(ROUNDUP(8*(F64/VLOOKUP(B64,Table2[],5,0)),0),"")</f>
        <v/>
      </c>
      <c r="M64" s="1" t="str">
        <f>IFERROR(ROUNDUP(8*(G64/VLOOKUP(B64,Table2[],5,0)),0),"")</f>
        <v/>
      </c>
      <c r="N64" s="1" t="str">
        <f>IFERROR(ROUNDUP(8*(H64/VLOOKUP(B64,Table2[],5,0)),0),"")</f>
        <v/>
      </c>
    </row>
    <row r="65" spans="2:14" x14ac:dyDescent="0.25">
      <c r="B65" s="71" t="s">
        <v>59</v>
      </c>
      <c r="C65" s="74" t="str">
        <f>IFERROR(VLOOKUP(B65,Table2[],2,0),"")</f>
        <v>Sam</v>
      </c>
      <c r="D65" s="77">
        <v>0</v>
      </c>
      <c r="E65" s="81">
        <v>0</v>
      </c>
      <c r="F65" s="81">
        <v>0</v>
      </c>
      <c r="G65" s="81">
        <v>0</v>
      </c>
      <c r="H65" s="81">
        <v>0</v>
      </c>
      <c r="I65" s="79">
        <f t="shared" si="0"/>
        <v>0</v>
      </c>
      <c r="J65" s="84">
        <f>IFERROR(ROUNDUP(8*(I65/VLOOKUP(B65,Table2[],5,0)),0),"")</f>
        <v>0</v>
      </c>
      <c r="K65" s="1">
        <f>IFERROR(ROUNDUP(8*(E65/VLOOKUP(B65,Table2[],5,0)),0),"")</f>
        <v>0</v>
      </c>
      <c r="L65" s="1">
        <f>IFERROR(ROUNDUP(8*(F65/VLOOKUP(B65,Table2[],5,0)),0),"")</f>
        <v>0</v>
      </c>
      <c r="M65" s="1">
        <f>IFERROR(ROUNDUP(8*(G65/VLOOKUP(B65,Table2[],5,0)),0),"")</f>
        <v>0</v>
      </c>
      <c r="N65" s="1">
        <f>IFERROR(ROUNDUP(8*(H65/VLOOKUP(B65,Table2[],5,0)),0),"")</f>
        <v>0</v>
      </c>
    </row>
    <row r="66" spans="2:14" x14ac:dyDescent="0.25">
      <c r="B66" s="71" t="s">
        <v>60</v>
      </c>
      <c r="C66" s="74" t="str">
        <f>IFERROR(VLOOKUP(B66,Table2[],2,0),"")</f>
        <v>Milly</v>
      </c>
      <c r="D66" s="77">
        <v>0</v>
      </c>
      <c r="E66" s="81">
        <v>0</v>
      </c>
      <c r="F66" s="81">
        <v>0</v>
      </c>
      <c r="G66" s="81">
        <v>0</v>
      </c>
      <c r="H66" s="81">
        <v>0</v>
      </c>
      <c r="I66" s="79">
        <f t="shared" si="0"/>
        <v>0</v>
      </c>
      <c r="J66" s="84">
        <f>IFERROR(ROUNDUP(8*(I66/VLOOKUP(B66,Table2[],5,0)),0),"")</f>
        <v>0</v>
      </c>
      <c r="K66" s="1">
        <f>IFERROR(ROUNDUP(8*(E66/VLOOKUP(B66,Table2[],5,0)),0),"")</f>
        <v>0</v>
      </c>
      <c r="L66" s="1">
        <f>IFERROR(ROUNDUP(8*(F66/VLOOKUP(B66,Table2[],5,0)),0),"")</f>
        <v>0</v>
      </c>
      <c r="M66" s="1">
        <f>IFERROR(ROUNDUP(8*(G66/VLOOKUP(B66,Table2[],5,0)),0),"")</f>
        <v>0</v>
      </c>
      <c r="N66" s="1">
        <f>IFERROR(ROUNDUP(8*(H66/VLOOKUP(B66,Table2[],5,0)),0),"")</f>
        <v>0</v>
      </c>
    </row>
    <row r="67" spans="2:14" x14ac:dyDescent="0.25">
      <c r="B67" s="71" t="s">
        <v>61</v>
      </c>
      <c r="C67" s="74" t="str">
        <f>IFERROR(VLOOKUP(B67,Table2[],2,0),"")</f>
        <v>Luis</v>
      </c>
      <c r="D67" s="77">
        <v>0</v>
      </c>
      <c r="E67" s="81">
        <v>0</v>
      </c>
      <c r="F67" s="81">
        <v>0</v>
      </c>
      <c r="G67" s="81">
        <v>0</v>
      </c>
      <c r="H67" s="81">
        <v>0</v>
      </c>
      <c r="I67" s="79">
        <f t="shared" si="0"/>
        <v>0</v>
      </c>
      <c r="J67" s="84">
        <f>IFERROR(ROUNDUP(8*(I67/VLOOKUP(B67,Table2[],5,0)),0),"")</f>
        <v>0</v>
      </c>
      <c r="K67" s="1">
        <f>IFERROR(ROUNDUP(8*(E67/VLOOKUP(B67,Table2[],5,0)),0),"")</f>
        <v>0</v>
      </c>
      <c r="L67" s="1">
        <f>IFERROR(ROUNDUP(8*(F67/VLOOKUP(B67,Table2[],5,0)),0),"")</f>
        <v>0</v>
      </c>
      <c r="M67" s="1">
        <f>IFERROR(ROUNDUP(8*(G67/VLOOKUP(B67,Table2[],5,0)),0),"")</f>
        <v>0</v>
      </c>
      <c r="N67" s="1">
        <f>IFERROR(ROUNDUP(8*(H67/VLOOKUP(B67,Table2[],5,0)),0),"")</f>
        <v>0</v>
      </c>
    </row>
    <row r="68" spans="2:14" x14ac:dyDescent="0.25">
      <c r="B68" s="71" t="s">
        <v>62</v>
      </c>
      <c r="C68" s="74" t="str">
        <f>IFERROR(VLOOKUP(B68,Table2[],2,0),"")</f>
        <v>Luis</v>
      </c>
      <c r="D68" s="77">
        <v>3</v>
      </c>
      <c r="E68" s="81">
        <v>4</v>
      </c>
      <c r="F68" s="81">
        <v>5</v>
      </c>
      <c r="G68" s="81">
        <v>3</v>
      </c>
      <c r="H68" s="81">
        <v>3</v>
      </c>
      <c r="I68" s="79">
        <f t="shared" si="0"/>
        <v>15</v>
      </c>
      <c r="J68" s="84">
        <f>IFERROR(ROUNDUP(8*(I68/VLOOKUP(B68,Table2[],5,0)),0),"")</f>
        <v>60</v>
      </c>
      <c r="K68" s="1">
        <f>IFERROR(ROUNDUP(8*(E68/VLOOKUP(B68,Table2[],5,0)),0),"")</f>
        <v>16</v>
      </c>
      <c r="L68" s="1">
        <f>IFERROR(ROUNDUP(8*(F68/VLOOKUP(B68,Table2[],5,0)),0),"")</f>
        <v>20</v>
      </c>
      <c r="M68" s="1">
        <f>IFERROR(ROUNDUP(8*(G68/VLOOKUP(B68,Table2[],5,0)),0),"")</f>
        <v>12</v>
      </c>
      <c r="N68" s="1">
        <f>IFERROR(ROUNDUP(8*(H68/VLOOKUP(B68,Table2[],5,0)),0),"")</f>
        <v>12</v>
      </c>
    </row>
    <row r="69" spans="2:14" x14ac:dyDescent="0.25">
      <c r="B69" s="71" t="s">
        <v>63</v>
      </c>
      <c r="C69" s="74" t="str">
        <f>IFERROR(VLOOKUP(B69,Table2[],2,0),"")</f>
        <v>Luis</v>
      </c>
      <c r="D69" s="77">
        <v>6</v>
      </c>
      <c r="E69" s="81">
        <v>4</v>
      </c>
      <c r="F69" s="81">
        <v>5</v>
      </c>
      <c r="G69" s="81">
        <v>2</v>
      </c>
      <c r="H69" s="81">
        <v>0</v>
      </c>
      <c r="I69" s="79">
        <f t="shared" si="0"/>
        <v>11</v>
      </c>
      <c r="J69" s="84">
        <f>IFERROR(ROUNDUP(8*(I69/VLOOKUP(B69,Table2[],5,0)),0),"")</f>
        <v>44</v>
      </c>
      <c r="K69" s="1">
        <f>IFERROR(ROUNDUP(8*(E69/VLOOKUP(B69,Table2[],5,0)),0),"")</f>
        <v>16</v>
      </c>
      <c r="L69" s="1">
        <f>IFERROR(ROUNDUP(8*(F69/VLOOKUP(B69,Table2[],5,0)),0),"")</f>
        <v>20</v>
      </c>
      <c r="M69" s="1">
        <f>IFERROR(ROUNDUP(8*(G69/VLOOKUP(B69,Table2[],5,0)),0),"")</f>
        <v>8</v>
      </c>
      <c r="N69" s="1">
        <f>IFERROR(ROUNDUP(8*(H69/VLOOKUP(B69,Table2[],5,0)),0),"")</f>
        <v>0</v>
      </c>
    </row>
    <row r="70" spans="2:14" x14ac:dyDescent="0.25">
      <c r="B70" s="71" t="s">
        <v>64</v>
      </c>
      <c r="C70" s="74" t="str">
        <f>IFERROR(VLOOKUP(B70,Table2[],2,0),"")</f>
        <v>Milly</v>
      </c>
      <c r="D70" s="77">
        <v>13</v>
      </c>
      <c r="E70" s="81">
        <v>4</v>
      </c>
      <c r="F70" s="81">
        <v>5</v>
      </c>
      <c r="G70" s="81">
        <v>3</v>
      </c>
      <c r="H70" s="81">
        <v>5</v>
      </c>
      <c r="I70" s="79">
        <f t="shared" si="0"/>
        <v>17</v>
      </c>
      <c r="J70" s="84" t="str">
        <f>IFERROR(ROUNDUP(8*(I70/VLOOKUP(B70,Table2[],5,0)),0),"")</f>
        <v/>
      </c>
      <c r="K70" s="1" t="str">
        <f>IFERROR(ROUNDUP(8*(E70/VLOOKUP(B70,Table2[],5,0)),0),"")</f>
        <v/>
      </c>
      <c r="L70" s="1" t="str">
        <f>IFERROR(ROUNDUP(8*(F70/VLOOKUP(B70,Table2[],5,0)),0),"")</f>
        <v/>
      </c>
      <c r="M70" s="1" t="str">
        <f>IFERROR(ROUNDUP(8*(G70/VLOOKUP(B70,Table2[],5,0)),0),"")</f>
        <v/>
      </c>
      <c r="N70" s="1" t="str">
        <f>IFERROR(ROUNDUP(8*(H70/VLOOKUP(B70,Table2[],5,0)),0),"")</f>
        <v/>
      </c>
    </row>
    <row r="71" spans="2:14" x14ac:dyDescent="0.25">
      <c r="B71" s="71" t="s">
        <v>65</v>
      </c>
      <c r="C71" s="74" t="str">
        <f>IFERROR(VLOOKUP(B71,Table2[],2,0),"")</f>
        <v>Milly</v>
      </c>
      <c r="D71" s="77">
        <v>0</v>
      </c>
      <c r="E71" s="81">
        <v>0</v>
      </c>
      <c r="F71" s="81">
        <v>0</v>
      </c>
      <c r="G71" s="81">
        <v>0</v>
      </c>
      <c r="H71" s="81">
        <v>0</v>
      </c>
      <c r="I71" s="79">
        <f t="shared" ref="I71:I134" si="1">IF(B71="","",SUM(E71:H71))</f>
        <v>0</v>
      </c>
      <c r="J71" s="84" t="str">
        <f>IFERROR(ROUNDUP(8*(I71/VLOOKUP(B71,Table2[],5,0)),0),"")</f>
        <v/>
      </c>
      <c r="K71" s="1" t="str">
        <f>IFERROR(ROUNDUP(8*(E71/VLOOKUP(B71,Table2[],5,0)),0),"")</f>
        <v/>
      </c>
      <c r="L71" s="1" t="str">
        <f>IFERROR(ROUNDUP(8*(F71/VLOOKUP(B71,Table2[],5,0)),0),"")</f>
        <v/>
      </c>
      <c r="M71" s="1" t="str">
        <f>IFERROR(ROUNDUP(8*(G71/VLOOKUP(B71,Table2[],5,0)),0),"")</f>
        <v/>
      </c>
      <c r="N71" s="1" t="str">
        <f>IFERROR(ROUNDUP(8*(H71/VLOOKUP(B71,Table2[],5,0)),0),"")</f>
        <v/>
      </c>
    </row>
    <row r="72" spans="2:14" x14ac:dyDescent="0.25">
      <c r="B72" s="71" t="s">
        <v>66</v>
      </c>
      <c r="C72" s="74" t="str">
        <f>IFERROR(VLOOKUP(B72,Table2[],2,0),"")</f>
        <v>Kim</v>
      </c>
      <c r="D72" s="77">
        <v>34</v>
      </c>
      <c r="E72" s="81">
        <v>8</v>
      </c>
      <c r="F72" s="81">
        <v>10</v>
      </c>
      <c r="G72" s="81">
        <v>6</v>
      </c>
      <c r="H72" s="81">
        <v>8</v>
      </c>
      <c r="I72" s="79">
        <f t="shared" si="1"/>
        <v>32</v>
      </c>
      <c r="J72" s="84" t="str">
        <f>IFERROR(ROUNDUP(8*(I72/VLOOKUP(B72,Table2[],5,0)),0),"")</f>
        <v/>
      </c>
      <c r="K72" s="1" t="str">
        <f>IFERROR(ROUNDUP(8*(E72/VLOOKUP(B72,Table2[],5,0)),0),"")</f>
        <v/>
      </c>
      <c r="L72" s="1" t="str">
        <f>IFERROR(ROUNDUP(8*(F72/VLOOKUP(B72,Table2[],5,0)),0),"")</f>
        <v/>
      </c>
      <c r="M72" s="1" t="str">
        <f>IFERROR(ROUNDUP(8*(G72/VLOOKUP(B72,Table2[],5,0)),0),"")</f>
        <v/>
      </c>
      <c r="N72" s="1" t="str">
        <f>IFERROR(ROUNDUP(8*(H72/VLOOKUP(B72,Table2[],5,0)),0),"")</f>
        <v/>
      </c>
    </row>
    <row r="73" spans="2:14" x14ac:dyDescent="0.25">
      <c r="B73" s="71" t="s">
        <v>67</v>
      </c>
      <c r="C73" s="74" t="str">
        <f>IFERROR(VLOOKUP(B73,Table2[],2,0),"")</f>
        <v>Milly</v>
      </c>
      <c r="D73" s="77">
        <v>7</v>
      </c>
      <c r="E73" s="81">
        <v>3</v>
      </c>
      <c r="F73" s="81">
        <v>0</v>
      </c>
      <c r="G73" s="81">
        <v>0</v>
      </c>
      <c r="H73" s="81">
        <v>0</v>
      </c>
      <c r="I73" s="79">
        <f t="shared" si="1"/>
        <v>3</v>
      </c>
      <c r="J73" s="84" t="str">
        <f>IFERROR(ROUNDUP(8*(I73/VLOOKUP(B73,Table2[],5,0)),0),"")</f>
        <v/>
      </c>
      <c r="K73" s="1" t="str">
        <f>IFERROR(ROUNDUP(8*(E73/VLOOKUP(B73,Table2[],5,0)),0),"")</f>
        <v/>
      </c>
      <c r="L73" s="1" t="str">
        <f>IFERROR(ROUNDUP(8*(F73/VLOOKUP(B73,Table2[],5,0)),0),"")</f>
        <v/>
      </c>
      <c r="M73" s="1" t="str">
        <f>IFERROR(ROUNDUP(8*(G73/VLOOKUP(B73,Table2[],5,0)),0),"")</f>
        <v/>
      </c>
      <c r="N73" s="1" t="str">
        <f>IFERROR(ROUNDUP(8*(H73/VLOOKUP(B73,Table2[],5,0)),0),"")</f>
        <v/>
      </c>
    </row>
    <row r="74" spans="2:14" x14ac:dyDescent="0.25">
      <c r="B74" s="71" t="s">
        <v>68</v>
      </c>
      <c r="C74" s="74" t="str">
        <f>IFERROR(VLOOKUP(B74,Table2[],2,0),"")</f>
        <v>N/A</v>
      </c>
      <c r="D74" s="77">
        <v>0</v>
      </c>
      <c r="E74" s="81">
        <v>0</v>
      </c>
      <c r="F74" s="81">
        <v>0</v>
      </c>
      <c r="G74" s="81">
        <v>0</v>
      </c>
      <c r="H74" s="81">
        <v>0</v>
      </c>
      <c r="I74" s="79">
        <f t="shared" si="1"/>
        <v>0</v>
      </c>
      <c r="J74" s="84" t="str">
        <f>IFERROR(ROUNDUP(8*(I74/VLOOKUP(B74,Table2[],5,0)),0),"")</f>
        <v/>
      </c>
      <c r="K74" s="1" t="str">
        <f>IFERROR(ROUNDUP(8*(E74/VLOOKUP(B74,Table2[],5,0)),0),"")</f>
        <v/>
      </c>
      <c r="L74" s="1" t="str">
        <f>IFERROR(ROUNDUP(8*(F74/VLOOKUP(B74,Table2[],5,0)),0),"")</f>
        <v/>
      </c>
      <c r="M74" s="1" t="str">
        <f>IFERROR(ROUNDUP(8*(G74/VLOOKUP(B74,Table2[],5,0)),0),"")</f>
        <v/>
      </c>
      <c r="N74" s="1" t="str">
        <f>IFERROR(ROUNDUP(8*(H74/VLOOKUP(B74,Table2[],5,0)),0),"")</f>
        <v/>
      </c>
    </row>
    <row r="75" spans="2:14" x14ac:dyDescent="0.25">
      <c r="B75" s="71" t="s">
        <v>69</v>
      </c>
      <c r="C75" s="74" t="str">
        <f>IFERROR(VLOOKUP(B75,Table2[],2,0),"")</f>
        <v>N/A</v>
      </c>
      <c r="D75" s="77">
        <v>6</v>
      </c>
      <c r="E75" s="81">
        <v>4</v>
      </c>
      <c r="F75" s="81">
        <v>0</v>
      </c>
      <c r="G75" s="81">
        <v>0</v>
      </c>
      <c r="H75" s="81">
        <v>0</v>
      </c>
      <c r="I75" s="79">
        <f t="shared" si="1"/>
        <v>4</v>
      </c>
      <c r="J75" s="84" t="str">
        <f>IFERROR(ROUNDUP(8*(I75/VLOOKUP(B75,Table2[],5,0)),0),"")</f>
        <v/>
      </c>
      <c r="K75" s="1" t="str">
        <f>IFERROR(ROUNDUP(8*(E75/VLOOKUP(B75,Table2[],5,0)),0),"")</f>
        <v/>
      </c>
      <c r="L75" s="1" t="str">
        <f>IFERROR(ROUNDUP(8*(F75/VLOOKUP(B75,Table2[],5,0)),0),"")</f>
        <v/>
      </c>
      <c r="M75" s="1" t="str">
        <f>IFERROR(ROUNDUP(8*(G75/VLOOKUP(B75,Table2[],5,0)),0),"")</f>
        <v/>
      </c>
      <c r="N75" s="1" t="str">
        <f>IFERROR(ROUNDUP(8*(H75/VLOOKUP(B75,Table2[],5,0)),0),"")</f>
        <v/>
      </c>
    </row>
    <row r="76" spans="2:14" x14ac:dyDescent="0.25">
      <c r="B76" s="71" t="s">
        <v>70</v>
      </c>
      <c r="C76" s="74" t="str">
        <f>IFERROR(VLOOKUP(B76,Table2[],2,0),"")</f>
        <v>N/A</v>
      </c>
      <c r="D76" s="77">
        <v>226</v>
      </c>
      <c r="E76" s="81">
        <v>24</v>
      </c>
      <c r="F76" s="81">
        <v>0</v>
      </c>
      <c r="G76" s="81">
        <v>0</v>
      </c>
      <c r="H76" s="81">
        <v>0</v>
      </c>
      <c r="I76" s="79">
        <f t="shared" si="1"/>
        <v>24</v>
      </c>
      <c r="J76" s="84" t="str">
        <f>IFERROR(ROUNDUP(8*(I76/VLOOKUP(B76,Table2[],5,0)),0),"")</f>
        <v/>
      </c>
      <c r="K76" s="1" t="str">
        <f>IFERROR(ROUNDUP(8*(E76/VLOOKUP(B76,Table2[],5,0)),0),"")</f>
        <v/>
      </c>
      <c r="L76" s="1" t="str">
        <f>IFERROR(ROUNDUP(8*(F76/VLOOKUP(B76,Table2[],5,0)),0),"")</f>
        <v/>
      </c>
      <c r="M76" s="1" t="str">
        <f>IFERROR(ROUNDUP(8*(G76/VLOOKUP(B76,Table2[],5,0)),0),"")</f>
        <v/>
      </c>
      <c r="N76" s="1" t="str">
        <f>IFERROR(ROUNDUP(8*(H76/VLOOKUP(B76,Table2[],5,0)),0),"")</f>
        <v/>
      </c>
    </row>
    <row r="77" spans="2:14" x14ac:dyDescent="0.25">
      <c r="B77" s="71" t="s">
        <v>74</v>
      </c>
      <c r="C77" s="74" t="str">
        <f>IFERROR(VLOOKUP(B77,Table2[],2,0),"")</f>
        <v>Sam</v>
      </c>
      <c r="D77" s="77">
        <v>4</v>
      </c>
      <c r="E77" s="81">
        <v>4</v>
      </c>
      <c r="F77" s="81">
        <v>5</v>
      </c>
      <c r="G77" s="81">
        <v>3</v>
      </c>
      <c r="H77" s="81">
        <v>5</v>
      </c>
      <c r="I77" s="79">
        <f t="shared" si="1"/>
        <v>17</v>
      </c>
      <c r="J77" s="84">
        <f>IFERROR(ROUNDUP(8*(I77/VLOOKUP(B77,Table2[],5,0)),0),"")</f>
        <v>136</v>
      </c>
      <c r="K77" s="1">
        <f>IFERROR(ROUNDUP(8*(E77/VLOOKUP(B77,Table2[],5,0)),0),"")</f>
        <v>32</v>
      </c>
      <c r="L77" s="1">
        <f>IFERROR(ROUNDUP(8*(F77/VLOOKUP(B77,Table2[],5,0)),0),"")</f>
        <v>40</v>
      </c>
      <c r="M77" s="1">
        <f>IFERROR(ROUNDUP(8*(G77/VLOOKUP(B77,Table2[],5,0)),0),"")</f>
        <v>24</v>
      </c>
      <c r="N77" s="1">
        <f>IFERROR(ROUNDUP(8*(H77/VLOOKUP(B77,Table2[],5,0)),0),"")</f>
        <v>40</v>
      </c>
    </row>
    <row r="78" spans="2:14" x14ac:dyDescent="0.25">
      <c r="B78" s="71" t="s">
        <v>75</v>
      </c>
      <c r="C78" s="74" t="str">
        <f>IFERROR(VLOOKUP(B78,Table2[],2,0),"")</f>
        <v>Sam</v>
      </c>
      <c r="D78" s="77">
        <v>6</v>
      </c>
      <c r="E78" s="81">
        <v>4</v>
      </c>
      <c r="F78" s="81">
        <v>5</v>
      </c>
      <c r="G78" s="81">
        <v>0</v>
      </c>
      <c r="H78" s="81">
        <v>0</v>
      </c>
      <c r="I78" s="79">
        <f t="shared" si="1"/>
        <v>9</v>
      </c>
      <c r="J78" s="84">
        <f>IFERROR(ROUNDUP(8*(I78/VLOOKUP(B78,Table2[],5,0)),0),"")</f>
        <v>72</v>
      </c>
      <c r="K78" s="1">
        <f>IFERROR(ROUNDUP(8*(E78/VLOOKUP(B78,Table2[],5,0)),0),"")</f>
        <v>32</v>
      </c>
      <c r="L78" s="1">
        <f>IFERROR(ROUNDUP(8*(F78/VLOOKUP(B78,Table2[],5,0)),0),"")</f>
        <v>40</v>
      </c>
      <c r="M78" s="1">
        <f>IFERROR(ROUNDUP(8*(G78/VLOOKUP(B78,Table2[],5,0)),0),"")</f>
        <v>0</v>
      </c>
      <c r="N78" s="1">
        <f>IFERROR(ROUNDUP(8*(H78/VLOOKUP(B78,Table2[],5,0)),0),"")</f>
        <v>0</v>
      </c>
    </row>
    <row r="79" spans="2:14" x14ac:dyDescent="0.25">
      <c r="B79" s="71" t="s">
        <v>76</v>
      </c>
      <c r="C79" s="74" t="str">
        <f>IFERROR(VLOOKUP(B79,Table2[],2,0),"")</f>
        <v>Tia</v>
      </c>
      <c r="D79" s="77">
        <v>16</v>
      </c>
      <c r="E79" s="81">
        <v>4</v>
      </c>
      <c r="F79" s="81">
        <v>5</v>
      </c>
      <c r="G79" s="81">
        <v>3</v>
      </c>
      <c r="H79" s="81">
        <v>5</v>
      </c>
      <c r="I79" s="79">
        <f t="shared" si="1"/>
        <v>17</v>
      </c>
      <c r="J79" s="84">
        <f>IFERROR(ROUNDUP(8*(I79/VLOOKUP(B79,Table2[],5,0)),0),"")</f>
        <v>10</v>
      </c>
      <c r="K79" s="1">
        <f>IFERROR(ROUNDUP(8*(E79/VLOOKUP(B79,Table2[],5,0)),0),"")</f>
        <v>3</v>
      </c>
      <c r="L79" s="1">
        <f>IFERROR(ROUNDUP(8*(F79/VLOOKUP(B79,Table2[],5,0)),0),"")</f>
        <v>3</v>
      </c>
      <c r="M79" s="1">
        <f>IFERROR(ROUNDUP(8*(G79/VLOOKUP(B79,Table2[],5,0)),0),"")</f>
        <v>2</v>
      </c>
      <c r="N79" s="1">
        <f>IFERROR(ROUNDUP(8*(H79/VLOOKUP(B79,Table2[],5,0)),0),"")</f>
        <v>3</v>
      </c>
    </row>
    <row r="80" spans="2:14" x14ac:dyDescent="0.25">
      <c r="B80" s="71" t="s">
        <v>77</v>
      </c>
      <c r="C80" s="74" t="str">
        <f>IFERROR(VLOOKUP(B80,Table2[],2,0),"")</f>
        <v>Tia</v>
      </c>
      <c r="D80" s="77">
        <v>23</v>
      </c>
      <c r="E80" s="81">
        <v>4</v>
      </c>
      <c r="F80" s="81">
        <v>2</v>
      </c>
      <c r="G80" s="81">
        <v>0</v>
      </c>
      <c r="H80" s="81">
        <v>0</v>
      </c>
      <c r="I80" s="79">
        <f t="shared" si="1"/>
        <v>6</v>
      </c>
      <c r="J80" s="84">
        <f>IFERROR(ROUNDUP(8*(I80/VLOOKUP(B80,Table2[],5,0)),0),"")</f>
        <v>4</v>
      </c>
      <c r="K80" s="1">
        <f>IFERROR(ROUNDUP(8*(E80/VLOOKUP(B80,Table2[],5,0)),0),"")</f>
        <v>3</v>
      </c>
      <c r="L80" s="1">
        <f>IFERROR(ROUNDUP(8*(F80/VLOOKUP(B80,Table2[],5,0)),0),"")</f>
        <v>2</v>
      </c>
      <c r="M80" s="1">
        <f>IFERROR(ROUNDUP(8*(G80/VLOOKUP(B80,Table2[],5,0)),0),"")</f>
        <v>0</v>
      </c>
      <c r="N80" s="1">
        <f>IFERROR(ROUNDUP(8*(H80/VLOOKUP(B80,Table2[],5,0)),0),"")</f>
        <v>0</v>
      </c>
    </row>
    <row r="81" spans="2:14" x14ac:dyDescent="0.25">
      <c r="B81" s="71" t="s">
        <v>78</v>
      </c>
      <c r="C81" s="74" t="str">
        <f>IFERROR(VLOOKUP(B81,Table2[],2,0),"")</f>
        <v>Tia</v>
      </c>
      <c r="D81" s="77">
        <v>0</v>
      </c>
      <c r="E81" s="81">
        <v>0</v>
      </c>
      <c r="F81" s="81">
        <v>0</v>
      </c>
      <c r="G81" s="81">
        <v>0</v>
      </c>
      <c r="H81" s="81">
        <v>0</v>
      </c>
      <c r="I81" s="79">
        <f t="shared" si="1"/>
        <v>0</v>
      </c>
      <c r="J81" s="84">
        <f>IFERROR(ROUNDUP(8*(I81/VLOOKUP(B81,Table2[],5,0)),0),"")</f>
        <v>0</v>
      </c>
      <c r="K81" s="1">
        <f>IFERROR(ROUNDUP(8*(E81/VLOOKUP(B81,Table2[],5,0)),0),"")</f>
        <v>0</v>
      </c>
      <c r="L81" s="1">
        <f>IFERROR(ROUNDUP(8*(F81/VLOOKUP(B81,Table2[],5,0)),0),"")</f>
        <v>0</v>
      </c>
      <c r="M81" s="1">
        <f>IFERROR(ROUNDUP(8*(G81/VLOOKUP(B81,Table2[],5,0)),0),"")</f>
        <v>0</v>
      </c>
      <c r="N81" s="1">
        <f>IFERROR(ROUNDUP(8*(H81/VLOOKUP(B81,Table2[],5,0)),0),"")</f>
        <v>0</v>
      </c>
    </row>
    <row r="82" spans="2:14" x14ac:dyDescent="0.25">
      <c r="B82" s="71" t="s">
        <v>79</v>
      </c>
      <c r="C82" s="74" t="str">
        <f>IFERROR(VLOOKUP(B82,Table2[],2,0),"")</f>
        <v>Tia</v>
      </c>
      <c r="D82" s="77">
        <v>0</v>
      </c>
      <c r="E82" s="81">
        <v>0</v>
      </c>
      <c r="F82" s="81">
        <v>0</v>
      </c>
      <c r="G82" s="81">
        <v>0</v>
      </c>
      <c r="H82" s="81">
        <v>0</v>
      </c>
      <c r="I82" s="79">
        <f t="shared" si="1"/>
        <v>0</v>
      </c>
      <c r="J82" s="84">
        <f>IFERROR(ROUNDUP(8*(I82/VLOOKUP(B82,Table2[],5,0)),0),"")</f>
        <v>0</v>
      </c>
      <c r="K82" s="1">
        <f>IFERROR(ROUNDUP(8*(E82/VLOOKUP(B82,Table2[],5,0)),0),"")</f>
        <v>0</v>
      </c>
      <c r="L82" s="1">
        <f>IFERROR(ROUNDUP(8*(F82/VLOOKUP(B82,Table2[],5,0)),0),"")</f>
        <v>0</v>
      </c>
      <c r="M82" s="1">
        <f>IFERROR(ROUNDUP(8*(G82/VLOOKUP(B82,Table2[],5,0)),0),"")</f>
        <v>0</v>
      </c>
      <c r="N82" s="1">
        <f>IFERROR(ROUNDUP(8*(H82/VLOOKUP(B82,Table2[],5,0)),0),"")</f>
        <v>0</v>
      </c>
    </row>
    <row r="83" spans="2:14" x14ac:dyDescent="0.25">
      <c r="B83" s="71" t="s">
        <v>80</v>
      </c>
      <c r="C83" s="74" t="str">
        <f>IFERROR(VLOOKUP(B83,Table2[],2,0),"")</f>
        <v>Tia</v>
      </c>
      <c r="D83" s="77">
        <v>0</v>
      </c>
      <c r="E83" s="81">
        <v>0</v>
      </c>
      <c r="F83" s="81">
        <v>0</v>
      </c>
      <c r="G83" s="81">
        <v>0</v>
      </c>
      <c r="H83" s="81">
        <v>0</v>
      </c>
      <c r="I83" s="79">
        <f t="shared" si="1"/>
        <v>0</v>
      </c>
      <c r="J83" s="84">
        <f>IFERROR(ROUNDUP(8*(I83/VLOOKUP(B83,Table2[],5,0)),0),"")</f>
        <v>0</v>
      </c>
      <c r="K83" s="1">
        <f>IFERROR(ROUNDUP(8*(E83/VLOOKUP(B83,Table2[],5,0)),0),"")</f>
        <v>0</v>
      </c>
      <c r="L83" s="1">
        <f>IFERROR(ROUNDUP(8*(F83/VLOOKUP(B83,Table2[],5,0)),0),"")</f>
        <v>0</v>
      </c>
      <c r="M83" s="1">
        <f>IFERROR(ROUNDUP(8*(G83/VLOOKUP(B83,Table2[],5,0)),0),"")</f>
        <v>0</v>
      </c>
      <c r="N83" s="1">
        <f>IFERROR(ROUNDUP(8*(H83/VLOOKUP(B83,Table2[],5,0)),0),"")</f>
        <v>0</v>
      </c>
    </row>
    <row r="84" spans="2:14" x14ac:dyDescent="0.25">
      <c r="B84" s="71" t="s">
        <v>81</v>
      </c>
      <c r="C84" s="74" t="str">
        <f>IFERROR(VLOOKUP(B84,Table2[],2,0),"")</f>
        <v>Vendor</v>
      </c>
      <c r="D84" s="77">
        <v>0</v>
      </c>
      <c r="E84" s="81">
        <v>0</v>
      </c>
      <c r="F84" s="81">
        <v>0</v>
      </c>
      <c r="G84" s="81">
        <v>0</v>
      </c>
      <c r="H84" s="81">
        <v>0</v>
      </c>
      <c r="I84" s="79">
        <f t="shared" si="1"/>
        <v>0</v>
      </c>
      <c r="J84" s="84">
        <f>IFERROR(ROUNDUP(8*(I84/VLOOKUP(B84,Table2[],5,0)),0),"")</f>
        <v>0</v>
      </c>
      <c r="K84" s="1">
        <f>IFERROR(ROUNDUP(8*(E84/VLOOKUP(B84,Table2[],5,0)),0),"")</f>
        <v>0</v>
      </c>
      <c r="L84" s="1">
        <f>IFERROR(ROUNDUP(8*(F84/VLOOKUP(B84,Table2[],5,0)),0),"")</f>
        <v>0</v>
      </c>
      <c r="M84" s="1">
        <f>IFERROR(ROUNDUP(8*(G84/VLOOKUP(B84,Table2[],5,0)),0),"")</f>
        <v>0</v>
      </c>
      <c r="N84" s="1">
        <f>IFERROR(ROUNDUP(8*(H84/VLOOKUP(B84,Table2[],5,0)),0),"")</f>
        <v>0</v>
      </c>
    </row>
    <row r="85" spans="2:14" x14ac:dyDescent="0.25">
      <c r="B85" s="71" t="s">
        <v>82</v>
      </c>
      <c r="C85" s="74" t="str">
        <f>IFERROR(VLOOKUP(B85,Table2[],2,0),"")</f>
        <v>Vendor</v>
      </c>
      <c r="D85" s="77">
        <v>39</v>
      </c>
      <c r="E85" s="81">
        <v>8</v>
      </c>
      <c r="F85" s="81">
        <v>10</v>
      </c>
      <c r="G85" s="81">
        <v>6</v>
      </c>
      <c r="H85" s="81">
        <v>10</v>
      </c>
      <c r="I85" s="79">
        <f t="shared" si="1"/>
        <v>34</v>
      </c>
      <c r="J85" s="84">
        <f>IFERROR(ROUNDUP(8*(I85/VLOOKUP(B85,Table2[],5,0)),0),"")</f>
        <v>20</v>
      </c>
      <c r="K85" s="1">
        <f>IFERROR(ROUNDUP(8*(E85/VLOOKUP(B85,Table2[],5,0)),0),"")</f>
        <v>5</v>
      </c>
      <c r="L85" s="1">
        <f>IFERROR(ROUNDUP(8*(F85/VLOOKUP(B85,Table2[],5,0)),0),"")</f>
        <v>6</v>
      </c>
      <c r="M85" s="1">
        <f>IFERROR(ROUNDUP(8*(G85/VLOOKUP(B85,Table2[],5,0)),0),"")</f>
        <v>4</v>
      </c>
      <c r="N85" s="1">
        <f>IFERROR(ROUNDUP(8*(H85/VLOOKUP(B85,Table2[],5,0)),0),"")</f>
        <v>6</v>
      </c>
    </row>
    <row r="86" spans="2:14" x14ac:dyDescent="0.25">
      <c r="B86" s="71" t="s">
        <v>83</v>
      </c>
      <c r="C86" s="74" t="str">
        <f>IFERROR(VLOOKUP(B86,Table2[],2,0),"")</f>
        <v>Tia</v>
      </c>
      <c r="D86" s="77">
        <v>5</v>
      </c>
      <c r="E86" s="81">
        <v>4</v>
      </c>
      <c r="F86" s="81">
        <v>5</v>
      </c>
      <c r="G86" s="81">
        <v>3</v>
      </c>
      <c r="H86" s="81">
        <v>5</v>
      </c>
      <c r="I86" s="79">
        <f t="shared" si="1"/>
        <v>17</v>
      </c>
      <c r="J86" s="84">
        <f>IFERROR(ROUNDUP(8*(I86/VLOOKUP(B86,Table2[],5,0)),0),"")</f>
        <v>6</v>
      </c>
      <c r="K86" s="1">
        <f>IFERROR(ROUNDUP(8*(E86/VLOOKUP(B86,Table2[],5,0)),0),"")</f>
        <v>2</v>
      </c>
      <c r="L86" s="1">
        <f>IFERROR(ROUNDUP(8*(F86/VLOOKUP(B86,Table2[],5,0)),0),"")</f>
        <v>2</v>
      </c>
      <c r="M86" s="1">
        <f>IFERROR(ROUNDUP(8*(G86/VLOOKUP(B86,Table2[],5,0)),0),"")</f>
        <v>1</v>
      </c>
      <c r="N86" s="1">
        <f>IFERROR(ROUNDUP(8*(H86/VLOOKUP(B86,Table2[],5,0)),0),"")</f>
        <v>2</v>
      </c>
    </row>
    <row r="87" spans="2:14" x14ac:dyDescent="0.25">
      <c r="B87" s="71" t="s">
        <v>84</v>
      </c>
      <c r="C87" s="74" t="str">
        <f>IFERROR(VLOOKUP(B87,Table2[],2,0),"")</f>
        <v>Tia</v>
      </c>
      <c r="D87" s="77">
        <v>0</v>
      </c>
      <c r="E87" s="81">
        <v>0</v>
      </c>
      <c r="F87" s="81">
        <v>0</v>
      </c>
      <c r="G87" s="81">
        <v>0</v>
      </c>
      <c r="H87" s="81">
        <v>0</v>
      </c>
      <c r="I87" s="79">
        <f t="shared" si="1"/>
        <v>0</v>
      </c>
      <c r="J87" s="84">
        <f>IFERROR(ROUNDUP(8*(I87/VLOOKUP(B87,Table2[],5,0)),0),"")</f>
        <v>0</v>
      </c>
      <c r="K87" s="1">
        <f>IFERROR(ROUNDUP(8*(E87/VLOOKUP(B87,Table2[],5,0)),0),"")</f>
        <v>0</v>
      </c>
      <c r="L87" s="1">
        <f>IFERROR(ROUNDUP(8*(F87/VLOOKUP(B87,Table2[],5,0)),0),"")</f>
        <v>0</v>
      </c>
      <c r="M87" s="1">
        <f>IFERROR(ROUNDUP(8*(G87/VLOOKUP(B87,Table2[],5,0)),0),"")</f>
        <v>0</v>
      </c>
      <c r="N87" s="1">
        <f>IFERROR(ROUNDUP(8*(H87/VLOOKUP(B87,Table2[],5,0)),0),"")</f>
        <v>0</v>
      </c>
    </row>
    <row r="88" spans="2:14" x14ac:dyDescent="0.25">
      <c r="B88" s="71" t="s">
        <v>85</v>
      </c>
      <c r="C88" s="74" t="str">
        <f>IFERROR(VLOOKUP(B88,Table2[],2,0),"")</f>
        <v>Tia</v>
      </c>
      <c r="D88" s="77">
        <v>46</v>
      </c>
      <c r="E88" s="81">
        <v>4</v>
      </c>
      <c r="F88" s="81">
        <v>0</v>
      </c>
      <c r="G88" s="81">
        <v>0</v>
      </c>
      <c r="H88" s="81">
        <v>0</v>
      </c>
      <c r="I88" s="79">
        <f t="shared" si="1"/>
        <v>4</v>
      </c>
      <c r="J88" s="84">
        <f>IFERROR(ROUNDUP(8*(I88/VLOOKUP(B88,Table2[],5,0)),0),"")</f>
        <v>1</v>
      </c>
      <c r="K88" s="1">
        <f>IFERROR(ROUNDUP(8*(E88/VLOOKUP(B88,Table2[],5,0)),0),"")</f>
        <v>1</v>
      </c>
      <c r="L88" s="1">
        <f>IFERROR(ROUNDUP(8*(F88/VLOOKUP(B88,Table2[],5,0)),0),"")</f>
        <v>0</v>
      </c>
      <c r="M88" s="1">
        <f>IFERROR(ROUNDUP(8*(G88/VLOOKUP(B88,Table2[],5,0)),0),"")</f>
        <v>0</v>
      </c>
      <c r="N88" s="1">
        <f>IFERROR(ROUNDUP(8*(H88/VLOOKUP(B88,Table2[],5,0)),0),"")</f>
        <v>0</v>
      </c>
    </row>
    <row r="89" spans="2:14" x14ac:dyDescent="0.25">
      <c r="B89" s="71" t="s">
        <v>86</v>
      </c>
      <c r="C89" s="74" t="str">
        <f>IFERROR(VLOOKUP(B89,Table2[],2,0),"")</f>
        <v>Tia</v>
      </c>
      <c r="D89" s="77">
        <v>0</v>
      </c>
      <c r="E89" s="81">
        <v>0</v>
      </c>
      <c r="F89" s="81">
        <v>0</v>
      </c>
      <c r="G89" s="81">
        <v>0</v>
      </c>
      <c r="H89" s="81">
        <v>0</v>
      </c>
      <c r="I89" s="79">
        <f t="shared" si="1"/>
        <v>0</v>
      </c>
      <c r="J89" s="84">
        <f>IFERROR(ROUNDUP(8*(I89/VLOOKUP(B89,Table2[],5,0)),0),"")</f>
        <v>0</v>
      </c>
      <c r="K89" s="1">
        <f>IFERROR(ROUNDUP(8*(E89/VLOOKUP(B89,Table2[],5,0)),0),"")</f>
        <v>0</v>
      </c>
      <c r="L89" s="1">
        <f>IFERROR(ROUNDUP(8*(F89/VLOOKUP(B89,Table2[],5,0)),0),"")</f>
        <v>0</v>
      </c>
      <c r="M89" s="1">
        <f>IFERROR(ROUNDUP(8*(G89/VLOOKUP(B89,Table2[],5,0)),0),"")</f>
        <v>0</v>
      </c>
      <c r="N89" s="1">
        <f>IFERROR(ROUNDUP(8*(H89/VLOOKUP(B89,Table2[],5,0)),0),"")</f>
        <v>0</v>
      </c>
    </row>
    <row r="90" spans="2:14" x14ac:dyDescent="0.25">
      <c r="B90" s="71" t="s">
        <v>87</v>
      </c>
      <c r="C90" s="74" t="str">
        <f>IFERROR(VLOOKUP(B90,Table2[],2,0),"")</f>
        <v>Tia</v>
      </c>
      <c r="D90" s="77">
        <v>41</v>
      </c>
      <c r="E90" s="81">
        <v>12</v>
      </c>
      <c r="F90" s="81">
        <v>15</v>
      </c>
      <c r="G90" s="81">
        <v>9</v>
      </c>
      <c r="H90" s="81">
        <v>15</v>
      </c>
      <c r="I90" s="79">
        <f t="shared" si="1"/>
        <v>51</v>
      </c>
      <c r="J90" s="84">
        <f>IFERROR(ROUNDUP(8*(I90/VLOOKUP(B90,Table2[],5,0)),0),"")</f>
        <v>13</v>
      </c>
      <c r="K90" s="1">
        <f>IFERROR(ROUNDUP(8*(E90/VLOOKUP(B90,Table2[],5,0)),0),"")</f>
        <v>3</v>
      </c>
      <c r="L90" s="1">
        <f>IFERROR(ROUNDUP(8*(F90/VLOOKUP(B90,Table2[],5,0)),0),"")</f>
        <v>4</v>
      </c>
      <c r="M90" s="1">
        <f>IFERROR(ROUNDUP(8*(G90/VLOOKUP(B90,Table2[],5,0)),0),"")</f>
        <v>3</v>
      </c>
      <c r="N90" s="1">
        <f>IFERROR(ROUNDUP(8*(H90/VLOOKUP(B90,Table2[],5,0)),0),"")</f>
        <v>4</v>
      </c>
    </row>
    <row r="91" spans="2:14" x14ac:dyDescent="0.25">
      <c r="B91" s="71" t="s">
        <v>88</v>
      </c>
      <c r="C91" s="74" t="str">
        <f>IFERROR(VLOOKUP(B91,Table2[],2,0),"")</f>
        <v>Tia</v>
      </c>
      <c r="D91" s="77">
        <v>0</v>
      </c>
      <c r="E91" s="81">
        <v>8</v>
      </c>
      <c r="F91" s="81">
        <v>10</v>
      </c>
      <c r="G91" s="81">
        <v>6</v>
      </c>
      <c r="H91" s="81">
        <v>10</v>
      </c>
      <c r="I91" s="79">
        <f t="shared" si="1"/>
        <v>34</v>
      </c>
      <c r="J91" s="84">
        <f>IFERROR(ROUNDUP(8*(I91/VLOOKUP(B91,Table2[],5,0)),0),"")</f>
        <v>9</v>
      </c>
      <c r="K91" s="1">
        <f>IFERROR(ROUNDUP(8*(E91/VLOOKUP(B91,Table2[],5,0)),0),"")</f>
        <v>2</v>
      </c>
      <c r="L91" s="1">
        <f>IFERROR(ROUNDUP(8*(F91/VLOOKUP(B91,Table2[],5,0)),0),"")</f>
        <v>3</v>
      </c>
      <c r="M91" s="1">
        <f>IFERROR(ROUNDUP(8*(G91/VLOOKUP(B91,Table2[],5,0)),0),"")</f>
        <v>2</v>
      </c>
      <c r="N91" s="1">
        <f>IFERROR(ROUNDUP(8*(H91/VLOOKUP(B91,Table2[],5,0)),0),"")</f>
        <v>3</v>
      </c>
    </row>
    <row r="92" spans="2:14" x14ac:dyDescent="0.25">
      <c r="B92" s="71" t="s">
        <v>89</v>
      </c>
      <c r="C92" s="74" t="str">
        <f>IFERROR(VLOOKUP(B92,Table2[],2,0),"")</f>
        <v>Tia</v>
      </c>
      <c r="D92" s="77">
        <v>0</v>
      </c>
      <c r="E92" s="81">
        <v>8</v>
      </c>
      <c r="F92" s="81">
        <v>10</v>
      </c>
      <c r="G92" s="81">
        <v>6</v>
      </c>
      <c r="H92" s="81">
        <v>10</v>
      </c>
      <c r="I92" s="79">
        <f t="shared" si="1"/>
        <v>34</v>
      </c>
      <c r="J92" s="84">
        <f>IFERROR(ROUNDUP(8*(I92/VLOOKUP(B92,Table2[],5,0)),0),"")</f>
        <v>9</v>
      </c>
      <c r="K92" s="1">
        <f>IFERROR(ROUNDUP(8*(E92/VLOOKUP(B92,Table2[],5,0)),0),"")</f>
        <v>2</v>
      </c>
      <c r="L92" s="1">
        <f>IFERROR(ROUNDUP(8*(F92/VLOOKUP(B92,Table2[],5,0)),0),"")</f>
        <v>3</v>
      </c>
      <c r="M92" s="1">
        <f>IFERROR(ROUNDUP(8*(G92/VLOOKUP(B92,Table2[],5,0)),0),"")</f>
        <v>2</v>
      </c>
      <c r="N92" s="1">
        <f>IFERROR(ROUNDUP(8*(H92/VLOOKUP(B92,Table2[],5,0)),0),"")</f>
        <v>3</v>
      </c>
    </row>
    <row r="93" spans="2:14" x14ac:dyDescent="0.25">
      <c r="B93" s="71" t="s">
        <v>90</v>
      </c>
      <c r="C93" s="74" t="str">
        <f>IFERROR(VLOOKUP(B93,Table2[],2,0),"")</f>
        <v>Tia</v>
      </c>
      <c r="D93" s="77">
        <v>0</v>
      </c>
      <c r="E93" s="81">
        <v>0</v>
      </c>
      <c r="F93" s="81">
        <v>0</v>
      </c>
      <c r="G93" s="81">
        <v>0</v>
      </c>
      <c r="H93" s="81">
        <v>0</v>
      </c>
      <c r="I93" s="79">
        <f t="shared" si="1"/>
        <v>0</v>
      </c>
      <c r="J93" s="84">
        <f>IFERROR(ROUNDUP(8*(I93/VLOOKUP(B93,Table2[],5,0)),0),"")</f>
        <v>0</v>
      </c>
      <c r="K93" s="1">
        <f>IFERROR(ROUNDUP(8*(E93/VLOOKUP(B93,Table2[],5,0)),0),"")</f>
        <v>0</v>
      </c>
      <c r="L93" s="1">
        <f>IFERROR(ROUNDUP(8*(F93/VLOOKUP(B93,Table2[],5,0)),0),"")</f>
        <v>0</v>
      </c>
      <c r="M93" s="1">
        <f>IFERROR(ROUNDUP(8*(G93/VLOOKUP(B93,Table2[],5,0)),0),"")</f>
        <v>0</v>
      </c>
      <c r="N93" s="1">
        <f>IFERROR(ROUNDUP(8*(H93/VLOOKUP(B93,Table2[],5,0)),0),"")</f>
        <v>0</v>
      </c>
    </row>
    <row r="94" spans="2:14" x14ac:dyDescent="0.25">
      <c r="B94" s="71" t="s">
        <v>91</v>
      </c>
      <c r="C94" s="74" t="str">
        <f>IFERROR(VLOOKUP(B94,Table2[],2,0),"")</f>
        <v>Tia</v>
      </c>
      <c r="D94" s="77">
        <v>0</v>
      </c>
      <c r="E94" s="81">
        <v>0</v>
      </c>
      <c r="F94" s="81">
        <v>0</v>
      </c>
      <c r="G94" s="81">
        <v>0</v>
      </c>
      <c r="H94" s="81">
        <v>0</v>
      </c>
      <c r="I94" s="79">
        <f t="shared" si="1"/>
        <v>0</v>
      </c>
      <c r="J94" s="84">
        <f>IFERROR(ROUNDUP(8*(I94/VLOOKUP(B94,Table2[],5,0)),0),"")</f>
        <v>0</v>
      </c>
      <c r="K94" s="1">
        <f>IFERROR(ROUNDUP(8*(E94/VLOOKUP(B94,Table2[],5,0)),0),"")</f>
        <v>0</v>
      </c>
      <c r="L94" s="1">
        <f>IFERROR(ROUNDUP(8*(F94/VLOOKUP(B94,Table2[],5,0)),0),"")</f>
        <v>0</v>
      </c>
      <c r="M94" s="1">
        <f>IFERROR(ROUNDUP(8*(G94/VLOOKUP(B94,Table2[],5,0)),0),"")</f>
        <v>0</v>
      </c>
      <c r="N94" s="1">
        <f>IFERROR(ROUNDUP(8*(H94/VLOOKUP(B94,Table2[],5,0)),0),"")</f>
        <v>0</v>
      </c>
    </row>
    <row r="95" spans="2:14" x14ac:dyDescent="0.25">
      <c r="B95" s="71" t="s">
        <v>92</v>
      </c>
      <c r="C95" s="74" t="str">
        <f>IFERROR(VLOOKUP(B95,Table2[],2,0),"")</f>
        <v>Tia</v>
      </c>
      <c r="D95" s="77">
        <v>0</v>
      </c>
      <c r="E95" s="81">
        <v>4</v>
      </c>
      <c r="F95" s="81">
        <v>5</v>
      </c>
      <c r="G95" s="81">
        <v>3</v>
      </c>
      <c r="H95" s="81">
        <v>3</v>
      </c>
      <c r="I95" s="79">
        <f t="shared" si="1"/>
        <v>15</v>
      </c>
      <c r="J95" s="84">
        <f>IFERROR(ROUNDUP(8*(I95/VLOOKUP(B95,Table2[],5,0)),0),"")</f>
        <v>4</v>
      </c>
      <c r="K95" s="1">
        <f>IFERROR(ROUNDUP(8*(E95/VLOOKUP(B95,Table2[],5,0)),0),"")</f>
        <v>1</v>
      </c>
      <c r="L95" s="1">
        <f>IFERROR(ROUNDUP(8*(F95/VLOOKUP(B95,Table2[],5,0)),0),"")</f>
        <v>2</v>
      </c>
      <c r="M95" s="1">
        <f>IFERROR(ROUNDUP(8*(G95/VLOOKUP(B95,Table2[],5,0)),0),"")</f>
        <v>1</v>
      </c>
      <c r="N95" s="1">
        <f>IFERROR(ROUNDUP(8*(H95/VLOOKUP(B95,Table2[],5,0)),0),"")</f>
        <v>1</v>
      </c>
    </row>
    <row r="96" spans="2:14" x14ac:dyDescent="0.25">
      <c r="B96" s="71" t="s">
        <v>93</v>
      </c>
      <c r="C96" s="74" t="str">
        <f>IFERROR(VLOOKUP(B96,Table2[],2,0),"")</f>
        <v>Tia</v>
      </c>
      <c r="D96" s="77">
        <v>0</v>
      </c>
      <c r="E96" s="81">
        <v>0</v>
      </c>
      <c r="F96" s="81">
        <v>0</v>
      </c>
      <c r="G96" s="81">
        <v>0</v>
      </c>
      <c r="H96" s="81">
        <v>0</v>
      </c>
      <c r="I96" s="79">
        <f t="shared" si="1"/>
        <v>0</v>
      </c>
      <c r="J96" s="84">
        <f>IFERROR(ROUNDUP(8*(I96/VLOOKUP(B96,Table2[],5,0)),0),"")</f>
        <v>0</v>
      </c>
      <c r="K96" s="1">
        <f>IFERROR(ROUNDUP(8*(E96/VLOOKUP(B96,Table2[],5,0)),0),"")</f>
        <v>0</v>
      </c>
      <c r="L96" s="1">
        <f>IFERROR(ROUNDUP(8*(F96/VLOOKUP(B96,Table2[],5,0)),0),"")</f>
        <v>0</v>
      </c>
      <c r="M96" s="1">
        <f>IFERROR(ROUNDUP(8*(G96/VLOOKUP(B96,Table2[],5,0)),0),"")</f>
        <v>0</v>
      </c>
      <c r="N96" s="1">
        <f>IFERROR(ROUNDUP(8*(H96/VLOOKUP(B96,Table2[],5,0)),0),"")</f>
        <v>0</v>
      </c>
    </row>
    <row r="97" spans="2:14" x14ac:dyDescent="0.25">
      <c r="B97" s="71" t="s">
        <v>94</v>
      </c>
      <c r="C97" s="74" t="str">
        <f>IFERROR(VLOOKUP(B97,Table2[],2,0),"")</f>
        <v>Tia</v>
      </c>
      <c r="D97" s="77">
        <v>32</v>
      </c>
      <c r="E97" s="81">
        <v>3</v>
      </c>
      <c r="F97" s="81">
        <v>0</v>
      </c>
      <c r="G97" s="81">
        <v>0</v>
      </c>
      <c r="H97" s="81">
        <v>0</v>
      </c>
      <c r="I97" s="79">
        <f t="shared" si="1"/>
        <v>3</v>
      </c>
      <c r="J97" s="84">
        <f>IFERROR(ROUNDUP(8*(I97/VLOOKUP(B97,Table2[],5,0)),0),"")</f>
        <v>2</v>
      </c>
      <c r="K97" s="1">
        <f>IFERROR(ROUNDUP(8*(E97/VLOOKUP(B97,Table2[],5,0)),0),"")</f>
        <v>2</v>
      </c>
      <c r="L97" s="1">
        <f>IFERROR(ROUNDUP(8*(F97/VLOOKUP(B97,Table2[],5,0)),0),"")</f>
        <v>0</v>
      </c>
      <c r="M97" s="1">
        <f>IFERROR(ROUNDUP(8*(G97/VLOOKUP(B97,Table2[],5,0)),0),"")</f>
        <v>0</v>
      </c>
      <c r="N97" s="1">
        <f>IFERROR(ROUNDUP(8*(H97/VLOOKUP(B97,Table2[],5,0)),0),"")</f>
        <v>0</v>
      </c>
    </row>
    <row r="98" spans="2:14" x14ac:dyDescent="0.25">
      <c r="B98" s="71" t="s">
        <v>95</v>
      </c>
      <c r="C98" s="74" t="str">
        <f>IFERROR(VLOOKUP(B98,Table2[],2,0),"")</f>
        <v>Tia</v>
      </c>
      <c r="D98" s="77">
        <v>44</v>
      </c>
      <c r="E98" s="81">
        <v>6</v>
      </c>
      <c r="F98" s="81">
        <v>0</v>
      </c>
      <c r="G98" s="81">
        <v>0</v>
      </c>
      <c r="H98" s="81">
        <v>0</v>
      </c>
      <c r="I98" s="79">
        <f t="shared" si="1"/>
        <v>6</v>
      </c>
      <c r="J98" s="84">
        <f>IFERROR(ROUNDUP(8*(I98/VLOOKUP(B98,Table2[],5,0)),0),"")</f>
        <v>3</v>
      </c>
      <c r="K98" s="1">
        <f>IFERROR(ROUNDUP(8*(E98/VLOOKUP(B98,Table2[],5,0)),0),"")</f>
        <v>3</v>
      </c>
      <c r="L98" s="1">
        <f>IFERROR(ROUNDUP(8*(F98/VLOOKUP(B98,Table2[],5,0)),0),"")</f>
        <v>0</v>
      </c>
      <c r="M98" s="1">
        <f>IFERROR(ROUNDUP(8*(G98/VLOOKUP(B98,Table2[],5,0)),0),"")</f>
        <v>0</v>
      </c>
      <c r="N98" s="1">
        <f>IFERROR(ROUNDUP(8*(H98/VLOOKUP(B98,Table2[],5,0)),0),"")</f>
        <v>0</v>
      </c>
    </row>
    <row r="99" spans="2:14" x14ac:dyDescent="0.25">
      <c r="B99" s="71" t="s">
        <v>96</v>
      </c>
      <c r="C99" s="74" t="str">
        <f>IFERROR(VLOOKUP(B99,Table2[],2,0),"")</f>
        <v>Tia</v>
      </c>
      <c r="D99" s="77">
        <v>0</v>
      </c>
      <c r="E99" s="81">
        <v>0</v>
      </c>
      <c r="F99" s="81">
        <v>0</v>
      </c>
      <c r="G99" s="81">
        <v>0</v>
      </c>
      <c r="H99" s="81">
        <v>0</v>
      </c>
      <c r="I99" s="79">
        <f t="shared" si="1"/>
        <v>0</v>
      </c>
      <c r="J99" s="84">
        <f>IFERROR(ROUNDUP(8*(I99/VLOOKUP(B99,Table2[],5,0)),0),"")</f>
        <v>0</v>
      </c>
      <c r="K99" s="1">
        <f>IFERROR(ROUNDUP(8*(E99/VLOOKUP(B99,Table2[],5,0)),0),"")</f>
        <v>0</v>
      </c>
      <c r="L99" s="1">
        <f>IFERROR(ROUNDUP(8*(F99/VLOOKUP(B99,Table2[],5,0)),0),"")</f>
        <v>0</v>
      </c>
      <c r="M99" s="1">
        <f>IFERROR(ROUNDUP(8*(G99/VLOOKUP(B99,Table2[],5,0)),0),"")</f>
        <v>0</v>
      </c>
      <c r="N99" s="1">
        <f>IFERROR(ROUNDUP(8*(H99/VLOOKUP(B99,Table2[],5,0)),0),"")</f>
        <v>0</v>
      </c>
    </row>
    <row r="100" spans="2:14" x14ac:dyDescent="0.25">
      <c r="B100" s="71" t="s">
        <v>97</v>
      </c>
      <c r="C100" s="74" t="str">
        <f>IFERROR(VLOOKUP(B100,Table2[],2,0),"")</f>
        <v>Tia</v>
      </c>
      <c r="D100" s="77">
        <v>0</v>
      </c>
      <c r="E100" s="81">
        <v>4</v>
      </c>
      <c r="F100" s="81">
        <v>5</v>
      </c>
      <c r="G100" s="81">
        <v>1</v>
      </c>
      <c r="H100" s="81">
        <v>0</v>
      </c>
      <c r="I100" s="79">
        <f t="shared" si="1"/>
        <v>10</v>
      </c>
      <c r="J100" s="84">
        <f>IFERROR(ROUNDUP(8*(I100/VLOOKUP(B100,Table2[],5,0)),0),"")</f>
        <v>4</v>
      </c>
      <c r="K100" s="1">
        <f>IFERROR(ROUNDUP(8*(E100/VLOOKUP(B100,Table2[],5,0)),0),"")</f>
        <v>2</v>
      </c>
      <c r="L100" s="1">
        <f>IFERROR(ROUNDUP(8*(F100/VLOOKUP(B100,Table2[],5,0)),0),"")</f>
        <v>2</v>
      </c>
      <c r="M100" s="1">
        <f>IFERROR(ROUNDUP(8*(G100/VLOOKUP(B100,Table2[],5,0)),0),"")</f>
        <v>1</v>
      </c>
      <c r="N100" s="1">
        <f>IFERROR(ROUNDUP(8*(H100/VLOOKUP(B100,Table2[],5,0)),0),"")</f>
        <v>0</v>
      </c>
    </row>
    <row r="101" spans="2:14" x14ac:dyDescent="0.25">
      <c r="B101" s="71" t="s">
        <v>98</v>
      </c>
      <c r="C101" s="74" t="str">
        <f>IFERROR(VLOOKUP(B101,Table2[],2,0),"")</f>
        <v>Tia</v>
      </c>
      <c r="D101" s="77">
        <v>0</v>
      </c>
      <c r="E101" s="81">
        <v>0</v>
      </c>
      <c r="F101" s="81">
        <v>0</v>
      </c>
      <c r="G101" s="81">
        <v>0</v>
      </c>
      <c r="H101" s="81">
        <v>0</v>
      </c>
      <c r="I101" s="79">
        <f t="shared" si="1"/>
        <v>0</v>
      </c>
      <c r="J101" s="84">
        <f>IFERROR(ROUNDUP(8*(I101/VLOOKUP(B101,Table2[],5,0)),0),"")</f>
        <v>0</v>
      </c>
      <c r="K101" s="1">
        <f>IFERROR(ROUNDUP(8*(E101/VLOOKUP(B101,Table2[],5,0)),0),"")</f>
        <v>0</v>
      </c>
      <c r="L101" s="1">
        <f>IFERROR(ROUNDUP(8*(F101/VLOOKUP(B101,Table2[],5,0)),0),"")</f>
        <v>0</v>
      </c>
      <c r="M101" s="1">
        <f>IFERROR(ROUNDUP(8*(G101/VLOOKUP(B101,Table2[],5,0)),0),"")</f>
        <v>0</v>
      </c>
      <c r="N101" s="1">
        <f>IFERROR(ROUNDUP(8*(H101/VLOOKUP(B101,Table2[],5,0)),0),"")</f>
        <v>0</v>
      </c>
    </row>
    <row r="102" spans="2:14" x14ac:dyDescent="0.25">
      <c r="B102" s="71" t="s">
        <v>128</v>
      </c>
      <c r="C102" s="74" t="str">
        <f>IFERROR(VLOOKUP(B102,Table2[],2,0),"")</f>
        <v>N/A</v>
      </c>
      <c r="D102" s="77">
        <v>4</v>
      </c>
      <c r="E102" s="81">
        <v>2</v>
      </c>
      <c r="F102" s="81">
        <v>0</v>
      </c>
      <c r="G102" s="81">
        <v>0</v>
      </c>
      <c r="H102" s="81">
        <v>0</v>
      </c>
      <c r="I102" s="79">
        <f t="shared" si="1"/>
        <v>2</v>
      </c>
      <c r="J102" s="84" t="str">
        <f>IFERROR(ROUNDUP(8*(I102/VLOOKUP(B102,Table2[],5,0)),0),"")</f>
        <v/>
      </c>
      <c r="K102" s="1" t="str">
        <f>IFERROR(ROUNDUP(8*(E102/VLOOKUP(B102,Table2[],5,0)),0),"")</f>
        <v/>
      </c>
      <c r="L102" s="1" t="str">
        <f>IFERROR(ROUNDUP(8*(F102/VLOOKUP(B102,Table2[],5,0)),0),"")</f>
        <v/>
      </c>
      <c r="M102" s="1" t="str">
        <f>IFERROR(ROUNDUP(8*(G102/VLOOKUP(B102,Table2[],5,0)),0),"")</f>
        <v/>
      </c>
      <c r="N102" s="1" t="str">
        <f>IFERROR(ROUNDUP(8*(H102/VLOOKUP(B102,Table2[],5,0)),0),"")</f>
        <v/>
      </c>
    </row>
    <row r="103" spans="2:14" x14ac:dyDescent="0.25">
      <c r="B103" s="71" t="s">
        <v>129</v>
      </c>
      <c r="C103" s="74" t="str">
        <f>IFERROR(VLOOKUP(B103,Table2[],2,0),"")</f>
        <v>N/A</v>
      </c>
      <c r="D103" s="77">
        <v>0</v>
      </c>
      <c r="E103" s="81">
        <v>0</v>
      </c>
      <c r="F103" s="81">
        <v>0</v>
      </c>
      <c r="G103" s="81">
        <v>0</v>
      </c>
      <c r="H103" s="81">
        <v>0</v>
      </c>
      <c r="I103" s="79">
        <f t="shared" si="1"/>
        <v>0</v>
      </c>
      <c r="J103" s="84" t="str">
        <f>IFERROR(ROUNDUP(8*(I103/VLOOKUP(B103,Table2[],5,0)),0),"")</f>
        <v/>
      </c>
      <c r="K103" s="1" t="str">
        <f>IFERROR(ROUNDUP(8*(E103/VLOOKUP(B103,Table2[],5,0)),0),"")</f>
        <v/>
      </c>
      <c r="L103" s="1" t="str">
        <f>IFERROR(ROUNDUP(8*(F103/VLOOKUP(B103,Table2[],5,0)),0),"")</f>
        <v/>
      </c>
      <c r="M103" s="1" t="str">
        <f>IFERROR(ROUNDUP(8*(G103/VLOOKUP(B103,Table2[],5,0)),0),"")</f>
        <v/>
      </c>
      <c r="N103" s="1" t="str">
        <f>IFERROR(ROUNDUP(8*(H103/VLOOKUP(B103,Table2[],5,0)),0),"")</f>
        <v/>
      </c>
    </row>
    <row r="104" spans="2:14" x14ac:dyDescent="0.25">
      <c r="B104" s="71"/>
      <c r="C104" s="74" t="str">
        <f>IFERROR(VLOOKUP(B104,Table2[],2,0),"")</f>
        <v/>
      </c>
      <c r="D104" s="77"/>
      <c r="I104" s="79" t="str">
        <f t="shared" si="1"/>
        <v/>
      </c>
      <c r="J104" s="84" t="str">
        <f>IFERROR(ROUNDUP(8*(I104/VLOOKUP(B104,Table2[],5,0)),0),"")</f>
        <v/>
      </c>
      <c r="K104" s="1" t="str">
        <f>IFERROR(ROUNDUP(8*(E104/VLOOKUP(B104,Table2[],5,0)),0),"")</f>
        <v/>
      </c>
      <c r="L104" s="1" t="str">
        <f>IFERROR(ROUNDUP(8*(F104/VLOOKUP(B104,Table2[],5,0)),0),"")</f>
        <v/>
      </c>
      <c r="M104" s="1" t="str">
        <f>IFERROR(ROUNDUP(8*(G104/VLOOKUP(B104,Table2[],5,0)),0),"")</f>
        <v/>
      </c>
      <c r="N104" s="1" t="str">
        <f>IFERROR(ROUNDUP(8*(H104/VLOOKUP(B104,Table2[],5,0)),0),"")</f>
        <v/>
      </c>
    </row>
    <row r="105" spans="2:14" x14ac:dyDescent="0.25">
      <c r="B105" s="71"/>
      <c r="C105" s="74" t="str">
        <f>IFERROR(VLOOKUP(B105,Table2[],2,0),"")</f>
        <v/>
      </c>
      <c r="D105" s="77"/>
      <c r="I105" s="79" t="str">
        <f t="shared" si="1"/>
        <v/>
      </c>
      <c r="J105" s="84" t="str">
        <f>IFERROR(ROUNDUP(8*(I105/VLOOKUP(B105,Table2[],5,0)),0),"")</f>
        <v/>
      </c>
      <c r="K105" s="1" t="str">
        <f>IFERROR(ROUNDUP(8*(E105/VLOOKUP(B105,Table2[],5,0)),0),"")</f>
        <v/>
      </c>
      <c r="L105" s="1" t="str">
        <f>IFERROR(ROUNDUP(8*(F105/VLOOKUP(B105,Table2[],5,0)),0),"")</f>
        <v/>
      </c>
      <c r="M105" s="1" t="str">
        <f>IFERROR(ROUNDUP(8*(G105/VLOOKUP(B105,Table2[],5,0)),0),"")</f>
        <v/>
      </c>
      <c r="N105" s="1" t="str">
        <f>IFERROR(ROUNDUP(8*(H105/VLOOKUP(B105,Table2[],5,0)),0),"")</f>
        <v/>
      </c>
    </row>
    <row r="106" spans="2:14" x14ac:dyDescent="0.25">
      <c r="B106" s="71"/>
      <c r="C106" s="74" t="str">
        <f>IFERROR(VLOOKUP(B106,Table2[],2,0),"")</f>
        <v/>
      </c>
      <c r="D106" s="77"/>
      <c r="I106" s="79" t="str">
        <f t="shared" si="1"/>
        <v/>
      </c>
      <c r="J106" s="84" t="str">
        <f>IFERROR(ROUNDUP(8*(I106/VLOOKUP(B106,Table2[],5,0)),0),"")</f>
        <v/>
      </c>
      <c r="K106" s="1" t="str">
        <f>IFERROR(ROUNDUP(8*(E106/VLOOKUP(B106,Table2[],5,0)),0),"")</f>
        <v/>
      </c>
      <c r="L106" s="1" t="str">
        <f>IFERROR(ROUNDUP(8*(F106/VLOOKUP(B106,Table2[],5,0)),0),"")</f>
        <v/>
      </c>
      <c r="M106" s="1" t="str">
        <f>IFERROR(ROUNDUP(8*(G106/VLOOKUP(B106,Table2[],5,0)),0),"")</f>
        <v/>
      </c>
      <c r="N106" s="1" t="str">
        <f>IFERROR(ROUNDUP(8*(H106/VLOOKUP(B106,Table2[],5,0)),0),"")</f>
        <v/>
      </c>
    </row>
    <row r="107" spans="2:14" x14ac:dyDescent="0.25">
      <c r="B107" s="71"/>
      <c r="C107" s="74" t="str">
        <f>IFERROR(VLOOKUP(B107,Table2[],2,0),"")</f>
        <v/>
      </c>
      <c r="D107" s="77"/>
      <c r="I107" s="79" t="str">
        <f t="shared" si="1"/>
        <v/>
      </c>
      <c r="J107" s="84" t="str">
        <f>IFERROR(ROUNDUP(8*(I107/VLOOKUP(B107,Table2[],5,0)),0),"")</f>
        <v/>
      </c>
      <c r="K107" s="1" t="str">
        <f>IFERROR(ROUNDUP(8*(E107/VLOOKUP(B107,Table2[],5,0)),0),"")</f>
        <v/>
      </c>
      <c r="L107" s="1" t="str">
        <f>IFERROR(ROUNDUP(8*(F107/VLOOKUP(B107,Table2[],5,0)),0),"")</f>
        <v/>
      </c>
      <c r="M107" s="1" t="str">
        <f>IFERROR(ROUNDUP(8*(G107/VLOOKUP(B107,Table2[],5,0)),0),"")</f>
        <v/>
      </c>
      <c r="N107" s="1" t="str">
        <f>IFERROR(ROUNDUP(8*(H107/VLOOKUP(B107,Table2[],5,0)),0),"")</f>
        <v/>
      </c>
    </row>
    <row r="108" spans="2:14" x14ac:dyDescent="0.25">
      <c r="B108" s="71"/>
      <c r="C108" s="74" t="str">
        <f>IFERROR(VLOOKUP(B108,Table2[],2,0),"")</f>
        <v/>
      </c>
      <c r="D108" s="77"/>
      <c r="I108" s="79" t="str">
        <f t="shared" si="1"/>
        <v/>
      </c>
      <c r="J108" s="84" t="str">
        <f>IFERROR(ROUNDUP(8*(I108/VLOOKUP(B108,Table2[],5,0)),0),"")</f>
        <v/>
      </c>
      <c r="K108" s="1" t="str">
        <f>IFERROR(ROUNDUP(8*(E108/VLOOKUP(B108,Table2[],5,0)),0),"")</f>
        <v/>
      </c>
      <c r="L108" s="1" t="str">
        <f>IFERROR(ROUNDUP(8*(F108/VLOOKUP(B108,Table2[],5,0)),0),"")</f>
        <v/>
      </c>
      <c r="M108" s="1" t="str">
        <f>IFERROR(ROUNDUP(8*(G108/VLOOKUP(B108,Table2[],5,0)),0),"")</f>
        <v/>
      </c>
      <c r="N108" s="1" t="str">
        <f>IFERROR(ROUNDUP(8*(H108/VLOOKUP(B108,Table2[],5,0)),0),"")</f>
        <v/>
      </c>
    </row>
    <row r="109" spans="2:14" x14ac:dyDescent="0.25">
      <c r="B109" s="71"/>
      <c r="C109" s="74" t="str">
        <f>IFERROR(VLOOKUP(B109,Table2[],2,0),"")</f>
        <v/>
      </c>
      <c r="D109" s="77"/>
      <c r="I109" s="79" t="str">
        <f t="shared" si="1"/>
        <v/>
      </c>
      <c r="J109" s="84" t="str">
        <f>IFERROR(ROUNDUP(8*(I109/VLOOKUP(B109,Table2[],5,0)),0),"")</f>
        <v/>
      </c>
      <c r="K109" s="1" t="str">
        <f>IFERROR(ROUNDUP(8*(E109/VLOOKUP(B109,Table2[],5,0)),0),"")</f>
        <v/>
      </c>
      <c r="L109" s="1" t="str">
        <f>IFERROR(ROUNDUP(8*(F109/VLOOKUP(B109,Table2[],5,0)),0),"")</f>
        <v/>
      </c>
      <c r="M109" s="1" t="str">
        <f>IFERROR(ROUNDUP(8*(G109/VLOOKUP(B109,Table2[],5,0)),0),"")</f>
        <v/>
      </c>
      <c r="N109" s="1" t="str">
        <f>IFERROR(ROUNDUP(8*(H109/VLOOKUP(B109,Table2[],5,0)),0),"")</f>
        <v/>
      </c>
    </row>
    <row r="110" spans="2:14" x14ac:dyDescent="0.25">
      <c r="B110" s="71"/>
      <c r="C110" s="74" t="str">
        <f>IFERROR(VLOOKUP(B110,Table2[],2,0),"")</f>
        <v/>
      </c>
      <c r="D110" s="77"/>
      <c r="I110" s="79" t="str">
        <f t="shared" si="1"/>
        <v/>
      </c>
      <c r="J110" s="84" t="str">
        <f>IFERROR(ROUNDUP(8*(I110/VLOOKUP(B110,Table2[],5,0)),0),"")</f>
        <v/>
      </c>
      <c r="K110" s="1" t="str">
        <f>IFERROR(ROUNDUP(8*(E110/VLOOKUP(B110,Table2[],5,0)),0),"")</f>
        <v/>
      </c>
      <c r="L110" s="1" t="str">
        <f>IFERROR(ROUNDUP(8*(F110/VLOOKUP(B110,Table2[],5,0)),0),"")</f>
        <v/>
      </c>
      <c r="M110" s="1" t="str">
        <f>IFERROR(ROUNDUP(8*(G110/VLOOKUP(B110,Table2[],5,0)),0),"")</f>
        <v/>
      </c>
      <c r="N110" s="1" t="str">
        <f>IFERROR(ROUNDUP(8*(H110/VLOOKUP(B110,Table2[],5,0)),0),"")</f>
        <v/>
      </c>
    </row>
    <row r="111" spans="2:14" x14ac:dyDescent="0.25">
      <c r="B111" s="71"/>
      <c r="C111" s="74" t="str">
        <f>IFERROR(VLOOKUP(B111,Table2[],2,0),"")</f>
        <v/>
      </c>
      <c r="D111" s="77"/>
      <c r="I111" s="79" t="str">
        <f t="shared" si="1"/>
        <v/>
      </c>
      <c r="J111" s="84" t="str">
        <f>IFERROR(ROUNDUP(8*(I111/VLOOKUP(B111,Table2[],5,0)),0),"")</f>
        <v/>
      </c>
      <c r="K111" s="1" t="str">
        <f>IFERROR(ROUNDUP(8*(E111/VLOOKUP(B111,Table2[],5,0)),0),"")</f>
        <v/>
      </c>
      <c r="L111" s="1" t="str">
        <f>IFERROR(ROUNDUP(8*(F111/VLOOKUP(B111,Table2[],5,0)),0),"")</f>
        <v/>
      </c>
      <c r="M111" s="1" t="str">
        <f>IFERROR(ROUNDUP(8*(G111/VLOOKUP(B111,Table2[],5,0)),0),"")</f>
        <v/>
      </c>
      <c r="N111" s="1" t="str">
        <f>IFERROR(ROUNDUP(8*(H111/VLOOKUP(B111,Table2[],5,0)),0),"")</f>
        <v/>
      </c>
    </row>
    <row r="112" spans="2:14" x14ac:dyDescent="0.25">
      <c r="B112" s="71"/>
      <c r="C112" s="74" t="str">
        <f>IFERROR(VLOOKUP(B112,Table2[],2,0),"")</f>
        <v/>
      </c>
      <c r="D112" s="77"/>
      <c r="I112" s="79" t="str">
        <f t="shared" si="1"/>
        <v/>
      </c>
      <c r="J112" s="84" t="str">
        <f>IFERROR(ROUNDUP(8*(I112/VLOOKUP(B112,Table2[],5,0)),0),"")</f>
        <v/>
      </c>
      <c r="K112" s="1" t="str">
        <f>IFERROR(ROUNDUP(8*(E112/VLOOKUP(B112,Table2[],5,0)),0),"")</f>
        <v/>
      </c>
      <c r="L112" s="1" t="str">
        <f>IFERROR(ROUNDUP(8*(F112/VLOOKUP(B112,Table2[],5,0)),0),"")</f>
        <v/>
      </c>
      <c r="M112" s="1" t="str">
        <f>IFERROR(ROUNDUP(8*(G112/VLOOKUP(B112,Table2[],5,0)),0),"")</f>
        <v/>
      </c>
      <c r="N112" s="1" t="str">
        <f>IFERROR(ROUNDUP(8*(H112/VLOOKUP(B112,Table2[],5,0)),0),"")</f>
        <v/>
      </c>
    </row>
    <row r="113" spans="2:14" x14ac:dyDescent="0.25">
      <c r="B113" s="71"/>
      <c r="C113" s="74" t="str">
        <f>IFERROR(VLOOKUP(B113,Table2[],2,0),"")</f>
        <v/>
      </c>
      <c r="D113" s="77"/>
      <c r="I113" s="79" t="str">
        <f t="shared" si="1"/>
        <v/>
      </c>
      <c r="J113" s="84" t="str">
        <f>IFERROR(ROUNDUP(8*(I113/VLOOKUP(B113,Table2[],5,0)),0),"")</f>
        <v/>
      </c>
      <c r="K113" s="1" t="str">
        <f>IFERROR(ROUNDUP(8*(E113/VLOOKUP(B113,Table2[],5,0)),0),"")</f>
        <v/>
      </c>
      <c r="L113" s="1" t="str">
        <f>IFERROR(ROUNDUP(8*(F113/VLOOKUP(B113,Table2[],5,0)),0),"")</f>
        <v/>
      </c>
      <c r="M113" s="1" t="str">
        <f>IFERROR(ROUNDUP(8*(G113/VLOOKUP(B113,Table2[],5,0)),0),"")</f>
        <v/>
      </c>
      <c r="N113" s="1" t="str">
        <f>IFERROR(ROUNDUP(8*(H113/VLOOKUP(B113,Table2[],5,0)),0),"")</f>
        <v/>
      </c>
    </row>
    <row r="114" spans="2:14" x14ac:dyDescent="0.25">
      <c r="B114" s="71"/>
      <c r="C114" s="74" t="str">
        <f>IFERROR(VLOOKUP(B114,Table2[],2,0),"")</f>
        <v/>
      </c>
      <c r="D114" s="77"/>
      <c r="I114" s="79" t="str">
        <f t="shared" si="1"/>
        <v/>
      </c>
      <c r="J114" s="84" t="str">
        <f>IFERROR(ROUNDUP(8*(I114/VLOOKUP(B114,Table2[],5,0)),0),"")</f>
        <v/>
      </c>
      <c r="K114" s="1" t="str">
        <f>IFERROR(ROUNDUP(8*(E114/VLOOKUP(B114,Table2[],5,0)),0),"")</f>
        <v/>
      </c>
      <c r="L114" s="1" t="str">
        <f>IFERROR(ROUNDUP(8*(F114/VLOOKUP(B114,Table2[],5,0)),0),"")</f>
        <v/>
      </c>
      <c r="M114" s="1" t="str">
        <f>IFERROR(ROUNDUP(8*(G114/VLOOKUP(B114,Table2[],5,0)),0),"")</f>
        <v/>
      </c>
      <c r="N114" s="1" t="str">
        <f>IFERROR(ROUNDUP(8*(H114/VLOOKUP(B114,Table2[],5,0)),0),"")</f>
        <v/>
      </c>
    </row>
    <row r="115" spans="2:14" x14ac:dyDescent="0.25">
      <c r="B115" s="71"/>
      <c r="C115" s="74" t="str">
        <f>IFERROR(VLOOKUP(B115,Table2[],2,0),"")</f>
        <v/>
      </c>
      <c r="D115" s="77"/>
      <c r="I115" s="79" t="str">
        <f t="shared" si="1"/>
        <v/>
      </c>
      <c r="J115" s="84" t="str">
        <f>IFERROR(ROUNDUP(8*(I115/VLOOKUP(B115,Table2[],5,0)),0),"")</f>
        <v/>
      </c>
      <c r="K115" s="1" t="str">
        <f>IFERROR(ROUNDUP(8*(E115/VLOOKUP(B115,Table2[],5,0)),0),"")</f>
        <v/>
      </c>
      <c r="L115" s="1" t="str">
        <f>IFERROR(ROUNDUP(8*(F115/VLOOKUP(B115,Table2[],5,0)),0),"")</f>
        <v/>
      </c>
      <c r="M115" s="1" t="str">
        <f>IFERROR(ROUNDUP(8*(G115/VLOOKUP(B115,Table2[],5,0)),0),"")</f>
        <v/>
      </c>
      <c r="N115" s="1" t="str">
        <f>IFERROR(ROUNDUP(8*(H115/VLOOKUP(B115,Table2[],5,0)),0),"")</f>
        <v/>
      </c>
    </row>
    <row r="116" spans="2:14" x14ac:dyDescent="0.25">
      <c r="B116" s="71"/>
      <c r="C116" s="74" t="str">
        <f>IFERROR(VLOOKUP(B116,Table2[],2,0),"")</f>
        <v/>
      </c>
      <c r="D116" s="77"/>
      <c r="I116" s="79" t="str">
        <f t="shared" si="1"/>
        <v/>
      </c>
      <c r="J116" s="84" t="str">
        <f>IFERROR(ROUNDUP(8*(I116/VLOOKUP(B116,Table2[],5,0)),0),"")</f>
        <v/>
      </c>
      <c r="K116" s="1" t="str">
        <f>IFERROR(ROUNDUP(8*(E116/VLOOKUP(B116,Table2[],5,0)),0),"")</f>
        <v/>
      </c>
      <c r="L116" s="1" t="str">
        <f>IFERROR(ROUNDUP(8*(F116/VLOOKUP(B116,Table2[],5,0)),0),"")</f>
        <v/>
      </c>
      <c r="M116" s="1" t="str">
        <f>IFERROR(ROUNDUP(8*(G116/VLOOKUP(B116,Table2[],5,0)),0),"")</f>
        <v/>
      </c>
      <c r="N116" s="1" t="str">
        <f>IFERROR(ROUNDUP(8*(H116/VLOOKUP(B116,Table2[],5,0)),0),"")</f>
        <v/>
      </c>
    </row>
    <row r="117" spans="2:14" x14ac:dyDescent="0.25">
      <c r="B117" s="71"/>
      <c r="C117" s="74" t="str">
        <f>IFERROR(VLOOKUP(B117,Table2[],2,0),"")</f>
        <v/>
      </c>
      <c r="D117" s="77"/>
      <c r="I117" s="79" t="str">
        <f t="shared" si="1"/>
        <v/>
      </c>
      <c r="J117" s="84" t="str">
        <f>IFERROR(ROUNDUP(8*(I117/VLOOKUP(B117,Table2[],5,0)),0),"")</f>
        <v/>
      </c>
      <c r="K117" s="1" t="str">
        <f>IFERROR(ROUNDUP(8*(E117/VLOOKUP(B117,Table2[],5,0)),0),"")</f>
        <v/>
      </c>
      <c r="L117" s="1" t="str">
        <f>IFERROR(ROUNDUP(8*(F117/VLOOKUP(B117,Table2[],5,0)),0),"")</f>
        <v/>
      </c>
      <c r="M117" s="1" t="str">
        <f>IFERROR(ROUNDUP(8*(G117/VLOOKUP(B117,Table2[],5,0)),0),"")</f>
        <v/>
      </c>
      <c r="N117" s="1" t="str">
        <f>IFERROR(ROUNDUP(8*(H117/VLOOKUP(B117,Table2[],5,0)),0),"")</f>
        <v/>
      </c>
    </row>
    <row r="118" spans="2:14" x14ac:dyDescent="0.25">
      <c r="B118" s="71"/>
      <c r="C118" s="74" t="str">
        <f>IFERROR(VLOOKUP(B118,Table2[],2,0),"")</f>
        <v/>
      </c>
      <c r="D118" s="77"/>
      <c r="I118" s="79" t="str">
        <f t="shared" si="1"/>
        <v/>
      </c>
      <c r="J118" s="84" t="str">
        <f>IFERROR(ROUNDUP(8*(I118/VLOOKUP(B118,Table2[],5,0)),0),"")</f>
        <v/>
      </c>
      <c r="K118" s="1" t="str">
        <f>IFERROR(ROUNDUP(8*(E118/VLOOKUP(B118,Table2[],5,0)),0),"")</f>
        <v/>
      </c>
      <c r="L118" s="1" t="str">
        <f>IFERROR(ROUNDUP(8*(F118/VLOOKUP(B118,Table2[],5,0)),0),"")</f>
        <v/>
      </c>
      <c r="M118" s="1" t="str">
        <f>IFERROR(ROUNDUP(8*(G118/VLOOKUP(B118,Table2[],5,0)),0),"")</f>
        <v/>
      </c>
      <c r="N118" s="1" t="str">
        <f>IFERROR(ROUNDUP(8*(H118/VLOOKUP(B118,Table2[],5,0)),0),"")</f>
        <v/>
      </c>
    </row>
    <row r="119" spans="2:14" x14ac:dyDescent="0.25">
      <c r="B119" s="71"/>
      <c r="C119" s="74" t="str">
        <f>IFERROR(VLOOKUP(B119,Table2[],2,0),"")</f>
        <v/>
      </c>
      <c r="D119" s="77"/>
      <c r="I119" s="79" t="str">
        <f t="shared" si="1"/>
        <v/>
      </c>
      <c r="J119" s="84" t="str">
        <f>IFERROR(ROUNDUP(8*(I119/VLOOKUP(B119,Table2[],5,0)),0),"")</f>
        <v/>
      </c>
      <c r="K119" s="1" t="str">
        <f>IFERROR(ROUNDUP(8*(E119/VLOOKUP(B119,Table2[],5,0)),0),"")</f>
        <v/>
      </c>
      <c r="L119" s="1" t="str">
        <f>IFERROR(ROUNDUP(8*(F119/VLOOKUP(B119,Table2[],5,0)),0),"")</f>
        <v/>
      </c>
      <c r="M119" s="1" t="str">
        <f>IFERROR(ROUNDUP(8*(G119/VLOOKUP(B119,Table2[],5,0)),0),"")</f>
        <v/>
      </c>
      <c r="N119" s="1" t="str">
        <f>IFERROR(ROUNDUP(8*(H119/VLOOKUP(B119,Table2[],5,0)),0),"")</f>
        <v/>
      </c>
    </row>
    <row r="120" spans="2:14" x14ac:dyDescent="0.25">
      <c r="B120" s="71"/>
      <c r="C120" s="74" t="str">
        <f>IFERROR(VLOOKUP(B120,Table2[],2,0),"")</f>
        <v/>
      </c>
      <c r="D120" s="77"/>
      <c r="I120" s="79" t="str">
        <f t="shared" si="1"/>
        <v/>
      </c>
      <c r="J120" s="84" t="str">
        <f>IFERROR(ROUNDUP(8*(I120/VLOOKUP(B120,Table2[],5,0)),0),"")</f>
        <v/>
      </c>
      <c r="K120" s="1" t="str">
        <f>IFERROR(ROUNDUP(8*(E120/VLOOKUP(B120,Table2[],5,0)),0),"")</f>
        <v/>
      </c>
      <c r="L120" s="1" t="str">
        <f>IFERROR(ROUNDUP(8*(F120/VLOOKUP(B120,Table2[],5,0)),0),"")</f>
        <v/>
      </c>
      <c r="M120" s="1" t="str">
        <f>IFERROR(ROUNDUP(8*(G120/VLOOKUP(B120,Table2[],5,0)),0),"")</f>
        <v/>
      </c>
      <c r="N120" s="1" t="str">
        <f>IFERROR(ROUNDUP(8*(H120/VLOOKUP(B120,Table2[],5,0)),0),"")</f>
        <v/>
      </c>
    </row>
    <row r="121" spans="2:14" x14ac:dyDescent="0.25">
      <c r="B121" s="71"/>
      <c r="C121" s="74" t="str">
        <f>IFERROR(VLOOKUP(B121,Table2[],2,0),"")</f>
        <v/>
      </c>
      <c r="D121" s="77"/>
      <c r="I121" s="79" t="str">
        <f t="shared" si="1"/>
        <v/>
      </c>
      <c r="J121" s="84" t="str">
        <f>IFERROR(ROUNDUP(8*(I121/VLOOKUP(B121,Table2[],5,0)),0),"")</f>
        <v/>
      </c>
      <c r="K121" s="1" t="str">
        <f>IFERROR(ROUNDUP(8*(E121/VLOOKUP(B121,Table2[],5,0)),0),"")</f>
        <v/>
      </c>
      <c r="L121" s="1" t="str">
        <f>IFERROR(ROUNDUP(8*(F121/VLOOKUP(B121,Table2[],5,0)),0),"")</f>
        <v/>
      </c>
      <c r="M121" s="1" t="str">
        <f>IFERROR(ROUNDUP(8*(G121/VLOOKUP(B121,Table2[],5,0)),0),"")</f>
        <v/>
      </c>
      <c r="N121" s="1" t="str">
        <f>IFERROR(ROUNDUP(8*(H121/VLOOKUP(B121,Table2[],5,0)),0),"")</f>
        <v/>
      </c>
    </row>
    <row r="122" spans="2:14" x14ac:dyDescent="0.25">
      <c r="B122" s="71"/>
      <c r="C122" s="74" t="str">
        <f>IFERROR(VLOOKUP(B122,Table2[],2,0),"")</f>
        <v/>
      </c>
      <c r="D122" s="77"/>
      <c r="I122" s="79" t="str">
        <f t="shared" si="1"/>
        <v/>
      </c>
      <c r="J122" s="84" t="str">
        <f>IFERROR(ROUNDUP(8*(I122/VLOOKUP(B122,Table2[],5,0)),0),"")</f>
        <v/>
      </c>
      <c r="K122" s="1" t="str">
        <f>IFERROR(ROUNDUP(8*(E122/VLOOKUP(B122,Table2[],5,0)),0),"")</f>
        <v/>
      </c>
      <c r="L122" s="1" t="str">
        <f>IFERROR(ROUNDUP(8*(F122/VLOOKUP(B122,Table2[],5,0)),0),"")</f>
        <v/>
      </c>
      <c r="M122" s="1" t="str">
        <f>IFERROR(ROUNDUP(8*(G122/VLOOKUP(B122,Table2[],5,0)),0),"")</f>
        <v/>
      </c>
      <c r="N122" s="1" t="str">
        <f>IFERROR(ROUNDUP(8*(H122/VLOOKUP(B122,Table2[],5,0)),0),"")</f>
        <v/>
      </c>
    </row>
    <row r="123" spans="2:14" x14ac:dyDescent="0.25">
      <c r="B123" s="71"/>
      <c r="C123" s="74" t="str">
        <f>IFERROR(VLOOKUP(B123,Table2[],2,0),"")</f>
        <v/>
      </c>
      <c r="D123" s="77"/>
      <c r="I123" s="79" t="str">
        <f t="shared" si="1"/>
        <v/>
      </c>
      <c r="J123" s="84" t="str">
        <f>IFERROR(ROUNDUP(8*(I123/VLOOKUP(B123,Table2[],5,0)),0),"")</f>
        <v/>
      </c>
      <c r="K123" s="1" t="str">
        <f>IFERROR(ROUNDUP(8*(E123/VLOOKUP(B123,Table2[],5,0)),0),"")</f>
        <v/>
      </c>
      <c r="L123" s="1" t="str">
        <f>IFERROR(ROUNDUP(8*(F123/VLOOKUP(B123,Table2[],5,0)),0),"")</f>
        <v/>
      </c>
      <c r="M123" s="1" t="str">
        <f>IFERROR(ROUNDUP(8*(G123/VLOOKUP(B123,Table2[],5,0)),0),"")</f>
        <v/>
      </c>
      <c r="N123" s="1" t="str">
        <f>IFERROR(ROUNDUP(8*(H123/VLOOKUP(B123,Table2[],5,0)),0),"")</f>
        <v/>
      </c>
    </row>
    <row r="124" spans="2:14" x14ac:dyDescent="0.25">
      <c r="B124" s="71"/>
      <c r="C124" s="74" t="str">
        <f>IFERROR(VLOOKUP(B124,Table2[],2,0),"")</f>
        <v/>
      </c>
      <c r="D124" s="77"/>
      <c r="I124" s="79" t="str">
        <f t="shared" si="1"/>
        <v/>
      </c>
      <c r="J124" s="84" t="str">
        <f>IFERROR(ROUNDUP(8*(I124/VLOOKUP(B124,Table2[],5,0)),0),"")</f>
        <v/>
      </c>
      <c r="K124" s="1" t="str">
        <f>IFERROR(ROUNDUP(8*(E124/VLOOKUP(B124,Table2[],5,0)),0),"")</f>
        <v/>
      </c>
      <c r="L124" s="1" t="str">
        <f>IFERROR(ROUNDUP(8*(F124/VLOOKUP(B124,Table2[],5,0)),0),"")</f>
        <v/>
      </c>
      <c r="M124" s="1" t="str">
        <f>IFERROR(ROUNDUP(8*(G124/VLOOKUP(B124,Table2[],5,0)),0),"")</f>
        <v/>
      </c>
      <c r="N124" s="1" t="str">
        <f>IFERROR(ROUNDUP(8*(H124/VLOOKUP(B124,Table2[],5,0)),0),"")</f>
        <v/>
      </c>
    </row>
    <row r="125" spans="2:14" x14ac:dyDescent="0.25">
      <c r="B125" s="71"/>
      <c r="C125" s="74" t="str">
        <f>IFERROR(VLOOKUP(B125,Table2[],2,0),"")</f>
        <v/>
      </c>
      <c r="D125" s="77"/>
      <c r="I125" s="79" t="str">
        <f t="shared" si="1"/>
        <v/>
      </c>
      <c r="J125" s="84" t="str">
        <f>IFERROR(ROUNDUP(8*(I125/VLOOKUP(B125,Table2[],5,0)),0),"")</f>
        <v/>
      </c>
      <c r="K125" s="1" t="str">
        <f>IFERROR(ROUNDUP(8*(E125/VLOOKUP(B125,Table2[],5,0)),0),"")</f>
        <v/>
      </c>
      <c r="L125" s="1" t="str">
        <f>IFERROR(ROUNDUP(8*(F125/VLOOKUP(B125,Table2[],5,0)),0),"")</f>
        <v/>
      </c>
      <c r="M125" s="1" t="str">
        <f>IFERROR(ROUNDUP(8*(G125/VLOOKUP(B125,Table2[],5,0)),0),"")</f>
        <v/>
      </c>
      <c r="N125" s="1" t="str">
        <f>IFERROR(ROUNDUP(8*(H125/VLOOKUP(B125,Table2[],5,0)),0),"")</f>
        <v/>
      </c>
    </row>
    <row r="126" spans="2:14" x14ac:dyDescent="0.25">
      <c r="B126" s="71"/>
      <c r="C126" s="74" t="str">
        <f>IFERROR(VLOOKUP(B126,Table2[],2,0),"")</f>
        <v/>
      </c>
      <c r="D126" s="77"/>
      <c r="I126" s="79" t="str">
        <f t="shared" si="1"/>
        <v/>
      </c>
      <c r="J126" s="84" t="str">
        <f>IFERROR(ROUNDUP(8*(I126/VLOOKUP(B126,Table2[],5,0)),0),"")</f>
        <v/>
      </c>
      <c r="K126" s="1" t="str">
        <f>IFERROR(ROUNDUP(8*(E126/VLOOKUP(B126,Table2[],5,0)),0),"")</f>
        <v/>
      </c>
      <c r="L126" s="1" t="str">
        <f>IFERROR(ROUNDUP(8*(F126/VLOOKUP(B126,Table2[],5,0)),0),"")</f>
        <v/>
      </c>
      <c r="M126" s="1" t="str">
        <f>IFERROR(ROUNDUP(8*(G126/VLOOKUP(B126,Table2[],5,0)),0),"")</f>
        <v/>
      </c>
      <c r="N126" s="1" t="str">
        <f>IFERROR(ROUNDUP(8*(H126/VLOOKUP(B126,Table2[],5,0)),0),"")</f>
        <v/>
      </c>
    </row>
    <row r="127" spans="2:14" x14ac:dyDescent="0.25">
      <c r="B127" s="71"/>
      <c r="C127" s="74" t="str">
        <f>IFERROR(VLOOKUP(B127,Table2[],2,0),"")</f>
        <v/>
      </c>
      <c r="D127" s="77"/>
      <c r="I127" s="79" t="str">
        <f t="shared" si="1"/>
        <v/>
      </c>
      <c r="J127" s="84" t="str">
        <f>IFERROR(ROUNDUP(8*(I127/VLOOKUP(B127,Table2[],5,0)),0),"")</f>
        <v/>
      </c>
      <c r="K127" s="1" t="str">
        <f>IFERROR(ROUNDUP(8*(E127/VLOOKUP(B127,Table2[],5,0)),0),"")</f>
        <v/>
      </c>
      <c r="L127" s="1" t="str">
        <f>IFERROR(ROUNDUP(8*(F127/VLOOKUP(B127,Table2[],5,0)),0),"")</f>
        <v/>
      </c>
      <c r="M127" s="1" t="str">
        <f>IFERROR(ROUNDUP(8*(G127/VLOOKUP(B127,Table2[],5,0)),0),"")</f>
        <v/>
      </c>
      <c r="N127" s="1" t="str">
        <f>IFERROR(ROUNDUP(8*(H127/VLOOKUP(B127,Table2[],5,0)),0),"")</f>
        <v/>
      </c>
    </row>
    <row r="128" spans="2:14" x14ac:dyDescent="0.25">
      <c r="B128" s="71"/>
      <c r="C128" s="74" t="str">
        <f>IFERROR(VLOOKUP(B128,Table2[],2,0),"")</f>
        <v/>
      </c>
      <c r="D128" s="77"/>
      <c r="I128" s="79" t="str">
        <f t="shared" si="1"/>
        <v/>
      </c>
      <c r="J128" s="84" t="str">
        <f>IFERROR(ROUNDUP(8*(I128/VLOOKUP(B128,Table2[],5,0)),0),"")</f>
        <v/>
      </c>
      <c r="K128" s="1" t="str">
        <f>IFERROR(ROUNDUP(8*(E128/VLOOKUP(B128,Table2[],5,0)),0),"")</f>
        <v/>
      </c>
      <c r="L128" s="1" t="str">
        <f>IFERROR(ROUNDUP(8*(F128/VLOOKUP(B128,Table2[],5,0)),0),"")</f>
        <v/>
      </c>
      <c r="M128" s="1" t="str">
        <f>IFERROR(ROUNDUP(8*(G128/VLOOKUP(B128,Table2[],5,0)),0),"")</f>
        <v/>
      </c>
      <c r="N128" s="1" t="str">
        <f>IFERROR(ROUNDUP(8*(H128/VLOOKUP(B128,Table2[],5,0)),0),"")</f>
        <v/>
      </c>
    </row>
    <row r="129" spans="2:14" x14ac:dyDescent="0.25">
      <c r="B129" s="71"/>
      <c r="C129" s="74" t="str">
        <f>IFERROR(VLOOKUP(B129,Table2[],2,0),"")</f>
        <v/>
      </c>
      <c r="D129" s="77"/>
      <c r="I129" s="79" t="str">
        <f t="shared" si="1"/>
        <v/>
      </c>
      <c r="J129" s="84" t="str">
        <f>IFERROR(ROUNDUP(8*(I129/VLOOKUP(B129,Table2[],5,0)),0),"")</f>
        <v/>
      </c>
      <c r="K129" s="1" t="str">
        <f>IFERROR(ROUNDUP(8*(E129/VLOOKUP(B129,Table2[],5,0)),0),"")</f>
        <v/>
      </c>
      <c r="L129" s="1" t="str">
        <f>IFERROR(ROUNDUP(8*(F129/VLOOKUP(B129,Table2[],5,0)),0),"")</f>
        <v/>
      </c>
      <c r="M129" s="1" t="str">
        <f>IFERROR(ROUNDUP(8*(G129/VLOOKUP(B129,Table2[],5,0)),0),"")</f>
        <v/>
      </c>
      <c r="N129" s="1" t="str">
        <f>IFERROR(ROUNDUP(8*(H129/VLOOKUP(B129,Table2[],5,0)),0),"")</f>
        <v/>
      </c>
    </row>
    <row r="130" spans="2:14" x14ac:dyDescent="0.25">
      <c r="B130" s="71"/>
      <c r="C130" s="74" t="str">
        <f>IFERROR(VLOOKUP(B130,Table2[],2,0),"")</f>
        <v/>
      </c>
      <c r="D130" s="77"/>
      <c r="I130" s="79" t="str">
        <f t="shared" si="1"/>
        <v/>
      </c>
      <c r="J130" s="84" t="str">
        <f>IFERROR(ROUNDUP(8*(I130/VLOOKUP(B130,Table2[],5,0)),0),"")</f>
        <v/>
      </c>
      <c r="K130" s="1" t="str">
        <f>IFERROR(ROUNDUP(8*(E130/VLOOKUP(B130,Table2[],5,0)),0),"")</f>
        <v/>
      </c>
      <c r="L130" s="1" t="str">
        <f>IFERROR(ROUNDUP(8*(F130/VLOOKUP(B130,Table2[],5,0)),0),"")</f>
        <v/>
      </c>
      <c r="M130" s="1" t="str">
        <f>IFERROR(ROUNDUP(8*(G130/VLOOKUP(B130,Table2[],5,0)),0),"")</f>
        <v/>
      </c>
      <c r="N130" s="1" t="str">
        <f>IFERROR(ROUNDUP(8*(H130/VLOOKUP(B130,Table2[],5,0)),0),"")</f>
        <v/>
      </c>
    </row>
    <row r="131" spans="2:14" x14ac:dyDescent="0.25">
      <c r="B131" s="71"/>
      <c r="C131" s="74" t="str">
        <f>IFERROR(VLOOKUP(B131,Table2[],2,0),"")</f>
        <v/>
      </c>
      <c r="D131" s="77"/>
      <c r="I131" s="79" t="str">
        <f t="shared" si="1"/>
        <v/>
      </c>
      <c r="J131" s="84" t="str">
        <f>IFERROR(ROUNDUP(8*(I131/VLOOKUP(B131,Table2[],5,0)),0),"")</f>
        <v/>
      </c>
      <c r="K131" s="1" t="str">
        <f>IFERROR(ROUNDUP(8*(E131/VLOOKUP(B131,Table2[],5,0)),0),"")</f>
        <v/>
      </c>
      <c r="L131" s="1" t="str">
        <f>IFERROR(ROUNDUP(8*(F131/VLOOKUP(B131,Table2[],5,0)),0),"")</f>
        <v/>
      </c>
      <c r="M131" s="1" t="str">
        <f>IFERROR(ROUNDUP(8*(G131/VLOOKUP(B131,Table2[],5,0)),0),"")</f>
        <v/>
      </c>
      <c r="N131" s="1" t="str">
        <f>IFERROR(ROUNDUP(8*(H131/VLOOKUP(B131,Table2[],5,0)),0),"")</f>
        <v/>
      </c>
    </row>
    <row r="132" spans="2:14" x14ac:dyDescent="0.25">
      <c r="B132" s="71"/>
      <c r="C132" s="74" t="str">
        <f>IFERROR(VLOOKUP(B132,Table2[],2,0),"")</f>
        <v/>
      </c>
      <c r="D132" s="77"/>
      <c r="I132" s="79" t="str">
        <f t="shared" si="1"/>
        <v/>
      </c>
      <c r="J132" s="84" t="str">
        <f>IFERROR(ROUNDUP(8*(I132/VLOOKUP(B132,Table2[],5,0)),0),"")</f>
        <v/>
      </c>
      <c r="K132" s="1" t="str">
        <f>IFERROR(ROUNDUP(8*(E132/VLOOKUP(B132,Table2[],5,0)),0),"")</f>
        <v/>
      </c>
      <c r="L132" s="1" t="str">
        <f>IFERROR(ROUNDUP(8*(F132/VLOOKUP(B132,Table2[],5,0)),0),"")</f>
        <v/>
      </c>
      <c r="M132" s="1" t="str">
        <f>IFERROR(ROUNDUP(8*(G132/VLOOKUP(B132,Table2[],5,0)),0),"")</f>
        <v/>
      </c>
      <c r="N132" s="1" t="str">
        <f>IFERROR(ROUNDUP(8*(H132/VLOOKUP(B132,Table2[],5,0)),0),"")</f>
        <v/>
      </c>
    </row>
    <row r="133" spans="2:14" x14ac:dyDescent="0.25">
      <c r="B133" s="71"/>
      <c r="C133" s="74" t="str">
        <f>IFERROR(VLOOKUP(B133,Table2[],2,0),"")</f>
        <v/>
      </c>
      <c r="D133" s="77"/>
      <c r="I133" s="79" t="str">
        <f t="shared" si="1"/>
        <v/>
      </c>
      <c r="J133" s="84" t="str">
        <f>IFERROR(ROUNDUP(8*(I133/VLOOKUP(B133,Table2[],5,0)),0),"")</f>
        <v/>
      </c>
      <c r="K133" s="1" t="str">
        <f>IFERROR(ROUNDUP(8*(E133/VLOOKUP(B133,Table2[],5,0)),0),"")</f>
        <v/>
      </c>
      <c r="L133" s="1" t="str">
        <f>IFERROR(ROUNDUP(8*(F133/VLOOKUP(B133,Table2[],5,0)),0),"")</f>
        <v/>
      </c>
      <c r="M133" s="1" t="str">
        <f>IFERROR(ROUNDUP(8*(G133/VLOOKUP(B133,Table2[],5,0)),0),"")</f>
        <v/>
      </c>
      <c r="N133" s="1" t="str">
        <f>IFERROR(ROUNDUP(8*(H133/VLOOKUP(B133,Table2[],5,0)),0),"")</f>
        <v/>
      </c>
    </row>
    <row r="134" spans="2:14" x14ac:dyDescent="0.25">
      <c r="B134" s="71"/>
      <c r="C134" s="74" t="str">
        <f>IFERROR(VLOOKUP(B134,Table2[],2,0),"")</f>
        <v/>
      </c>
      <c r="D134" s="77"/>
      <c r="I134" s="79" t="str">
        <f t="shared" si="1"/>
        <v/>
      </c>
      <c r="J134" s="84" t="str">
        <f>IFERROR(ROUNDUP(8*(I134/VLOOKUP(B134,Table2[],5,0)),0),"")</f>
        <v/>
      </c>
      <c r="K134" s="1" t="str">
        <f>IFERROR(ROUNDUP(8*(E134/VLOOKUP(B134,Table2[],5,0)),0),"")</f>
        <v/>
      </c>
      <c r="L134" s="1" t="str">
        <f>IFERROR(ROUNDUP(8*(F134/VLOOKUP(B134,Table2[],5,0)),0),"")</f>
        <v/>
      </c>
      <c r="M134" s="1" t="str">
        <f>IFERROR(ROUNDUP(8*(G134/VLOOKUP(B134,Table2[],5,0)),0),"")</f>
        <v/>
      </c>
      <c r="N134" s="1" t="str">
        <f>IFERROR(ROUNDUP(8*(H134/VLOOKUP(B134,Table2[],5,0)),0),"")</f>
        <v/>
      </c>
    </row>
    <row r="135" spans="2:14" x14ac:dyDescent="0.25">
      <c r="B135" s="71"/>
      <c r="C135" s="74" t="str">
        <f>IFERROR(VLOOKUP(B135,Table2[],2,0),"")</f>
        <v/>
      </c>
      <c r="D135" s="77"/>
      <c r="I135" s="79" t="str">
        <f t="shared" ref="I135:I198" si="2">IF(B135="","",SUM(E135:H135))</f>
        <v/>
      </c>
      <c r="J135" s="84" t="str">
        <f>IFERROR(ROUNDUP(8*(I135/VLOOKUP(B135,Table2[],5,0)),0),"")</f>
        <v/>
      </c>
      <c r="K135" s="1" t="str">
        <f>IFERROR(ROUNDUP(8*(E135/VLOOKUP(B135,Table2[],5,0)),0),"")</f>
        <v/>
      </c>
      <c r="L135" s="1" t="str">
        <f>IFERROR(ROUNDUP(8*(F135/VLOOKUP(B135,Table2[],5,0)),0),"")</f>
        <v/>
      </c>
      <c r="M135" s="1" t="str">
        <f>IFERROR(ROUNDUP(8*(G135/VLOOKUP(B135,Table2[],5,0)),0),"")</f>
        <v/>
      </c>
      <c r="N135" s="1" t="str">
        <f>IFERROR(ROUNDUP(8*(H135/VLOOKUP(B135,Table2[],5,0)),0),"")</f>
        <v/>
      </c>
    </row>
    <row r="136" spans="2:14" x14ac:dyDescent="0.25">
      <c r="B136" s="71"/>
      <c r="C136" s="74" t="str">
        <f>IFERROR(VLOOKUP(B136,Table2[],2,0),"")</f>
        <v/>
      </c>
      <c r="D136" s="77"/>
      <c r="I136" s="79" t="str">
        <f t="shared" si="2"/>
        <v/>
      </c>
      <c r="J136" s="84" t="str">
        <f>IFERROR(ROUNDUP(8*(I136/VLOOKUP(B136,Table2[],5,0)),0),"")</f>
        <v/>
      </c>
      <c r="K136" s="1" t="str">
        <f>IFERROR(ROUNDUP(8*(E136/VLOOKUP(B136,Table2[],5,0)),0),"")</f>
        <v/>
      </c>
      <c r="L136" s="1" t="str">
        <f>IFERROR(ROUNDUP(8*(F136/VLOOKUP(B136,Table2[],5,0)),0),"")</f>
        <v/>
      </c>
      <c r="M136" s="1" t="str">
        <f>IFERROR(ROUNDUP(8*(G136/VLOOKUP(B136,Table2[],5,0)),0),"")</f>
        <v/>
      </c>
      <c r="N136" s="1" t="str">
        <f>IFERROR(ROUNDUP(8*(H136/VLOOKUP(B136,Table2[],5,0)),0),"")</f>
        <v/>
      </c>
    </row>
    <row r="137" spans="2:14" x14ac:dyDescent="0.25">
      <c r="B137" s="71"/>
      <c r="C137" s="74" t="str">
        <f>IFERROR(VLOOKUP(B137,Table2[],2,0),"")</f>
        <v/>
      </c>
      <c r="D137" s="77"/>
      <c r="I137" s="79" t="str">
        <f t="shared" si="2"/>
        <v/>
      </c>
      <c r="J137" s="84" t="str">
        <f>IFERROR(ROUNDUP(8*(I137/VLOOKUP(B137,Table2[],5,0)),0),"")</f>
        <v/>
      </c>
      <c r="K137" s="1" t="str">
        <f>IFERROR(ROUNDUP(8*(E137/VLOOKUP(B137,Table2[],5,0)),0),"")</f>
        <v/>
      </c>
      <c r="L137" s="1" t="str">
        <f>IFERROR(ROUNDUP(8*(F137/VLOOKUP(B137,Table2[],5,0)),0),"")</f>
        <v/>
      </c>
      <c r="M137" s="1" t="str">
        <f>IFERROR(ROUNDUP(8*(G137/VLOOKUP(B137,Table2[],5,0)),0),"")</f>
        <v/>
      </c>
      <c r="N137" s="1" t="str">
        <f>IFERROR(ROUNDUP(8*(H137/VLOOKUP(B137,Table2[],5,0)),0),"")</f>
        <v/>
      </c>
    </row>
    <row r="138" spans="2:14" x14ac:dyDescent="0.25">
      <c r="B138" s="71"/>
      <c r="C138" s="74" t="str">
        <f>IFERROR(VLOOKUP(B138,Table2[],2,0),"")</f>
        <v/>
      </c>
      <c r="D138" s="77"/>
      <c r="I138" s="79" t="str">
        <f t="shared" si="2"/>
        <v/>
      </c>
      <c r="J138" s="84" t="str">
        <f>IFERROR(ROUNDUP(8*(I138/VLOOKUP(B138,Table2[],5,0)),0),"")</f>
        <v/>
      </c>
      <c r="K138" s="1" t="str">
        <f>IFERROR(ROUNDUP(8*(E138/VLOOKUP(B138,Table2[],5,0)),0),"")</f>
        <v/>
      </c>
      <c r="L138" s="1" t="str">
        <f>IFERROR(ROUNDUP(8*(F138/VLOOKUP(B138,Table2[],5,0)),0),"")</f>
        <v/>
      </c>
      <c r="M138" s="1" t="str">
        <f>IFERROR(ROUNDUP(8*(G138/VLOOKUP(B138,Table2[],5,0)),0),"")</f>
        <v/>
      </c>
      <c r="N138" s="1" t="str">
        <f>IFERROR(ROUNDUP(8*(H138/VLOOKUP(B138,Table2[],5,0)),0),"")</f>
        <v/>
      </c>
    </row>
    <row r="139" spans="2:14" x14ac:dyDescent="0.25">
      <c r="B139" s="71"/>
      <c r="C139" s="74" t="str">
        <f>IFERROR(VLOOKUP(B139,Table2[],2,0),"")</f>
        <v/>
      </c>
      <c r="D139" s="77"/>
      <c r="I139" s="79" t="str">
        <f t="shared" si="2"/>
        <v/>
      </c>
      <c r="J139" s="84" t="str">
        <f>IFERROR(ROUNDUP(8*(I139/VLOOKUP(B139,Table2[],5,0)),0),"")</f>
        <v/>
      </c>
      <c r="K139" s="1" t="str">
        <f>IFERROR(ROUNDUP(8*(E139/VLOOKUP(B139,Table2[],5,0)),0),"")</f>
        <v/>
      </c>
      <c r="L139" s="1" t="str">
        <f>IFERROR(ROUNDUP(8*(F139/VLOOKUP(B139,Table2[],5,0)),0),"")</f>
        <v/>
      </c>
      <c r="M139" s="1" t="str">
        <f>IFERROR(ROUNDUP(8*(G139/VLOOKUP(B139,Table2[],5,0)),0),"")</f>
        <v/>
      </c>
      <c r="N139" s="1" t="str">
        <f>IFERROR(ROUNDUP(8*(H139/VLOOKUP(B139,Table2[],5,0)),0),"")</f>
        <v/>
      </c>
    </row>
    <row r="140" spans="2:14" x14ac:dyDescent="0.25">
      <c r="B140" s="71"/>
      <c r="C140" s="74" t="str">
        <f>IFERROR(VLOOKUP(B140,Table2[],2,0),"")</f>
        <v/>
      </c>
      <c r="D140" s="77"/>
      <c r="I140" s="79" t="str">
        <f t="shared" si="2"/>
        <v/>
      </c>
      <c r="J140" s="84" t="str">
        <f>IFERROR(ROUNDUP(8*(I140/VLOOKUP(B140,Table2[],5,0)),0),"")</f>
        <v/>
      </c>
      <c r="K140" s="1" t="str">
        <f>IFERROR(ROUNDUP(8*(E140/VLOOKUP(B140,Table2[],5,0)),0),"")</f>
        <v/>
      </c>
      <c r="L140" s="1" t="str">
        <f>IFERROR(ROUNDUP(8*(F140/VLOOKUP(B140,Table2[],5,0)),0),"")</f>
        <v/>
      </c>
      <c r="M140" s="1" t="str">
        <f>IFERROR(ROUNDUP(8*(G140/VLOOKUP(B140,Table2[],5,0)),0),"")</f>
        <v/>
      </c>
      <c r="N140" s="1" t="str">
        <f>IFERROR(ROUNDUP(8*(H140/VLOOKUP(B140,Table2[],5,0)),0),"")</f>
        <v/>
      </c>
    </row>
    <row r="141" spans="2:14" x14ac:dyDescent="0.25">
      <c r="B141" s="71"/>
      <c r="C141" s="74" t="str">
        <f>IFERROR(VLOOKUP(B141,Table2[],2,0),"")</f>
        <v/>
      </c>
      <c r="D141" s="77"/>
      <c r="I141" s="79" t="str">
        <f t="shared" si="2"/>
        <v/>
      </c>
      <c r="J141" s="84" t="str">
        <f>IFERROR(ROUNDUP(8*(I141/VLOOKUP(B141,Table2[],5,0)),0),"")</f>
        <v/>
      </c>
      <c r="K141" s="1" t="str">
        <f>IFERROR(ROUNDUP(8*(E141/VLOOKUP(B141,Table2[],5,0)),0),"")</f>
        <v/>
      </c>
      <c r="L141" s="1" t="str">
        <f>IFERROR(ROUNDUP(8*(F141/VLOOKUP(B141,Table2[],5,0)),0),"")</f>
        <v/>
      </c>
      <c r="M141" s="1" t="str">
        <f>IFERROR(ROUNDUP(8*(G141/VLOOKUP(B141,Table2[],5,0)),0),"")</f>
        <v/>
      </c>
      <c r="N141" s="1" t="str">
        <f>IFERROR(ROUNDUP(8*(H141/VLOOKUP(B141,Table2[],5,0)),0),"")</f>
        <v/>
      </c>
    </row>
    <row r="142" spans="2:14" x14ac:dyDescent="0.25">
      <c r="B142" s="71"/>
      <c r="C142" s="74" t="str">
        <f>IFERROR(VLOOKUP(B142,Table2[],2,0),"")</f>
        <v/>
      </c>
      <c r="D142" s="77"/>
      <c r="I142" s="79" t="str">
        <f t="shared" si="2"/>
        <v/>
      </c>
      <c r="J142" s="84" t="str">
        <f>IFERROR(ROUNDUP(8*(I142/VLOOKUP(B142,Table2[],5,0)),0),"")</f>
        <v/>
      </c>
      <c r="K142" s="1" t="str">
        <f>IFERROR(ROUNDUP(8*(E142/VLOOKUP(B142,Table2[],5,0)),0),"")</f>
        <v/>
      </c>
      <c r="L142" s="1" t="str">
        <f>IFERROR(ROUNDUP(8*(F142/VLOOKUP(B142,Table2[],5,0)),0),"")</f>
        <v/>
      </c>
      <c r="M142" s="1" t="str">
        <f>IFERROR(ROUNDUP(8*(G142/VLOOKUP(B142,Table2[],5,0)),0),"")</f>
        <v/>
      </c>
      <c r="N142" s="1" t="str">
        <f>IFERROR(ROUNDUP(8*(H142/VLOOKUP(B142,Table2[],5,0)),0),"")</f>
        <v/>
      </c>
    </row>
    <row r="143" spans="2:14" x14ac:dyDescent="0.25">
      <c r="B143" s="71"/>
      <c r="C143" s="74" t="str">
        <f>IFERROR(VLOOKUP(B143,Table2[],2,0),"")</f>
        <v/>
      </c>
      <c r="D143" s="77"/>
      <c r="I143" s="79" t="str">
        <f t="shared" si="2"/>
        <v/>
      </c>
      <c r="J143" s="84" t="str">
        <f>IFERROR(ROUNDUP(8*(I143/VLOOKUP(B143,Table2[],5,0)),0),"")</f>
        <v/>
      </c>
      <c r="K143" s="1" t="str">
        <f>IFERROR(ROUNDUP(8*(E143/VLOOKUP(B143,Table2[],5,0)),0),"")</f>
        <v/>
      </c>
      <c r="L143" s="1" t="str">
        <f>IFERROR(ROUNDUP(8*(F143/VLOOKUP(B143,Table2[],5,0)),0),"")</f>
        <v/>
      </c>
      <c r="M143" s="1" t="str">
        <f>IFERROR(ROUNDUP(8*(G143/VLOOKUP(B143,Table2[],5,0)),0),"")</f>
        <v/>
      </c>
      <c r="N143" s="1" t="str">
        <f>IFERROR(ROUNDUP(8*(H143/VLOOKUP(B143,Table2[],5,0)),0),"")</f>
        <v/>
      </c>
    </row>
    <row r="144" spans="2:14" x14ac:dyDescent="0.25">
      <c r="B144" s="71"/>
      <c r="C144" s="74" t="str">
        <f>IFERROR(VLOOKUP(B144,Table2[],2,0),"")</f>
        <v/>
      </c>
      <c r="D144" s="77"/>
      <c r="I144" s="79" t="str">
        <f t="shared" si="2"/>
        <v/>
      </c>
      <c r="J144" s="84" t="str">
        <f>IFERROR(ROUNDUP(8*(I144/VLOOKUP(B144,Table2[],5,0)),0),"")</f>
        <v/>
      </c>
      <c r="K144" s="1" t="str">
        <f>IFERROR(ROUNDUP(8*(E144/VLOOKUP(B144,Table2[],5,0)),0),"")</f>
        <v/>
      </c>
      <c r="L144" s="1" t="str">
        <f>IFERROR(ROUNDUP(8*(F144/VLOOKUP(B144,Table2[],5,0)),0),"")</f>
        <v/>
      </c>
      <c r="M144" s="1" t="str">
        <f>IFERROR(ROUNDUP(8*(G144/VLOOKUP(B144,Table2[],5,0)),0),"")</f>
        <v/>
      </c>
      <c r="N144" s="1" t="str">
        <f>IFERROR(ROUNDUP(8*(H144/VLOOKUP(B144,Table2[],5,0)),0),"")</f>
        <v/>
      </c>
    </row>
    <row r="145" spans="2:14" x14ac:dyDescent="0.25">
      <c r="B145" s="71"/>
      <c r="C145" s="74" t="str">
        <f>IFERROR(VLOOKUP(B145,Table2[],2,0),"")</f>
        <v/>
      </c>
      <c r="D145" s="77"/>
      <c r="I145" s="79" t="str">
        <f t="shared" si="2"/>
        <v/>
      </c>
      <c r="J145" s="84" t="str">
        <f>IFERROR(ROUNDUP(8*(I145/VLOOKUP(B145,Table2[],5,0)),0),"")</f>
        <v/>
      </c>
      <c r="K145" s="1" t="str">
        <f>IFERROR(ROUNDUP(8*(E145/VLOOKUP(B145,Table2[],5,0)),0),"")</f>
        <v/>
      </c>
      <c r="L145" s="1" t="str">
        <f>IFERROR(ROUNDUP(8*(F145/VLOOKUP(B145,Table2[],5,0)),0),"")</f>
        <v/>
      </c>
      <c r="M145" s="1" t="str">
        <f>IFERROR(ROUNDUP(8*(G145/VLOOKUP(B145,Table2[],5,0)),0),"")</f>
        <v/>
      </c>
      <c r="N145" s="1" t="str">
        <f>IFERROR(ROUNDUP(8*(H145/VLOOKUP(B145,Table2[],5,0)),0),"")</f>
        <v/>
      </c>
    </row>
    <row r="146" spans="2:14" x14ac:dyDescent="0.25">
      <c r="B146" s="71"/>
      <c r="C146" s="74" t="str">
        <f>IFERROR(VLOOKUP(B146,Table2[],2,0),"")</f>
        <v/>
      </c>
      <c r="D146" s="77"/>
      <c r="I146" s="79" t="str">
        <f t="shared" si="2"/>
        <v/>
      </c>
      <c r="J146" s="84" t="str">
        <f>IFERROR(ROUNDUP(8*(I146/VLOOKUP(B146,Table2[],5,0)),0),"")</f>
        <v/>
      </c>
      <c r="K146" s="1" t="str">
        <f>IFERROR(ROUNDUP(8*(E146/VLOOKUP(B146,Table2[],5,0)),0),"")</f>
        <v/>
      </c>
      <c r="L146" s="1" t="str">
        <f>IFERROR(ROUNDUP(8*(F146/VLOOKUP(B146,Table2[],5,0)),0),"")</f>
        <v/>
      </c>
      <c r="M146" s="1" t="str">
        <f>IFERROR(ROUNDUP(8*(G146/VLOOKUP(B146,Table2[],5,0)),0),"")</f>
        <v/>
      </c>
      <c r="N146" s="1" t="str">
        <f>IFERROR(ROUNDUP(8*(H146/VLOOKUP(B146,Table2[],5,0)),0),"")</f>
        <v/>
      </c>
    </row>
    <row r="147" spans="2:14" x14ac:dyDescent="0.25">
      <c r="B147" s="71"/>
      <c r="C147" s="74" t="str">
        <f>IFERROR(VLOOKUP(B147,Table2[],2,0),"")</f>
        <v/>
      </c>
      <c r="D147" s="77"/>
      <c r="I147" s="79" t="str">
        <f t="shared" si="2"/>
        <v/>
      </c>
      <c r="J147" s="84" t="str">
        <f>IFERROR(ROUNDUP(8*(I147/VLOOKUP(B147,Table2[],5,0)),0),"")</f>
        <v/>
      </c>
      <c r="K147" s="1" t="str">
        <f>IFERROR(ROUNDUP(8*(E147/VLOOKUP(B147,Table2[],5,0)),0),"")</f>
        <v/>
      </c>
      <c r="L147" s="1" t="str">
        <f>IFERROR(ROUNDUP(8*(F147/VLOOKUP(B147,Table2[],5,0)),0),"")</f>
        <v/>
      </c>
      <c r="M147" s="1" t="str">
        <f>IFERROR(ROUNDUP(8*(G147/VLOOKUP(B147,Table2[],5,0)),0),"")</f>
        <v/>
      </c>
      <c r="N147" s="1" t="str">
        <f>IFERROR(ROUNDUP(8*(H147/VLOOKUP(B147,Table2[],5,0)),0),"")</f>
        <v/>
      </c>
    </row>
    <row r="148" spans="2:14" x14ac:dyDescent="0.25">
      <c r="B148" s="71"/>
      <c r="C148" s="74" t="str">
        <f>IFERROR(VLOOKUP(B148,Table2[],2,0),"")</f>
        <v/>
      </c>
      <c r="D148" s="77"/>
      <c r="I148" s="79" t="str">
        <f t="shared" si="2"/>
        <v/>
      </c>
      <c r="J148" s="84" t="str">
        <f>IFERROR(ROUNDUP(8*(I148/VLOOKUP(B148,Table2[],5,0)),0),"")</f>
        <v/>
      </c>
      <c r="K148" s="1" t="str">
        <f>IFERROR(ROUNDUP(8*(E148/VLOOKUP(B148,Table2[],5,0)),0),"")</f>
        <v/>
      </c>
      <c r="L148" s="1" t="str">
        <f>IFERROR(ROUNDUP(8*(F148/VLOOKUP(B148,Table2[],5,0)),0),"")</f>
        <v/>
      </c>
      <c r="M148" s="1" t="str">
        <f>IFERROR(ROUNDUP(8*(G148/VLOOKUP(B148,Table2[],5,0)),0),"")</f>
        <v/>
      </c>
      <c r="N148" s="1" t="str">
        <f>IFERROR(ROUNDUP(8*(H148/VLOOKUP(B148,Table2[],5,0)),0),"")</f>
        <v/>
      </c>
    </row>
    <row r="149" spans="2:14" x14ac:dyDescent="0.25">
      <c r="B149" s="71"/>
      <c r="C149" s="74" t="str">
        <f>IFERROR(VLOOKUP(B149,Table2[],2,0),"")</f>
        <v/>
      </c>
      <c r="D149" s="77"/>
      <c r="I149" s="79" t="str">
        <f t="shared" si="2"/>
        <v/>
      </c>
      <c r="J149" s="84" t="str">
        <f>IFERROR(ROUNDUP(8*(I149/VLOOKUP(B149,Table2[],5,0)),0),"")</f>
        <v/>
      </c>
      <c r="K149" s="1" t="str">
        <f>IFERROR(ROUNDUP(8*(E149/VLOOKUP(B149,Table2[],5,0)),0),"")</f>
        <v/>
      </c>
      <c r="L149" s="1" t="str">
        <f>IFERROR(ROUNDUP(8*(F149/VLOOKUP(B149,Table2[],5,0)),0),"")</f>
        <v/>
      </c>
      <c r="M149" s="1" t="str">
        <f>IFERROR(ROUNDUP(8*(G149/VLOOKUP(B149,Table2[],5,0)),0),"")</f>
        <v/>
      </c>
      <c r="N149" s="1" t="str">
        <f>IFERROR(ROUNDUP(8*(H149/VLOOKUP(B149,Table2[],5,0)),0),"")</f>
        <v/>
      </c>
    </row>
    <row r="150" spans="2:14" x14ac:dyDescent="0.25">
      <c r="B150" s="71"/>
      <c r="C150" s="74" t="str">
        <f>IFERROR(VLOOKUP(B150,Table2[],2,0),"")</f>
        <v/>
      </c>
      <c r="D150" s="77"/>
      <c r="I150" s="79" t="str">
        <f t="shared" si="2"/>
        <v/>
      </c>
      <c r="J150" s="84" t="str">
        <f>IFERROR(ROUNDUP(8*(I150/VLOOKUP(B150,Table2[],5,0)),0),"")</f>
        <v/>
      </c>
      <c r="K150" s="1" t="str">
        <f>IFERROR(ROUNDUP(8*(E150/VLOOKUP(B150,Table2[],5,0)),0),"")</f>
        <v/>
      </c>
      <c r="L150" s="1" t="str">
        <f>IFERROR(ROUNDUP(8*(F150/VLOOKUP(B150,Table2[],5,0)),0),"")</f>
        <v/>
      </c>
      <c r="M150" s="1" t="str">
        <f>IFERROR(ROUNDUP(8*(G150/VLOOKUP(B150,Table2[],5,0)),0),"")</f>
        <v/>
      </c>
      <c r="N150" s="1" t="str">
        <f>IFERROR(ROUNDUP(8*(H150/VLOOKUP(B150,Table2[],5,0)),0),"")</f>
        <v/>
      </c>
    </row>
    <row r="151" spans="2:14" x14ac:dyDescent="0.25">
      <c r="B151" s="71"/>
      <c r="C151" s="74" t="str">
        <f>IFERROR(VLOOKUP(B151,Table2[],2,0),"")</f>
        <v/>
      </c>
      <c r="D151" s="77"/>
      <c r="I151" s="79" t="str">
        <f t="shared" si="2"/>
        <v/>
      </c>
      <c r="J151" s="84" t="str">
        <f>IFERROR(ROUNDUP(8*(I151/VLOOKUP(B151,Table2[],5,0)),0),"")</f>
        <v/>
      </c>
      <c r="K151" s="1" t="str">
        <f>IFERROR(ROUNDUP(8*(E151/VLOOKUP(B151,Table2[],5,0)),0),"")</f>
        <v/>
      </c>
      <c r="L151" s="1" t="str">
        <f>IFERROR(ROUNDUP(8*(F151/VLOOKUP(B151,Table2[],5,0)),0),"")</f>
        <v/>
      </c>
      <c r="M151" s="1" t="str">
        <f>IFERROR(ROUNDUP(8*(G151/VLOOKUP(B151,Table2[],5,0)),0),"")</f>
        <v/>
      </c>
      <c r="N151" s="1" t="str">
        <f>IFERROR(ROUNDUP(8*(H151/VLOOKUP(B151,Table2[],5,0)),0),"")</f>
        <v/>
      </c>
    </row>
    <row r="152" spans="2:14" x14ac:dyDescent="0.25">
      <c r="B152" s="71"/>
      <c r="C152" s="74" t="str">
        <f>IFERROR(VLOOKUP(B152,Table2[],2,0),"")</f>
        <v/>
      </c>
      <c r="D152" s="77"/>
      <c r="I152" s="79" t="str">
        <f t="shared" si="2"/>
        <v/>
      </c>
      <c r="J152" s="84" t="str">
        <f>IFERROR(ROUNDUP(8*(I152/VLOOKUP(B152,Table2[],5,0)),0),"")</f>
        <v/>
      </c>
      <c r="K152" s="1" t="str">
        <f>IFERROR(ROUNDUP(8*(E152/VLOOKUP(B152,Table2[],5,0)),0),"")</f>
        <v/>
      </c>
      <c r="L152" s="1" t="str">
        <f>IFERROR(ROUNDUP(8*(F152/VLOOKUP(B152,Table2[],5,0)),0),"")</f>
        <v/>
      </c>
      <c r="M152" s="1" t="str">
        <f>IFERROR(ROUNDUP(8*(G152/VLOOKUP(B152,Table2[],5,0)),0),"")</f>
        <v/>
      </c>
      <c r="N152" s="1" t="str">
        <f>IFERROR(ROUNDUP(8*(H152/VLOOKUP(B152,Table2[],5,0)),0),"")</f>
        <v/>
      </c>
    </row>
    <row r="153" spans="2:14" x14ac:dyDescent="0.25">
      <c r="B153" s="71"/>
      <c r="C153" s="74" t="str">
        <f>IFERROR(VLOOKUP(B153,Table2[],2,0),"")</f>
        <v/>
      </c>
      <c r="D153" s="77"/>
      <c r="I153" s="79" t="str">
        <f t="shared" si="2"/>
        <v/>
      </c>
      <c r="J153" s="84" t="str">
        <f>IFERROR(ROUNDUP(8*(I153/VLOOKUP(B153,Table2[],5,0)),0),"")</f>
        <v/>
      </c>
      <c r="K153" s="1" t="str">
        <f>IFERROR(ROUNDUP(8*(E153/VLOOKUP(B153,Table2[],5,0)),0),"")</f>
        <v/>
      </c>
      <c r="L153" s="1" t="str">
        <f>IFERROR(ROUNDUP(8*(F153/VLOOKUP(B153,Table2[],5,0)),0),"")</f>
        <v/>
      </c>
      <c r="M153" s="1" t="str">
        <f>IFERROR(ROUNDUP(8*(G153/VLOOKUP(B153,Table2[],5,0)),0),"")</f>
        <v/>
      </c>
      <c r="N153" s="1" t="str">
        <f>IFERROR(ROUNDUP(8*(H153/VLOOKUP(B153,Table2[],5,0)),0),"")</f>
        <v/>
      </c>
    </row>
    <row r="154" spans="2:14" x14ac:dyDescent="0.25">
      <c r="B154" s="72"/>
      <c r="C154" s="74" t="str">
        <f>IFERROR(VLOOKUP(B154,Table2[],2,0),"")</f>
        <v/>
      </c>
      <c r="D154" s="77"/>
      <c r="I154" s="79" t="str">
        <f t="shared" si="2"/>
        <v/>
      </c>
      <c r="J154" s="84" t="str">
        <f>IFERROR(ROUNDUP(8*(I154/VLOOKUP(B154,Table2[],5,0)),0),"")</f>
        <v/>
      </c>
      <c r="K154" s="1" t="str">
        <f>IFERROR(ROUNDUP(8*(E154/VLOOKUP(B154,Table2[],5,0)),0),"")</f>
        <v/>
      </c>
      <c r="L154" s="1" t="str">
        <f>IFERROR(ROUNDUP(8*(F154/VLOOKUP(B154,Table2[],5,0)),0),"")</f>
        <v/>
      </c>
      <c r="M154" s="1" t="str">
        <f>IFERROR(ROUNDUP(8*(G154/VLOOKUP(B154,Table2[],5,0)),0),"")</f>
        <v/>
      </c>
      <c r="N154" s="1" t="str">
        <f>IFERROR(ROUNDUP(8*(H154/VLOOKUP(B154,Table2[],5,0)),0),"")</f>
        <v/>
      </c>
    </row>
    <row r="155" spans="2:14" x14ac:dyDescent="0.25">
      <c r="B155" s="72"/>
      <c r="C155" s="74" t="str">
        <f>IFERROR(VLOOKUP(B155,Table2[],2,0),"")</f>
        <v/>
      </c>
      <c r="D155" s="77"/>
      <c r="I155" s="79" t="str">
        <f t="shared" si="2"/>
        <v/>
      </c>
      <c r="J155" s="84" t="str">
        <f>IFERROR(ROUNDUP(8*(I155/VLOOKUP(B155,Table2[],5,0)),0),"")</f>
        <v/>
      </c>
      <c r="K155" s="1" t="str">
        <f>IFERROR(ROUNDUP(8*(E155/VLOOKUP(B155,Table2[],5,0)),0),"")</f>
        <v/>
      </c>
      <c r="L155" s="1" t="str">
        <f>IFERROR(ROUNDUP(8*(F155/VLOOKUP(B155,Table2[],5,0)),0),"")</f>
        <v/>
      </c>
      <c r="M155" s="1" t="str">
        <f>IFERROR(ROUNDUP(8*(G155/VLOOKUP(B155,Table2[],5,0)),0),"")</f>
        <v/>
      </c>
      <c r="N155" s="1" t="str">
        <f>IFERROR(ROUNDUP(8*(H155/VLOOKUP(B155,Table2[],5,0)),0),"")</f>
        <v/>
      </c>
    </row>
    <row r="156" spans="2:14" x14ac:dyDescent="0.25">
      <c r="B156" s="72"/>
      <c r="C156" s="74" t="str">
        <f>IFERROR(VLOOKUP(B156,Table2[],2,0),"")</f>
        <v/>
      </c>
      <c r="D156" s="77"/>
      <c r="I156" s="79" t="str">
        <f t="shared" si="2"/>
        <v/>
      </c>
      <c r="J156" s="84" t="str">
        <f>IFERROR(ROUNDUP(8*(I156/VLOOKUP(B156,Table2[],5,0)),0),"")</f>
        <v/>
      </c>
      <c r="K156" s="1" t="str">
        <f>IFERROR(ROUNDUP(8*(E156/VLOOKUP(B156,Table2[],5,0)),0),"")</f>
        <v/>
      </c>
      <c r="L156" s="1" t="str">
        <f>IFERROR(ROUNDUP(8*(F156/VLOOKUP(B156,Table2[],5,0)),0),"")</f>
        <v/>
      </c>
      <c r="M156" s="1" t="str">
        <f>IFERROR(ROUNDUP(8*(G156/VLOOKUP(B156,Table2[],5,0)),0),"")</f>
        <v/>
      </c>
      <c r="N156" s="1" t="str">
        <f>IFERROR(ROUNDUP(8*(H156/VLOOKUP(B156,Table2[],5,0)),0),"")</f>
        <v/>
      </c>
    </row>
    <row r="157" spans="2:14" x14ac:dyDescent="0.25">
      <c r="B157" s="72"/>
      <c r="C157" s="74" t="str">
        <f>IFERROR(VLOOKUP(B157,Table2[],2,0),"")</f>
        <v/>
      </c>
      <c r="D157" s="77"/>
      <c r="I157" s="79" t="str">
        <f t="shared" si="2"/>
        <v/>
      </c>
      <c r="J157" s="84" t="str">
        <f>IFERROR(ROUNDUP(8*(I157/VLOOKUP(B157,Table2[],5,0)),0),"")</f>
        <v/>
      </c>
      <c r="K157" s="1" t="str">
        <f>IFERROR(ROUNDUP(8*(E157/VLOOKUP(B157,Table2[],5,0)),0),"")</f>
        <v/>
      </c>
      <c r="L157" s="1" t="str">
        <f>IFERROR(ROUNDUP(8*(F157/VLOOKUP(B157,Table2[],5,0)),0),"")</f>
        <v/>
      </c>
      <c r="M157" s="1" t="str">
        <f>IFERROR(ROUNDUP(8*(G157/VLOOKUP(B157,Table2[],5,0)),0),"")</f>
        <v/>
      </c>
      <c r="N157" s="1" t="str">
        <f>IFERROR(ROUNDUP(8*(H157/VLOOKUP(B157,Table2[],5,0)),0),"")</f>
        <v/>
      </c>
    </row>
    <row r="158" spans="2:14" x14ac:dyDescent="0.25">
      <c r="B158" s="72"/>
      <c r="C158" s="74" t="str">
        <f>IFERROR(VLOOKUP(B158,Table2[],2,0),"")</f>
        <v/>
      </c>
      <c r="D158" s="77"/>
      <c r="I158" s="79" t="str">
        <f t="shared" si="2"/>
        <v/>
      </c>
      <c r="J158" s="84" t="str">
        <f>IFERROR(ROUNDUP(8*(I158/VLOOKUP(B158,Table2[],5,0)),0),"")</f>
        <v/>
      </c>
      <c r="K158" s="1" t="str">
        <f>IFERROR(ROUNDUP(8*(E158/VLOOKUP(B158,Table2[],5,0)),0),"")</f>
        <v/>
      </c>
      <c r="L158" s="1" t="str">
        <f>IFERROR(ROUNDUP(8*(F158/VLOOKUP(B158,Table2[],5,0)),0),"")</f>
        <v/>
      </c>
      <c r="M158" s="1" t="str">
        <f>IFERROR(ROUNDUP(8*(G158/VLOOKUP(B158,Table2[],5,0)),0),"")</f>
        <v/>
      </c>
      <c r="N158" s="1" t="str">
        <f>IFERROR(ROUNDUP(8*(H158/VLOOKUP(B158,Table2[],5,0)),0),"")</f>
        <v/>
      </c>
    </row>
    <row r="159" spans="2:14" x14ac:dyDescent="0.25">
      <c r="B159" s="72"/>
      <c r="C159" s="74" t="str">
        <f>IFERROR(VLOOKUP(B159,Table2[],2,0),"")</f>
        <v/>
      </c>
      <c r="D159" s="77"/>
      <c r="I159" s="79" t="str">
        <f t="shared" si="2"/>
        <v/>
      </c>
      <c r="J159" s="84" t="str">
        <f>IFERROR(ROUNDUP(8*(I159/VLOOKUP(B159,Table2[],5,0)),0),"")</f>
        <v/>
      </c>
      <c r="K159" s="1" t="str">
        <f>IFERROR(ROUNDUP(8*(E159/VLOOKUP(B159,Table2[],5,0)),0),"")</f>
        <v/>
      </c>
      <c r="L159" s="1" t="str">
        <f>IFERROR(ROUNDUP(8*(F159/VLOOKUP(B159,Table2[],5,0)),0),"")</f>
        <v/>
      </c>
      <c r="M159" s="1" t="str">
        <f>IFERROR(ROUNDUP(8*(G159/VLOOKUP(B159,Table2[],5,0)),0),"")</f>
        <v/>
      </c>
      <c r="N159" s="1" t="str">
        <f>IFERROR(ROUNDUP(8*(H159/VLOOKUP(B159,Table2[],5,0)),0),"")</f>
        <v/>
      </c>
    </row>
    <row r="160" spans="2:14" x14ac:dyDescent="0.25">
      <c r="B160" s="72"/>
      <c r="C160" s="74" t="str">
        <f>IFERROR(VLOOKUP(B160,Table2[],2,0),"")</f>
        <v/>
      </c>
      <c r="D160" s="77"/>
      <c r="I160" s="79" t="str">
        <f t="shared" si="2"/>
        <v/>
      </c>
      <c r="J160" s="84" t="str">
        <f>IFERROR(ROUNDUP(8*(I160/VLOOKUP(B160,Table2[],5,0)),0),"")</f>
        <v/>
      </c>
      <c r="K160" s="1" t="str">
        <f>IFERROR(ROUNDUP(8*(E160/VLOOKUP(B160,Table2[],5,0)),0),"")</f>
        <v/>
      </c>
      <c r="L160" s="1" t="str">
        <f>IFERROR(ROUNDUP(8*(F160/VLOOKUP(B160,Table2[],5,0)),0),"")</f>
        <v/>
      </c>
      <c r="M160" s="1" t="str">
        <f>IFERROR(ROUNDUP(8*(G160/VLOOKUP(B160,Table2[],5,0)),0),"")</f>
        <v/>
      </c>
      <c r="N160" s="1" t="str">
        <f>IFERROR(ROUNDUP(8*(H160/VLOOKUP(B160,Table2[],5,0)),0),"")</f>
        <v/>
      </c>
    </row>
    <row r="161" spans="2:14" x14ac:dyDescent="0.25">
      <c r="B161" s="72"/>
      <c r="C161" s="74" t="str">
        <f>IFERROR(VLOOKUP(B161,Table2[],2,0),"")</f>
        <v/>
      </c>
      <c r="D161" s="77"/>
      <c r="I161" s="79" t="str">
        <f t="shared" si="2"/>
        <v/>
      </c>
      <c r="J161" s="84" t="str">
        <f>IFERROR(ROUNDUP(8*(I161/VLOOKUP(B161,Table2[],5,0)),0),"")</f>
        <v/>
      </c>
      <c r="K161" s="1" t="str">
        <f>IFERROR(ROUNDUP(8*(E161/VLOOKUP(B161,Table2[],5,0)),0),"")</f>
        <v/>
      </c>
      <c r="L161" s="1" t="str">
        <f>IFERROR(ROUNDUP(8*(F161/VLOOKUP(B161,Table2[],5,0)),0),"")</f>
        <v/>
      </c>
      <c r="M161" s="1" t="str">
        <f>IFERROR(ROUNDUP(8*(G161/VLOOKUP(B161,Table2[],5,0)),0),"")</f>
        <v/>
      </c>
      <c r="N161" s="1" t="str">
        <f>IFERROR(ROUNDUP(8*(H161/VLOOKUP(B161,Table2[],5,0)),0),"")</f>
        <v/>
      </c>
    </row>
    <row r="162" spans="2:14" x14ac:dyDescent="0.25">
      <c r="B162" s="72"/>
      <c r="C162" s="74" t="str">
        <f>IFERROR(VLOOKUP(B162,Table2[],2,0),"")</f>
        <v/>
      </c>
      <c r="D162" s="77"/>
      <c r="I162" s="79" t="str">
        <f t="shared" si="2"/>
        <v/>
      </c>
      <c r="J162" s="84" t="str">
        <f>IFERROR(ROUNDUP(8*(I162/VLOOKUP(B162,Table2[],5,0)),0),"")</f>
        <v/>
      </c>
      <c r="K162" s="1" t="str">
        <f>IFERROR(ROUNDUP(8*(E162/VLOOKUP(B162,Table2[],5,0)),0),"")</f>
        <v/>
      </c>
      <c r="L162" s="1" t="str">
        <f>IFERROR(ROUNDUP(8*(F162/VLOOKUP(B162,Table2[],5,0)),0),"")</f>
        <v/>
      </c>
      <c r="M162" s="1" t="str">
        <f>IFERROR(ROUNDUP(8*(G162/VLOOKUP(B162,Table2[],5,0)),0),"")</f>
        <v/>
      </c>
      <c r="N162" s="1" t="str">
        <f>IFERROR(ROUNDUP(8*(H162/VLOOKUP(B162,Table2[],5,0)),0),"")</f>
        <v/>
      </c>
    </row>
    <row r="163" spans="2:14" x14ac:dyDescent="0.25">
      <c r="B163" s="72"/>
      <c r="C163" s="74" t="str">
        <f>IFERROR(VLOOKUP(B163,Table2[],2,0),"")</f>
        <v/>
      </c>
      <c r="D163" s="77"/>
      <c r="I163" s="79" t="str">
        <f t="shared" si="2"/>
        <v/>
      </c>
      <c r="J163" s="84" t="str">
        <f>IFERROR(ROUNDUP(8*(I163/VLOOKUP(B163,Table2[],5,0)),0),"")</f>
        <v/>
      </c>
      <c r="K163" s="1" t="str">
        <f>IFERROR(ROUNDUP(8*(E163/VLOOKUP(B163,Table2[],5,0)),0),"")</f>
        <v/>
      </c>
      <c r="L163" s="1" t="str">
        <f>IFERROR(ROUNDUP(8*(F163/VLOOKUP(B163,Table2[],5,0)),0),"")</f>
        <v/>
      </c>
      <c r="M163" s="1" t="str">
        <f>IFERROR(ROUNDUP(8*(G163/VLOOKUP(B163,Table2[],5,0)),0),"")</f>
        <v/>
      </c>
      <c r="N163" s="1" t="str">
        <f>IFERROR(ROUNDUP(8*(H163/VLOOKUP(B163,Table2[],5,0)),0),"")</f>
        <v/>
      </c>
    </row>
    <row r="164" spans="2:14" x14ac:dyDescent="0.25">
      <c r="B164" s="72"/>
      <c r="C164" s="74" t="str">
        <f>IFERROR(VLOOKUP(B164,Table2[],2,0),"")</f>
        <v/>
      </c>
      <c r="D164" s="77"/>
      <c r="I164" s="79" t="str">
        <f t="shared" si="2"/>
        <v/>
      </c>
      <c r="J164" s="84" t="str">
        <f>IFERROR(ROUNDUP(8*(I164/VLOOKUP(B164,Table2[],5,0)),0),"")</f>
        <v/>
      </c>
      <c r="K164" s="1" t="str">
        <f>IFERROR(ROUNDUP(8*(E164/VLOOKUP(B164,Table2[],5,0)),0),"")</f>
        <v/>
      </c>
      <c r="L164" s="1" t="str">
        <f>IFERROR(ROUNDUP(8*(F164/VLOOKUP(B164,Table2[],5,0)),0),"")</f>
        <v/>
      </c>
      <c r="M164" s="1" t="str">
        <f>IFERROR(ROUNDUP(8*(G164/VLOOKUP(B164,Table2[],5,0)),0),"")</f>
        <v/>
      </c>
      <c r="N164" s="1" t="str">
        <f>IFERROR(ROUNDUP(8*(H164/VLOOKUP(B164,Table2[],5,0)),0),"")</f>
        <v/>
      </c>
    </row>
    <row r="165" spans="2:14" x14ac:dyDescent="0.25">
      <c r="B165" s="72"/>
      <c r="C165" s="74" t="str">
        <f>IFERROR(VLOOKUP(B165,Table2[],2,0),"")</f>
        <v/>
      </c>
      <c r="D165" s="77"/>
      <c r="I165" s="79" t="str">
        <f t="shared" si="2"/>
        <v/>
      </c>
      <c r="J165" s="84" t="str">
        <f>IFERROR(ROUNDUP(8*(I165/VLOOKUP(B165,Table2[],5,0)),0),"")</f>
        <v/>
      </c>
      <c r="K165" s="1" t="str">
        <f>IFERROR(ROUNDUP(8*(E165/VLOOKUP(B165,Table2[],5,0)),0),"")</f>
        <v/>
      </c>
      <c r="L165" s="1" t="str">
        <f>IFERROR(ROUNDUP(8*(F165/VLOOKUP(B165,Table2[],5,0)),0),"")</f>
        <v/>
      </c>
      <c r="M165" s="1" t="str">
        <f>IFERROR(ROUNDUP(8*(G165/VLOOKUP(B165,Table2[],5,0)),0),"")</f>
        <v/>
      </c>
      <c r="N165" s="1" t="str">
        <f>IFERROR(ROUNDUP(8*(H165/VLOOKUP(B165,Table2[],5,0)),0),"")</f>
        <v/>
      </c>
    </row>
    <row r="166" spans="2:14" x14ac:dyDescent="0.25">
      <c r="B166" s="72"/>
      <c r="C166" s="74" t="str">
        <f>IFERROR(VLOOKUP(B166,Table2[],2,0),"")</f>
        <v/>
      </c>
      <c r="D166" s="77"/>
      <c r="I166" s="79" t="str">
        <f t="shared" si="2"/>
        <v/>
      </c>
      <c r="J166" s="84" t="str">
        <f>IFERROR(ROUNDUP(8*(I166/VLOOKUP(B166,Table2[],5,0)),0),"")</f>
        <v/>
      </c>
      <c r="K166" s="1" t="str">
        <f>IFERROR(ROUNDUP(8*(E166/VLOOKUP(B166,Table2[],5,0)),0),"")</f>
        <v/>
      </c>
      <c r="L166" s="1" t="str">
        <f>IFERROR(ROUNDUP(8*(F166/VLOOKUP(B166,Table2[],5,0)),0),"")</f>
        <v/>
      </c>
      <c r="M166" s="1" t="str">
        <f>IFERROR(ROUNDUP(8*(G166/VLOOKUP(B166,Table2[],5,0)),0),"")</f>
        <v/>
      </c>
      <c r="N166" s="1" t="str">
        <f>IFERROR(ROUNDUP(8*(H166/VLOOKUP(B166,Table2[],5,0)),0),"")</f>
        <v/>
      </c>
    </row>
    <row r="167" spans="2:14" x14ac:dyDescent="0.25">
      <c r="B167" s="72"/>
      <c r="C167" s="74" t="str">
        <f>IFERROR(VLOOKUP(B167,Table2[],2,0),"")</f>
        <v/>
      </c>
      <c r="D167" s="77"/>
      <c r="I167" s="79" t="str">
        <f t="shared" si="2"/>
        <v/>
      </c>
      <c r="J167" s="84" t="str">
        <f>IFERROR(ROUNDUP(8*(I167/VLOOKUP(B167,Table2[],5,0)),0),"")</f>
        <v/>
      </c>
      <c r="K167" s="1" t="str">
        <f>IFERROR(ROUNDUP(8*(E167/VLOOKUP(B167,Table2[],5,0)),0),"")</f>
        <v/>
      </c>
      <c r="L167" s="1" t="str">
        <f>IFERROR(ROUNDUP(8*(F167/VLOOKUP(B167,Table2[],5,0)),0),"")</f>
        <v/>
      </c>
      <c r="M167" s="1" t="str">
        <f>IFERROR(ROUNDUP(8*(G167/VLOOKUP(B167,Table2[],5,0)),0),"")</f>
        <v/>
      </c>
      <c r="N167" s="1" t="str">
        <f>IFERROR(ROUNDUP(8*(H167/VLOOKUP(B167,Table2[],5,0)),0),"")</f>
        <v/>
      </c>
    </row>
    <row r="168" spans="2:14" x14ac:dyDescent="0.25">
      <c r="B168" s="72"/>
      <c r="C168" s="74" t="str">
        <f>IFERROR(VLOOKUP(B168,Table2[],2,0),"")</f>
        <v/>
      </c>
      <c r="D168" s="77"/>
      <c r="I168" s="79" t="str">
        <f t="shared" si="2"/>
        <v/>
      </c>
      <c r="J168" s="84" t="str">
        <f>IFERROR(ROUNDUP(8*(I168/VLOOKUP(B168,Table2[],5,0)),0),"")</f>
        <v/>
      </c>
      <c r="K168" s="1" t="str">
        <f>IFERROR(ROUNDUP(8*(E168/VLOOKUP(B168,Table2[],5,0)),0),"")</f>
        <v/>
      </c>
      <c r="L168" s="1" t="str">
        <f>IFERROR(ROUNDUP(8*(F168/VLOOKUP(B168,Table2[],5,0)),0),"")</f>
        <v/>
      </c>
      <c r="M168" s="1" t="str">
        <f>IFERROR(ROUNDUP(8*(G168/VLOOKUP(B168,Table2[],5,0)),0),"")</f>
        <v/>
      </c>
      <c r="N168" s="1" t="str">
        <f>IFERROR(ROUNDUP(8*(H168/VLOOKUP(B168,Table2[],5,0)),0),"")</f>
        <v/>
      </c>
    </row>
    <row r="169" spans="2:14" x14ac:dyDescent="0.25">
      <c r="B169" s="72"/>
      <c r="C169" s="74" t="str">
        <f>IFERROR(VLOOKUP(B169,Table2[],2,0),"")</f>
        <v/>
      </c>
      <c r="D169" s="77"/>
      <c r="I169" s="79" t="str">
        <f t="shared" si="2"/>
        <v/>
      </c>
      <c r="J169" s="84" t="str">
        <f>IFERROR(ROUNDUP(8*(I169/VLOOKUP(B169,Table2[],5,0)),0),"")</f>
        <v/>
      </c>
      <c r="K169" s="1" t="str">
        <f>IFERROR(ROUNDUP(8*(E169/VLOOKUP(B169,Table2[],5,0)),0),"")</f>
        <v/>
      </c>
      <c r="L169" s="1" t="str">
        <f>IFERROR(ROUNDUP(8*(F169/VLOOKUP(B169,Table2[],5,0)),0),"")</f>
        <v/>
      </c>
      <c r="M169" s="1" t="str">
        <f>IFERROR(ROUNDUP(8*(G169/VLOOKUP(B169,Table2[],5,0)),0),"")</f>
        <v/>
      </c>
      <c r="N169" s="1" t="str">
        <f>IFERROR(ROUNDUP(8*(H169/VLOOKUP(B169,Table2[],5,0)),0),"")</f>
        <v/>
      </c>
    </row>
    <row r="170" spans="2:14" x14ac:dyDescent="0.25">
      <c r="B170" s="72"/>
      <c r="C170" s="74" t="str">
        <f>IFERROR(VLOOKUP(B170,Table2[],2,0),"")</f>
        <v/>
      </c>
      <c r="D170" s="77"/>
      <c r="I170" s="79" t="str">
        <f t="shared" si="2"/>
        <v/>
      </c>
      <c r="J170" s="84" t="str">
        <f>IFERROR(ROUNDUP(8*(I170/VLOOKUP(B170,Table2[],5,0)),0),"")</f>
        <v/>
      </c>
      <c r="K170" s="1" t="str">
        <f>IFERROR(ROUNDUP(8*(E170/VLOOKUP(B170,Table2[],5,0)),0),"")</f>
        <v/>
      </c>
      <c r="L170" s="1" t="str">
        <f>IFERROR(ROUNDUP(8*(F170/VLOOKUP(B170,Table2[],5,0)),0),"")</f>
        <v/>
      </c>
      <c r="M170" s="1" t="str">
        <f>IFERROR(ROUNDUP(8*(G170/VLOOKUP(B170,Table2[],5,0)),0),"")</f>
        <v/>
      </c>
      <c r="N170" s="1" t="str">
        <f>IFERROR(ROUNDUP(8*(H170/VLOOKUP(B170,Table2[],5,0)),0),"")</f>
        <v/>
      </c>
    </row>
    <row r="171" spans="2:14" x14ac:dyDescent="0.25">
      <c r="B171" s="72"/>
      <c r="C171" s="74" t="str">
        <f>IFERROR(VLOOKUP(B171,Table2[],2,0),"")</f>
        <v/>
      </c>
      <c r="D171" s="77"/>
      <c r="I171" s="79" t="str">
        <f t="shared" si="2"/>
        <v/>
      </c>
      <c r="J171" s="84" t="str">
        <f>IFERROR(ROUNDUP(8*(I171/VLOOKUP(B171,Table2[],5,0)),0),"")</f>
        <v/>
      </c>
      <c r="K171" s="1" t="str">
        <f>IFERROR(ROUNDUP(8*(E171/VLOOKUP(B171,Table2[],5,0)),0),"")</f>
        <v/>
      </c>
      <c r="L171" s="1" t="str">
        <f>IFERROR(ROUNDUP(8*(F171/VLOOKUP(B171,Table2[],5,0)),0),"")</f>
        <v/>
      </c>
      <c r="M171" s="1" t="str">
        <f>IFERROR(ROUNDUP(8*(G171/VLOOKUP(B171,Table2[],5,0)),0),"")</f>
        <v/>
      </c>
      <c r="N171" s="1" t="str">
        <f>IFERROR(ROUNDUP(8*(H171/VLOOKUP(B171,Table2[],5,0)),0),"")</f>
        <v/>
      </c>
    </row>
    <row r="172" spans="2:14" x14ac:dyDescent="0.25">
      <c r="B172" s="72"/>
      <c r="C172" s="74" t="str">
        <f>IFERROR(VLOOKUP(B172,Table2[],2,0),"")</f>
        <v/>
      </c>
      <c r="D172" s="77"/>
      <c r="I172" s="79" t="str">
        <f t="shared" si="2"/>
        <v/>
      </c>
      <c r="J172" s="84" t="str">
        <f>IFERROR(ROUNDUP(8*(I172/VLOOKUP(B172,Table2[],5,0)),0),"")</f>
        <v/>
      </c>
      <c r="K172" s="1" t="str">
        <f>IFERROR(ROUNDUP(8*(E172/VLOOKUP(B172,Table2[],5,0)),0),"")</f>
        <v/>
      </c>
      <c r="L172" s="1" t="str">
        <f>IFERROR(ROUNDUP(8*(F172/VLOOKUP(B172,Table2[],5,0)),0),"")</f>
        <v/>
      </c>
      <c r="M172" s="1" t="str">
        <f>IFERROR(ROUNDUP(8*(G172/VLOOKUP(B172,Table2[],5,0)),0),"")</f>
        <v/>
      </c>
      <c r="N172" s="1" t="str">
        <f>IFERROR(ROUNDUP(8*(H172/VLOOKUP(B172,Table2[],5,0)),0),"")</f>
        <v/>
      </c>
    </row>
    <row r="173" spans="2:14" x14ac:dyDescent="0.25">
      <c r="B173" s="72"/>
      <c r="C173" s="74" t="str">
        <f>IFERROR(VLOOKUP(B173,Table2[],2,0),"")</f>
        <v/>
      </c>
      <c r="D173" s="77"/>
      <c r="I173" s="79" t="str">
        <f t="shared" si="2"/>
        <v/>
      </c>
      <c r="J173" s="84" t="str">
        <f>IFERROR(ROUNDUP(8*(I173/VLOOKUP(B173,Table2[],5,0)),0),"")</f>
        <v/>
      </c>
      <c r="K173" s="1" t="str">
        <f>IFERROR(ROUNDUP(8*(E173/VLOOKUP(B173,Table2[],5,0)),0),"")</f>
        <v/>
      </c>
      <c r="L173" s="1" t="str">
        <f>IFERROR(ROUNDUP(8*(F173/VLOOKUP(B173,Table2[],5,0)),0),"")</f>
        <v/>
      </c>
      <c r="M173" s="1" t="str">
        <f>IFERROR(ROUNDUP(8*(G173/VLOOKUP(B173,Table2[],5,0)),0),"")</f>
        <v/>
      </c>
      <c r="N173" s="1" t="str">
        <f>IFERROR(ROUNDUP(8*(H173/VLOOKUP(B173,Table2[],5,0)),0),"")</f>
        <v/>
      </c>
    </row>
    <row r="174" spans="2:14" x14ac:dyDescent="0.25">
      <c r="B174" s="71"/>
      <c r="C174" s="74" t="str">
        <f>IFERROR(VLOOKUP(B174,Table2[],2,0),"")</f>
        <v/>
      </c>
      <c r="D174" s="77"/>
      <c r="I174" s="79" t="str">
        <f t="shared" si="2"/>
        <v/>
      </c>
      <c r="J174" s="84" t="str">
        <f>IFERROR(ROUNDUP(8*(I174/VLOOKUP(B174,Table2[],5,0)),0),"")</f>
        <v/>
      </c>
      <c r="K174" s="1" t="str">
        <f>IFERROR(ROUNDUP(8*(E174/VLOOKUP(B174,Table2[],5,0)),0),"")</f>
        <v/>
      </c>
      <c r="L174" s="1" t="str">
        <f>IFERROR(ROUNDUP(8*(F174/VLOOKUP(B174,Table2[],5,0)),0),"")</f>
        <v/>
      </c>
      <c r="M174" s="1" t="str">
        <f>IFERROR(ROUNDUP(8*(G174/VLOOKUP(B174,Table2[],5,0)),0),"")</f>
        <v/>
      </c>
      <c r="N174" s="1" t="str">
        <f>IFERROR(ROUNDUP(8*(H174/VLOOKUP(B174,Table2[],5,0)),0),"")</f>
        <v/>
      </c>
    </row>
    <row r="175" spans="2:14" x14ac:dyDescent="0.25">
      <c r="B175" s="71"/>
      <c r="C175" s="74" t="str">
        <f>IFERROR(VLOOKUP(B175,Table2[],2,0),"")</f>
        <v/>
      </c>
      <c r="D175" s="77"/>
      <c r="I175" s="79" t="str">
        <f t="shared" si="2"/>
        <v/>
      </c>
      <c r="J175" s="84" t="str">
        <f>IFERROR(ROUNDUP(8*(I175/VLOOKUP(B175,Table2[],5,0)),0),"")</f>
        <v/>
      </c>
      <c r="K175" s="1" t="str">
        <f>IFERROR(ROUNDUP(8*(E175/VLOOKUP(B175,Table2[],5,0)),0),"")</f>
        <v/>
      </c>
      <c r="L175" s="1" t="str">
        <f>IFERROR(ROUNDUP(8*(F175/VLOOKUP(B175,Table2[],5,0)),0),"")</f>
        <v/>
      </c>
      <c r="M175" s="1" t="str">
        <f>IFERROR(ROUNDUP(8*(G175/VLOOKUP(B175,Table2[],5,0)),0),"")</f>
        <v/>
      </c>
      <c r="N175" s="1" t="str">
        <f>IFERROR(ROUNDUP(8*(H175/VLOOKUP(B175,Table2[],5,0)),0),"")</f>
        <v/>
      </c>
    </row>
    <row r="176" spans="2:14" x14ac:dyDescent="0.25">
      <c r="B176" s="71"/>
      <c r="C176" s="74" t="str">
        <f>IFERROR(VLOOKUP(B176,Table2[],2,0),"")</f>
        <v/>
      </c>
      <c r="D176" s="77"/>
      <c r="I176" s="79" t="str">
        <f t="shared" si="2"/>
        <v/>
      </c>
      <c r="J176" s="84" t="str">
        <f>IFERROR(ROUNDUP(8*(I176/VLOOKUP(B176,Table2[],5,0)),0),"")</f>
        <v/>
      </c>
      <c r="K176" s="1" t="str">
        <f>IFERROR(ROUNDUP(8*(E176/VLOOKUP(B176,Table2[],5,0)),0),"")</f>
        <v/>
      </c>
      <c r="L176" s="1" t="str">
        <f>IFERROR(ROUNDUP(8*(F176/VLOOKUP(B176,Table2[],5,0)),0),"")</f>
        <v/>
      </c>
      <c r="M176" s="1" t="str">
        <f>IFERROR(ROUNDUP(8*(G176/VLOOKUP(B176,Table2[],5,0)),0),"")</f>
        <v/>
      </c>
      <c r="N176" s="1" t="str">
        <f>IFERROR(ROUNDUP(8*(H176/VLOOKUP(B176,Table2[],5,0)),0),"")</f>
        <v/>
      </c>
    </row>
    <row r="177" spans="2:14" x14ac:dyDescent="0.25">
      <c r="B177" s="71"/>
      <c r="C177" s="74" t="str">
        <f>IFERROR(VLOOKUP(B177,Table2[],2,0),"")</f>
        <v/>
      </c>
      <c r="D177" s="77"/>
      <c r="I177" s="79" t="str">
        <f t="shared" si="2"/>
        <v/>
      </c>
      <c r="J177" s="84" t="str">
        <f>IFERROR(ROUNDUP(8*(I177/VLOOKUP(B177,Table2[],5,0)),0),"")</f>
        <v/>
      </c>
      <c r="K177" s="1" t="str">
        <f>IFERROR(ROUNDUP(8*(E177/VLOOKUP(B177,Table2[],5,0)),0),"")</f>
        <v/>
      </c>
      <c r="L177" s="1" t="str">
        <f>IFERROR(ROUNDUP(8*(F177/VLOOKUP(B177,Table2[],5,0)),0),"")</f>
        <v/>
      </c>
      <c r="M177" s="1" t="str">
        <f>IFERROR(ROUNDUP(8*(G177/VLOOKUP(B177,Table2[],5,0)),0),"")</f>
        <v/>
      </c>
      <c r="N177" s="1" t="str">
        <f>IFERROR(ROUNDUP(8*(H177/VLOOKUP(B177,Table2[],5,0)),0),"")</f>
        <v/>
      </c>
    </row>
    <row r="178" spans="2:14" x14ac:dyDescent="0.25">
      <c r="B178" s="72"/>
      <c r="C178" s="74" t="str">
        <f>IFERROR(VLOOKUP(B178,Table2[],2,0),"")</f>
        <v/>
      </c>
      <c r="D178" s="77"/>
      <c r="I178" s="79" t="str">
        <f t="shared" si="2"/>
        <v/>
      </c>
      <c r="J178" s="84" t="str">
        <f>IFERROR(ROUNDUP(8*(I178/VLOOKUP(B178,Table2[],5,0)),0),"")</f>
        <v/>
      </c>
      <c r="K178" s="1" t="str">
        <f>IFERROR(ROUNDUP(8*(E178/VLOOKUP(B178,Table2[],5,0)),0),"")</f>
        <v/>
      </c>
      <c r="L178" s="1" t="str">
        <f>IFERROR(ROUNDUP(8*(F178/VLOOKUP(B178,Table2[],5,0)),0),"")</f>
        <v/>
      </c>
      <c r="M178" s="1" t="str">
        <f>IFERROR(ROUNDUP(8*(G178/VLOOKUP(B178,Table2[],5,0)),0),"")</f>
        <v/>
      </c>
      <c r="N178" s="1" t="str">
        <f>IFERROR(ROUNDUP(8*(H178/VLOOKUP(B178,Table2[],5,0)),0),"")</f>
        <v/>
      </c>
    </row>
    <row r="179" spans="2:14" x14ac:dyDescent="0.25">
      <c r="B179" s="72"/>
      <c r="C179" s="74" t="str">
        <f>IFERROR(VLOOKUP(B179,Table2[],2,0),"")</f>
        <v/>
      </c>
      <c r="D179" s="77"/>
      <c r="I179" s="79" t="str">
        <f t="shared" si="2"/>
        <v/>
      </c>
      <c r="J179" s="84" t="str">
        <f>IFERROR(ROUNDUP(8*(I179/VLOOKUP(B179,Table2[],5,0)),0),"")</f>
        <v/>
      </c>
      <c r="K179" s="1" t="str">
        <f>IFERROR(ROUNDUP(8*(E179/VLOOKUP(B179,Table2[],5,0)),0),"")</f>
        <v/>
      </c>
      <c r="L179" s="1" t="str">
        <f>IFERROR(ROUNDUP(8*(F179/VLOOKUP(B179,Table2[],5,0)),0),"")</f>
        <v/>
      </c>
      <c r="M179" s="1" t="str">
        <f>IFERROR(ROUNDUP(8*(G179/VLOOKUP(B179,Table2[],5,0)),0),"")</f>
        <v/>
      </c>
      <c r="N179" s="1" t="str">
        <f>IFERROR(ROUNDUP(8*(H179/VLOOKUP(B179,Table2[],5,0)),0),"")</f>
        <v/>
      </c>
    </row>
    <row r="180" spans="2:14" x14ac:dyDescent="0.25">
      <c r="B180" s="72"/>
      <c r="C180" s="74" t="str">
        <f>IFERROR(VLOOKUP(B180,Table2[],2,0),"")</f>
        <v/>
      </c>
      <c r="D180" s="77"/>
      <c r="I180" s="79" t="str">
        <f t="shared" si="2"/>
        <v/>
      </c>
      <c r="J180" s="84" t="str">
        <f>IFERROR(ROUNDUP(8*(I180/VLOOKUP(B180,Table2[],5,0)),0),"")</f>
        <v/>
      </c>
      <c r="K180" s="1" t="str">
        <f>IFERROR(ROUNDUP(8*(E180/VLOOKUP(B180,Table2[],5,0)),0),"")</f>
        <v/>
      </c>
      <c r="L180" s="1" t="str">
        <f>IFERROR(ROUNDUP(8*(F180/VLOOKUP(B180,Table2[],5,0)),0),"")</f>
        <v/>
      </c>
      <c r="M180" s="1" t="str">
        <f>IFERROR(ROUNDUP(8*(G180/VLOOKUP(B180,Table2[],5,0)),0),"")</f>
        <v/>
      </c>
      <c r="N180" s="1" t="str">
        <f>IFERROR(ROUNDUP(8*(H180/VLOOKUP(B180,Table2[],5,0)),0),"")</f>
        <v/>
      </c>
    </row>
    <row r="181" spans="2:14" x14ac:dyDescent="0.25">
      <c r="B181" s="72"/>
      <c r="C181" s="74" t="str">
        <f>IFERROR(VLOOKUP(B181,Table2[],2,0),"")</f>
        <v/>
      </c>
      <c r="D181" s="77"/>
      <c r="I181" s="79" t="str">
        <f t="shared" si="2"/>
        <v/>
      </c>
      <c r="J181" s="84" t="str">
        <f>IFERROR(ROUNDUP(8*(I181/VLOOKUP(B181,Table2[],5,0)),0),"")</f>
        <v/>
      </c>
      <c r="K181" s="1" t="str">
        <f>IFERROR(ROUNDUP(8*(E181/VLOOKUP(B181,Table2[],5,0)),0),"")</f>
        <v/>
      </c>
      <c r="L181" s="1" t="str">
        <f>IFERROR(ROUNDUP(8*(F181/VLOOKUP(B181,Table2[],5,0)),0),"")</f>
        <v/>
      </c>
      <c r="M181" s="1" t="str">
        <f>IFERROR(ROUNDUP(8*(G181/VLOOKUP(B181,Table2[],5,0)),0),"")</f>
        <v/>
      </c>
      <c r="N181" s="1" t="str">
        <f>IFERROR(ROUNDUP(8*(H181/VLOOKUP(B181,Table2[],5,0)),0),"")</f>
        <v/>
      </c>
    </row>
    <row r="182" spans="2:14" x14ac:dyDescent="0.25">
      <c r="B182" s="71"/>
      <c r="C182" s="74" t="str">
        <f>IFERROR(VLOOKUP(B182,Table2[],2,0),"")</f>
        <v/>
      </c>
      <c r="D182" s="77"/>
      <c r="I182" s="79" t="str">
        <f t="shared" si="2"/>
        <v/>
      </c>
      <c r="J182" s="84" t="str">
        <f>IFERROR(ROUNDUP(8*(I182/VLOOKUP(B182,Table2[],5,0)),0),"")</f>
        <v/>
      </c>
      <c r="K182" s="1" t="str">
        <f>IFERROR(ROUNDUP(8*(E182/VLOOKUP(B182,Table2[],5,0)),0),"")</f>
        <v/>
      </c>
      <c r="L182" s="1" t="str">
        <f>IFERROR(ROUNDUP(8*(F182/VLOOKUP(B182,Table2[],5,0)),0),"")</f>
        <v/>
      </c>
      <c r="M182" s="1" t="str">
        <f>IFERROR(ROUNDUP(8*(G182/VLOOKUP(B182,Table2[],5,0)),0),"")</f>
        <v/>
      </c>
      <c r="N182" s="1" t="str">
        <f>IFERROR(ROUNDUP(8*(H182/VLOOKUP(B182,Table2[],5,0)),0),"")</f>
        <v/>
      </c>
    </row>
    <row r="183" spans="2:14" x14ac:dyDescent="0.25">
      <c r="B183" s="71"/>
      <c r="C183" s="74" t="str">
        <f>IFERROR(VLOOKUP(B183,Table2[],2,0),"")</f>
        <v/>
      </c>
      <c r="D183" s="77"/>
      <c r="I183" s="79" t="str">
        <f t="shared" si="2"/>
        <v/>
      </c>
      <c r="J183" s="84" t="str">
        <f>IFERROR(ROUNDUP(8*(I183/VLOOKUP(B183,Table2[],5,0)),0),"")</f>
        <v/>
      </c>
      <c r="K183" s="1" t="str">
        <f>IFERROR(ROUNDUP(8*(E183/VLOOKUP(B183,Table2[],5,0)),0),"")</f>
        <v/>
      </c>
      <c r="L183" s="1" t="str">
        <f>IFERROR(ROUNDUP(8*(F183/VLOOKUP(B183,Table2[],5,0)),0),"")</f>
        <v/>
      </c>
      <c r="M183" s="1" t="str">
        <f>IFERROR(ROUNDUP(8*(G183/VLOOKUP(B183,Table2[],5,0)),0),"")</f>
        <v/>
      </c>
      <c r="N183" s="1" t="str">
        <f>IFERROR(ROUNDUP(8*(H183/VLOOKUP(B183,Table2[],5,0)),0),"")</f>
        <v/>
      </c>
    </row>
    <row r="184" spans="2:14" x14ac:dyDescent="0.25">
      <c r="B184" s="71"/>
      <c r="C184" s="74" t="str">
        <f>IFERROR(VLOOKUP(B184,Table2[],2,0),"")</f>
        <v/>
      </c>
      <c r="D184" s="77"/>
      <c r="I184" s="79" t="str">
        <f t="shared" si="2"/>
        <v/>
      </c>
      <c r="J184" s="84" t="str">
        <f>IFERROR(ROUNDUP(8*(I184/VLOOKUP(B184,Table2[],5,0)),0),"")</f>
        <v/>
      </c>
      <c r="K184" s="1" t="str">
        <f>IFERROR(ROUNDUP(8*(E184/VLOOKUP(B184,Table2[],5,0)),0),"")</f>
        <v/>
      </c>
      <c r="L184" s="1" t="str">
        <f>IFERROR(ROUNDUP(8*(F184/VLOOKUP(B184,Table2[],5,0)),0),"")</f>
        <v/>
      </c>
      <c r="M184" s="1" t="str">
        <f>IFERROR(ROUNDUP(8*(G184/VLOOKUP(B184,Table2[],5,0)),0),"")</f>
        <v/>
      </c>
      <c r="N184" s="1" t="str">
        <f>IFERROR(ROUNDUP(8*(H184/VLOOKUP(B184,Table2[],5,0)),0),"")</f>
        <v/>
      </c>
    </row>
    <row r="185" spans="2:14" x14ac:dyDescent="0.25">
      <c r="B185" s="71"/>
      <c r="C185" s="74" t="str">
        <f>IFERROR(VLOOKUP(B185,Table2[],2,0),"")</f>
        <v/>
      </c>
      <c r="D185" s="77"/>
      <c r="I185" s="79" t="str">
        <f t="shared" si="2"/>
        <v/>
      </c>
      <c r="J185" s="84" t="str">
        <f>IFERROR(ROUNDUP(8*(I185/VLOOKUP(B185,Table2[],5,0)),0),"")</f>
        <v/>
      </c>
      <c r="K185" s="1" t="str">
        <f>IFERROR(ROUNDUP(8*(E185/VLOOKUP(B185,Table2[],5,0)),0),"")</f>
        <v/>
      </c>
      <c r="L185" s="1" t="str">
        <f>IFERROR(ROUNDUP(8*(F185/VLOOKUP(B185,Table2[],5,0)),0),"")</f>
        <v/>
      </c>
      <c r="M185" s="1" t="str">
        <f>IFERROR(ROUNDUP(8*(G185/VLOOKUP(B185,Table2[],5,0)),0),"")</f>
        <v/>
      </c>
      <c r="N185" s="1" t="str">
        <f>IFERROR(ROUNDUP(8*(H185/VLOOKUP(B185,Table2[],5,0)),0),"")</f>
        <v/>
      </c>
    </row>
    <row r="186" spans="2:14" x14ac:dyDescent="0.25">
      <c r="B186" s="71"/>
      <c r="C186" s="74" t="str">
        <f>IFERROR(VLOOKUP(B186,Table2[],2,0),"")</f>
        <v/>
      </c>
      <c r="D186" s="77"/>
      <c r="I186" s="79" t="str">
        <f t="shared" si="2"/>
        <v/>
      </c>
      <c r="J186" s="84" t="str">
        <f>IFERROR(ROUNDUP(8*(I186/VLOOKUP(B186,Table2[],5,0)),0),"")</f>
        <v/>
      </c>
      <c r="K186" s="1" t="str">
        <f>IFERROR(ROUNDUP(8*(E186/VLOOKUP(B186,Table2[],5,0)),0),"")</f>
        <v/>
      </c>
      <c r="L186" s="1" t="str">
        <f>IFERROR(ROUNDUP(8*(F186/VLOOKUP(B186,Table2[],5,0)),0),"")</f>
        <v/>
      </c>
      <c r="M186" s="1" t="str">
        <f>IFERROR(ROUNDUP(8*(G186/VLOOKUP(B186,Table2[],5,0)),0),"")</f>
        <v/>
      </c>
      <c r="N186" s="1" t="str">
        <f>IFERROR(ROUNDUP(8*(H186/VLOOKUP(B186,Table2[],5,0)),0),"")</f>
        <v/>
      </c>
    </row>
    <row r="187" spans="2:14" x14ac:dyDescent="0.25">
      <c r="B187" s="71"/>
      <c r="C187" s="74" t="str">
        <f>IFERROR(VLOOKUP(B187,Table2[],2,0),"")</f>
        <v/>
      </c>
      <c r="D187" s="77"/>
      <c r="I187" s="79" t="str">
        <f t="shared" si="2"/>
        <v/>
      </c>
      <c r="J187" s="84" t="str">
        <f>IFERROR(ROUNDUP(8*(I187/VLOOKUP(B187,Table2[],5,0)),0),"")</f>
        <v/>
      </c>
      <c r="K187" s="1" t="str">
        <f>IFERROR(ROUNDUP(8*(E187/VLOOKUP(B187,Table2[],5,0)),0),"")</f>
        <v/>
      </c>
      <c r="L187" s="1" t="str">
        <f>IFERROR(ROUNDUP(8*(F187/VLOOKUP(B187,Table2[],5,0)),0),"")</f>
        <v/>
      </c>
      <c r="M187" s="1" t="str">
        <f>IFERROR(ROUNDUP(8*(G187/VLOOKUP(B187,Table2[],5,0)),0),"")</f>
        <v/>
      </c>
      <c r="N187" s="1" t="str">
        <f>IFERROR(ROUNDUP(8*(H187/VLOOKUP(B187,Table2[],5,0)),0),"")</f>
        <v/>
      </c>
    </row>
    <row r="188" spans="2:14" x14ac:dyDescent="0.25">
      <c r="B188" s="71"/>
      <c r="C188" s="74" t="str">
        <f>IFERROR(VLOOKUP(B188,Table2[],2,0),"")</f>
        <v/>
      </c>
      <c r="D188" s="77"/>
      <c r="I188" s="79" t="str">
        <f t="shared" si="2"/>
        <v/>
      </c>
      <c r="J188" s="84" t="str">
        <f>IFERROR(ROUNDUP(8*(I188/VLOOKUP(B188,Table2[],5,0)),0),"")</f>
        <v/>
      </c>
      <c r="K188" s="1" t="str">
        <f>IFERROR(ROUNDUP(8*(E188/VLOOKUP(B188,Table2[],5,0)),0),"")</f>
        <v/>
      </c>
      <c r="L188" s="1" t="str">
        <f>IFERROR(ROUNDUP(8*(F188/VLOOKUP(B188,Table2[],5,0)),0),"")</f>
        <v/>
      </c>
      <c r="M188" s="1" t="str">
        <f>IFERROR(ROUNDUP(8*(G188/VLOOKUP(B188,Table2[],5,0)),0),"")</f>
        <v/>
      </c>
      <c r="N188" s="1" t="str">
        <f>IFERROR(ROUNDUP(8*(H188/VLOOKUP(B188,Table2[],5,0)),0),"")</f>
        <v/>
      </c>
    </row>
    <row r="189" spans="2:14" x14ac:dyDescent="0.25">
      <c r="B189" s="71"/>
      <c r="C189" s="74" t="str">
        <f>IFERROR(VLOOKUP(B189,Table2[],2,0),"")</f>
        <v/>
      </c>
      <c r="D189" s="77"/>
      <c r="I189" s="79" t="str">
        <f t="shared" si="2"/>
        <v/>
      </c>
      <c r="J189" s="84" t="str">
        <f>IFERROR(ROUNDUP(8*(I189/VLOOKUP(B189,Table2[],5,0)),0),"")</f>
        <v/>
      </c>
      <c r="K189" s="1" t="str">
        <f>IFERROR(ROUNDUP(8*(E189/VLOOKUP(B189,Table2[],5,0)),0),"")</f>
        <v/>
      </c>
      <c r="L189" s="1" t="str">
        <f>IFERROR(ROUNDUP(8*(F189/VLOOKUP(B189,Table2[],5,0)),0),"")</f>
        <v/>
      </c>
      <c r="M189" s="1" t="str">
        <f>IFERROR(ROUNDUP(8*(G189/VLOOKUP(B189,Table2[],5,0)),0),"")</f>
        <v/>
      </c>
      <c r="N189" s="1" t="str">
        <f>IFERROR(ROUNDUP(8*(H189/VLOOKUP(B189,Table2[],5,0)),0),"")</f>
        <v/>
      </c>
    </row>
    <row r="190" spans="2:14" x14ac:dyDescent="0.25">
      <c r="B190" s="71"/>
      <c r="C190" s="74" t="str">
        <f>IFERROR(VLOOKUP(B190,Table2[],2,0),"")</f>
        <v/>
      </c>
      <c r="D190" s="77"/>
      <c r="I190" s="79" t="str">
        <f t="shared" si="2"/>
        <v/>
      </c>
      <c r="J190" s="84" t="str">
        <f>IFERROR(ROUNDUP(8*(I190/VLOOKUP(B190,Table2[],5,0)),0),"")</f>
        <v/>
      </c>
      <c r="K190" s="1" t="str">
        <f>IFERROR(ROUNDUP(8*(E190/VLOOKUP(B190,Table2[],5,0)),0),"")</f>
        <v/>
      </c>
      <c r="L190" s="1" t="str">
        <f>IFERROR(ROUNDUP(8*(F190/VLOOKUP(B190,Table2[],5,0)),0),"")</f>
        <v/>
      </c>
      <c r="M190" s="1" t="str">
        <f>IFERROR(ROUNDUP(8*(G190/VLOOKUP(B190,Table2[],5,0)),0),"")</f>
        <v/>
      </c>
      <c r="N190" s="1" t="str">
        <f>IFERROR(ROUNDUP(8*(H190/VLOOKUP(B190,Table2[],5,0)),0),"")</f>
        <v/>
      </c>
    </row>
    <row r="191" spans="2:14" x14ac:dyDescent="0.25">
      <c r="B191" s="71"/>
      <c r="C191" s="74" t="str">
        <f>IFERROR(VLOOKUP(B191,Table2[],2,0),"")</f>
        <v/>
      </c>
      <c r="D191" s="77"/>
      <c r="I191" s="79" t="str">
        <f t="shared" si="2"/>
        <v/>
      </c>
      <c r="J191" s="84" t="str">
        <f>IFERROR(ROUNDUP(8*(I191/VLOOKUP(B191,Table2[],5,0)),0),"")</f>
        <v/>
      </c>
      <c r="K191" s="1" t="str">
        <f>IFERROR(ROUNDUP(8*(E191/VLOOKUP(B191,Table2[],5,0)),0),"")</f>
        <v/>
      </c>
      <c r="L191" s="1" t="str">
        <f>IFERROR(ROUNDUP(8*(F191/VLOOKUP(B191,Table2[],5,0)),0),"")</f>
        <v/>
      </c>
      <c r="M191" s="1" t="str">
        <f>IFERROR(ROUNDUP(8*(G191/VLOOKUP(B191,Table2[],5,0)),0),"")</f>
        <v/>
      </c>
      <c r="N191" s="1" t="str">
        <f>IFERROR(ROUNDUP(8*(H191/VLOOKUP(B191,Table2[],5,0)),0),"")</f>
        <v/>
      </c>
    </row>
    <row r="192" spans="2:14" x14ac:dyDescent="0.25">
      <c r="B192" s="71"/>
      <c r="C192" s="74" t="str">
        <f>IFERROR(VLOOKUP(B192,Table2[],2,0),"")</f>
        <v/>
      </c>
      <c r="D192" s="77"/>
      <c r="I192" s="79" t="str">
        <f t="shared" si="2"/>
        <v/>
      </c>
      <c r="J192" s="84" t="str">
        <f>IFERROR(ROUNDUP(8*(I192/VLOOKUP(B192,Table2[],5,0)),0),"")</f>
        <v/>
      </c>
      <c r="K192" s="1" t="str">
        <f>IFERROR(ROUNDUP(8*(E192/VLOOKUP(B192,Table2[],5,0)),0),"")</f>
        <v/>
      </c>
      <c r="L192" s="1" t="str">
        <f>IFERROR(ROUNDUP(8*(F192/VLOOKUP(B192,Table2[],5,0)),0),"")</f>
        <v/>
      </c>
      <c r="M192" s="1" t="str">
        <f>IFERROR(ROUNDUP(8*(G192/VLOOKUP(B192,Table2[],5,0)),0),"")</f>
        <v/>
      </c>
      <c r="N192" s="1" t="str">
        <f>IFERROR(ROUNDUP(8*(H192/VLOOKUP(B192,Table2[],5,0)),0),"")</f>
        <v/>
      </c>
    </row>
    <row r="193" spans="2:14" x14ac:dyDescent="0.25">
      <c r="B193" s="71"/>
      <c r="C193" s="74" t="str">
        <f>IFERROR(VLOOKUP(B193,Table2[],2,0),"")</f>
        <v/>
      </c>
      <c r="D193" s="77"/>
      <c r="I193" s="79" t="str">
        <f t="shared" si="2"/>
        <v/>
      </c>
      <c r="J193" s="84" t="str">
        <f>IFERROR(ROUNDUP(8*(I193/VLOOKUP(B193,Table2[],5,0)),0),"")</f>
        <v/>
      </c>
      <c r="K193" s="1" t="str">
        <f>IFERROR(ROUNDUP(8*(E193/VLOOKUP(B193,Table2[],5,0)),0),"")</f>
        <v/>
      </c>
      <c r="L193" s="1" t="str">
        <f>IFERROR(ROUNDUP(8*(F193/VLOOKUP(B193,Table2[],5,0)),0),"")</f>
        <v/>
      </c>
      <c r="M193" s="1" t="str">
        <f>IFERROR(ROUNDUP(8*(G193/VLOOKUP(B193,Table2[],5,0)),0),"")</f>
        <v/>
      </c>
      <c r="N193" s="1" t="str">
        <f>IFERROR(ROUNDUP(8*(H193/VLOOKUP(B193,Table2[],5,0)),0),"")</f>
        <v/>
      </c>
    </row>
    <row r="194" spans="2:14" x14ac:dyDescent="0.25">
      <c r="B194" s="71"/>
      <c r="C194" s="74" t="str">
        <f>IFERROR(VLOOKUP(B194,Table2[],2,0),"")</f>
        <v/>
      </c>
      <c r="D194" s="77"/>
      <c r="I194" s="79" t="str">
        <f t="shared" si="2"/>
        <v/>
      </c>
      <c r="J194" s="84" t="str">
        <f>IFERROR(ROUNDUP(8*(I194/VLOOKUP(B194,Table2[],5,0)),0),"")</f>
        <v/>
      </c>
      <c r="K194" s="1" t="str">
        <f>IFERROR(ROUNDUP(8*(E194/VLOOKUP(B194,Table2[],5,0)),0),"")</f>
        <v/>
      </c>
      <c r="L194" s="1" t="str">
        <f>IFERROR(ROUNDUP(8*(F194/VLOOKUP(B194,Table2[],5,0)),0),"")</f>
        <v/>
      </c>
      <c r="M194" s="1" t="str">
        <f>IFERROR(ROUNDUP(8*(G194/VLOOKUP(B194,Table2[],5,0)),0),"")</f>
        <v/>
      </c>
      <c r="N194" s="1" t="str">
        <f>IFERROR(ROUNDUP(8*(H194/VLOOKUP(B194,Table2[],5,0)),0),"")</f>
        <v/>
      </c>
    </row>
    <row r="195" spans="2:14" x14ac:dyDescent="0.25">
      <c r="B195" s="71"/>
      <c r="C195" s="74" t="str">
        <f>IFERROR(VLOOKUP(B195,Table2[],2,0),"")</f>
        <v/>
      </c>
      <c r="D195" s="77"/>
      <c r="I195" s="79" t="str">
        <f t="shared" si="2"/>
        <v/>
      </c>
      <c r="J195" s="84" t="str">
        <f>IFERROR(ROUNDUP(8*(I195/VLOOKUP(B195,Table2[],5,0)),0),"")</f>
        <v/>
      </c>
      <c r="K195" s="1" t="str">
        <f>IFERROR(ROUNDUP(8*(E195/VLOOKUP(B195,Table2[],5,0)),0),"")</f>
        <v/>
      </c>
      <c r="L195" s="1" t="str">
        <f>IFERROR(ROUNDUP(8*(F195/VLOOKUP(B195,Table2[],5,0)),0),"")</f>
        <v/>
      </c>
      <c r="M195" s="1" t="str">
        <f>IFERROR(ROUNDUP(8*(G195/VLOOKUP(B195,Table2[],5,0)),0),"")</f>
        <v/>
      </c>
      <c r="N195" s="1" t="str">
        <f>IFERROR(ROUNDUP(8*(H195/VLOOKUP(B195,Table2[],5,0)),0),"")</f>
        <v/>
      </c>
    </row>
    <row r="196" spans="2:14" x14ac:dyDescent="0.25">
      <c r="B196" s="71"/>
      <c r="C196" s="74" t="str">
        <f>IFERROR(VLOOKUP(B196,Table2[],2,0),"")</f>
        <v/>
      </c>
      <c r="D196" s="77"/>
      <c r="I196" s="79" t="str">
        <f t="shared" si="2"/>
        <v/>
      </c>
      <c r="J196" s="84" t="str">
        <f>IFERROR(ROUNDUP(8*(I196/VLOOKUP(B196,Table2[],5,0)),0),"")</f>
        <v/>
      </c>
      <c r="K196" s="1" t="str">
        <f>IFERROR(ROUNDUP(8*(E196/VLOOKUP(B196,Table2[],5,0)),0),"")</f>
        <v/>
      </c>
      <c r="L196" s="1" t="str">
        <f>IFERROR(ROUNDUP(8*(F196/VLOOKUP(B196,Table2[],5,0)),0),"")</f>
        <v/>
      </c>
      <c r="M196" s="1" t="str">
        <f>IFERROR(ROUNDUP(8*(G196/VLOOKUP(B196,Table2[],5,0)),0),"")</f>
        <v/>
      </c>
      <c r="N196" s="1" t="str">
        <f>IFERROR(ROUNDUP(8*(H196/VLOOKUP(B196,Table2[],5,0)),0),"")</f>
        <v/>
      </c>
    </row>
    <row r="197" spans="2:14" x14ac:dyDescent="0.25">
      <c r="B197" s="71"/>
      <c r="C197" s="74" t="str">
        <f>IFERROR(VLOOKUP(B197,Table2[],2,0),"")</f>
        <v/>
      </c>
      <c r="D197" s="77"/>
      <c r="I197" s="79" t="str">
        <f t="shared" si="2"/>
        <v/>
      </c>
      <c r="J197" s="84" t="str">
        <f>IFERROR(ROUNDUP(8*(I197/VLOOKUP(B197,Table2[],5,0)),0),"")</f>
        <v/>
      </c>
      <c r="K197" s="1" t="str">
        <f>IFERROR(ROUNDUP(8*(E197/VLOOKUP(B197,Table2[],5,0)),0),"")</f>
        <v/>
      </c>
      <c r="L197" s="1" t="str">
        <f>IFERROR(ROUNDUP(8*(F197/VLOOKUP(B197,Table2[],5,0)),0),"")</f>
        <v/>
      </c>
      <c r="M197" s="1" t="str">
        <f>IFERROR(ROUNDUP(8*(G197/VLOOKUP(B197,Table2[],5,0)),0),"")</f>
        <v/>
      </c>
      <c r="N197" s="1" t="str">
        <f>IFERROR(ROUNDUP(8*(H197/VLOOKUP(B197,Table2[],5,0)),0),"")</f>
        <v/>
      </c>
    </row>
    <row r="198" spans="2:14" x14ac:dyDescent="0.25">
      <c r="B198" s="71"/>
      <c r="C198" s="74" t="str">
        <f>IFERROR(VLOOKUP(B198,Table2[],2,0),"")</f>
        <v/>
      </c>
      <c r="D198" s="77"/>
      <c r="I198" s="79" t="str">
        <f t="shared" si="2"/>
        <v/>
      </c>
      <c r="J198" s="84" t="str">
        <f>IFERROR(ROUNDUP(8*(I198/VLOOKUP(B198,Table2[],5,0)),0),"")</f>
        <v/>
      </c>
      <c r="K198" s="1" t="str">
        <f>IFERROR(ROUNDUP(8*(E198/VLOOKUP(B198,Table2[],5,0)),0),"")</f>
        <v/>
      </c>
      <c r="L198" s="1" t="str">
        <f>IFERROR(ROUNDUP(8*(F198/VLOOKUP(B198,Table2[],5,0)),0),"")</f>
        <v/>
      </c>
      <c r="M198" s="1" t="str">
        <f>IFERROR(ROUNDUP(8*(G198/VLOOKUP(B198,Table2[],5,0)),0),"")</f>
        <v/>
      </c>
      <c r="N198" s="1" t="str">
        <f>IFERROR(ROUNDUP(8*(H198/VLOOKUP(B198,Table2[],5,0)),0),"")</f>
        <v/>
      </c>
    </row>
    <row r="199" spans="2:14" x14ac:dyDescent="0.25">
      <c r="B199" s="71"/>
      <c r="C199" s="74" t="str">
        <f>IFERROR(VLOOKUP(B199,Table2[],2,0),"")</f>
        <v/>
      </c>
      <c r="D199" s="77"/>
      <c r="I199" s="79" t="str">
        <f t="shared" ref="I199:I262" si="3">IF(B199="","",SUM(E199:H199))</f>
        <v/>
      </c>
      <c r="J199" s="84" t="str">
        <f>IFERROR(ROUNDUP(8*(I199/VLOOKUP(B199,Table2[],5,0)),0),"")</f>
        <v/>
      </c>
      <c r="K199" s="1" t="str">
        <f>IFERROR(ROUNDUP(8*(E199/VLOOKUP(B199,Table2[],5,0)),0),"")</f>
        <v/>
      </c>
      <c r="L199" s="1" t="str">
        <f>IFERROR(ROUNDUP(8*(F199/VLOOKUP(B199,Table2[],5,0)),0),"")</f>
        <v/>
      </c>
      <c r="M199" s="1" t="str">
        <f>IFERROR(ROUNDUP(8*(G199/VLOOKUP(B199,Table2[],5,0)),0),"")</f>
        <v/>
      </c>
      <c r="N199" s="1" t="str">
        <f>IFERROR(ROUNDUP(8*(H199/VLOOKUP(B199,Table2[],5,0)),0),"")</f>
        <v/>
      </c>
    </row>
    <row r="200" spans="2:14" x14ac:dyDescent="0.25">
      <c r="B200" s="71"/>
      <c r="C200" s="74" t="str">
        <f>IFERROR(VLOOKUP(B200,Table2[],2,0),"")</f>
        <v/>
      </c>
      <c r="D200" s="77"/>
      <c r="I200" s="79" t="str">
        <f t="shared" si="3"/>
        <v/>
      </c>
      <c r="J200" s="84" t="str">
        <f>IFERROR(ROUNDUP(8*(I200/VLOOKUP(B200,Table2[],5,0)),0),"")</f>
        <v/>
      </c>
      <c r="K200" s="1" t="str">
        <f>IFERROR(ROUNDUP(8*(E200/VLOOKUP(B200,Table2[],5,0)),0),"")</f>
        <v/>
      </c>
      <c r="L200" s="1" t="str">
        <f>IFERROR(ROUNDUP(8*(F200/VLOOKUP(B200,Table2[],5,0)),0),"")</f>
        <v/>
      </c>
      <c r="M200" s="1" t="str">
        <f>IFERROR(ROUNDUP(8*(G200/VLOOKUP(B200,Table2[],5,0)),0),"")</f>
        <v/>
      </c>
      <c r="N200" s="1" t="str">
        <f>IFERROR(ROUNDUP(8*(H200/VLOOKUP(B200,Table2[],5,0)),0),"")</f>
        <v/>
      </c>
    </row>
    <row r="201" spans="2:14" x14ac:dyDescent="0.25">
      <c r="B201" s="71"/>
      <c r="C201" s="74" t="str">
        <f>IFERROR(VLOOKUP(B201,Table2[],2,0),"")</f>
        <v/>
      </c>
      <c r="D201" s="77"/>
      <c r="I201" s="79" t="str">
        <f t="shared" si="3"/>
        <v/>
      </c>
      <c r="J201" s="84" t="str">
        <f>IFERROR(ROUNDUP(8*(I201/VLOOKUP(B201,Table2[],5,0)),0),"")</f>
        <v/>
      </c>
      <c r="K201" s="1" t="str">
        <f>IFERROR(ROUNDUP(8*(E201/VLOOKUP(B201,Table2[],5,0)),0),"")</f>
        <v/>
      </c>
      <c r="L201" s="1" t="str">
        <f>IFERROR(ROUNDUP(8*(F201/VLOOKUP(B201,Table2[],5,0)),0),"")</f>
        <v/>
      </c>
      <c r="M201" s="1" t="str">
        <f>IFERROR(ROUNDUP(8*(G201/VLOOKUP(B201,Table2[],5,0)),0),"")</f>
        <v/>
      </c>
      <c r="N201" s="1" t="str">
        <f>IFERROR(ROUNDUP(8*(H201/VLOOKUP(B201,Table2[],5,0)),0),"")</f>
        <v/>
      </c>
    </row>
    <row r="202" spans="2:14" x14ac:dyDescent="0.25">
      <c r="B202" s="71"/>
      <c r="C202" s="74" t="str">
        <f>IFERROR(VLOOKUP(B202,Table2[],2,0),"")</f>
        <v/>
      </c>
      <c r="D202" s="77"/>
      <c r="I202" s="79" t="str">
        <f t="shared" si="3"/>
        <v/>
      </c>
      <c r="J202" s="84" t="str">
        <f>IFERROR(ROUNDUP(8*(I202/VLOOKUP(B202,Table2[],5,0)),0),"")</f>
        <v/>
      </c>
      <c r="K202" s="1" t="str">
        <f>IFERROR(ROUNDUP(8*(E202/VLOOKUP(B202,Table2[],5,0)),0),"")</f>
        <v/>
      </c>
      <c r="L202" s="1" t="str">
        <f>IFERROR(ROUNDUP(8*(F202/VLOOKUP(B202,Table2[],5,0)),0),"")</f>
        <v/>
      </c>
      <c r="M202" s="1" t="str">
        <f>IFERROR(ROUNDUP(8*(G202/VLOOKUP(B202,Table2[],5,0)),0),"")</f>
        <v/>
      </c>
      <c r="N202" s="1" t="str">
        <f>IFERROR(ROUNDUP(8*(H202/VLOOKUP(B202,Table2[],5,0)),0),"")</f>
        <v/>
      </c>
    </row>
    <row r="203" spans="2:14" x14ac:dyDescent="0.25">
      <c r="B203" s="71"/>
      <c r="C203" s="74" t="str">
        <f>IFERROR(VLOOKUP(B203,Table2[],2,0),"")</f>
        <v/>
      </c>
      <c r="D203" s="77"/>
      <c r="I203" s="79" t="str">
        <f t="shared" si="3"/>
        <v/>
      </c>
      <c r="J203" s="84" t="str">
        <f>IFERROR(ROUNDUP(8*(I203/VLOOKUP(B203,Table2[],5,0)),0),"")</f>
        <v/>
      </c>
      <c r="K203" s="1" t="str">
        <f>IFERROR(ROUNDUP(8*(E203/VLOOKUP(B203,Table2[],5,0)),0),"")</f>
        <v/>
      </c>
      <c r="L203" s="1" t="str">
        <f>IFERROR(ROUNDUP(8*(F203/VLOOKUP(B203,Table2[],5,0)),0),"")</f>
        <v/>
      </c>
      <c r="M203" s="1" t="str">
        <f>IFERROR(ROUNDUP(8*(G203/VLOOKUP(B203,Table2[],5,0)),0),"")</f>
        <v/>
      </c>
      <c r="N203" s="1" t="str">
        <f>IFERROR(ROUNDUP(8*(H203/VLOOKUP(B203,Table2[],5,0)),0),"")</f>
        <v/>
      </c>
    </row>
    <row r="204" spans="2:14" x14ac:dyDescent="0.25">
      <c r="B204" s="71"/>
      <c r="C204" s="74" t="str">
        <f>IFERROR(VLOOKUP(B204,Table2[],2,0),"")</f>
        <v/>
      </c>
      <c r="D204" s="77"/>
      <c r="I204" s="79" t="str">
        <f t="shared" si="3"/>
        <v/>
      </c>
      <c r="J204" s="84" t="str">
        <f>IFERROR(ROUNDUP(8*(I204/VLOOKUP(B204,Table2[],5,0)),0),"")</f>
        <v/>
      </c>
      <c r="K204" s="1" t="str">
        <f>IFERROR(ROUNDUP(8*(E204/VLOOKUP(B204,Table2[],5,0)),0),"")</f>
        <v/>
      </c>
      <c r="L204" s="1" t="str">
        <f>IFERROR(ROUNDUP(8*(F204/VLOOKUP(B204,Table2[],5,0)),0),"")</f>
        <v/>
      </c>
      <c r="M204" s="1" t="str">
        <f>IFERROR(ROUNDUP(8*(G204/VLOOKUP(B204,Table2[],5,0)),0),"")</f>
        <v/>
      </c>
      <c r="N204" s="1" t="str">
        <f>IFERROR(ROUNDUP(8*(H204/VLOOKUP(B204,Table2[],5,0)),0),"")</f>
        <v/>
      </c>
    </row>
    <row r="205" spans="2:14" x14ac:dyDescent="0.25">
      <c r="B205" s="71"/>
      <c r="C205" s="74" t="str">
        <f>IFERROR(VLOOKUP(B205,Table2[],2,0),"")</f>
        <v/>
      </c>
      <c r="D205" s="77"/>
      <c r="I205" s="79" t="str">
        <f t="shared" si="3"/>
        <v/>
      </c>
      <c r="J205" s="84" t="str">
        <f>IFERROR(ROUNDUP(8*(I205/VLOOKUP(B205,Table2[],5,0)),0),"")</f>
        <v/>
      </c>
      <c r="K205" s="1" t="str">
        <f>IFERROR(ROUNDUP(8*(E205/VLOOKUP(B205,Table2[],5,0)),0),"")</f>
        <v/>
      </c>
      <c r="L205" s="1" t="str">
        <f>IFERROR(ROUNDUP(8*(F205/VLOOKUP(B205,Table2[],5,0)),0),"")</f>
        <v/>
      </c>
      <c r="M205" s="1" t="str">
        <f>IFERROR(ROUNDUP(8*(G205/VLOOKUP(B205,Table2[],5,0)),0),"")</f>
        <v/>
      </c>
      <c r="N205" s="1" t="str">
        <f>IFERROR(ROUNDUP(8*(H205/VLOOKUP(B205,Table2[],5,0)),0),"")</f>
        <v/>
      </c>
    </row>
    <row r="206" spans="2:14" x14ac:dyDescent="0.25">
      <c r="B206" s="71"/>
      <c r="C206" s="74" t="str">
        <f>IFERROR(VLOOKUP(B206,Table2[],2,0),"")</f>
        <v/>
      </c>
      <c r="D206" s="77"/>
      <c r="I206" s="79" t="str">
        <f t="shared" si="3"/>
        <v/>
      </c>
      <c r="J206" s="84" t="str">
        <f>IFERROR(ROUNDUP(8*(I206/VLOOKUP(B206,Table2[],5,0)),0),"")</f>
        <v/>
      </c>
      <c r="K206" s="1" t="str">
        <f>IFERROR(ROUNDUP(8*(E206/VLOOKUP(B206,Table2[],5,0)),0),"")</f>
        <v/>
      </c>
      <c r="L206" s="1" t="str">
        <f>IFERROR(ROUNDUP(8*(F206/VLOOKUP(B206,Table2[],5,0)),0),"")</f>
        <v/>
      </c>
      <c r="M206" s="1" t="str">
        <f>IFERROR(ROUNDUP(8*(G206/VLOOKUP(B206,Table2[],5,0)),0),"")</f>
        <v/>
      </c>
      <c r="N206" s="1" t="str">
        <f>IFERROR(ROUNDUP(8*(H206/VLOOKUP(B206,Table2[],5,0)),0),"")</f>
        <v/>
      </c>
    </row>
    <row r="207" spans="2:14" x14ac:dyDescent="0.25">
      <c r="B207" s="71"/>
      <c r="C207" s="74" t="str">
        <f>IFERROR(VLOOKUP(B207,Table2[],2,0),"")</f>
        <v/>
      </c>
      <c r="D207" s="77"/>
      <c r="I207" s="79" t="str">
        <f t="shared" si="3"/>
        <v/>
      </c>
      <c r="J207" s="84" t="str">
        <f>IFERROR(ROUNDUP(8*(I207/VLOOKUP(B207,Table2[],5,0)),0),"")</f>
        <v/>
      </c>
      <c r="K207" s="1" t="str">
        <f>IFERROR(ROUNDUP(8*(E207/VLOOKUP(B207,Table2[],5,0)),0),"")</f>
        <v/>
      </c>
      <c r="L207" s="1" t="str">
        <f>IFERROR(ROUNDUP(8*(F207/VLOOKUP(B207,Table2[],5,0)),0),"")</f>
        <v/>
      </c>
      <c r="M207" s="1" t="str">
        <f>IFERROR(ROUNDUP(8*(G207/VLOOKUP(B207,Table2[],5,0)),0),"")</f>
        <v/>
      </c>
      <c r="N207" s="1" t="str">
        <f>IFERROR(ROUNDUP(8*(H207/VLOOKUP(B207,Table2[],5,0)),0),"")</f>
        <v/>
      </c>
    </row>
    <row r="208" spans="2:14" x14ac:dyDescent="0.25">
      <c r="B208" s="71"/>
      <c r="C208" s="74" t="str">
        <f>IFERROR(VLOOKUP(B208,Table2[],2,0),"")</f>
        <v/>
      </c>
      <c r="D208" s="77"/>
      <c r="I208" s="79" t="str">
        <f t="shared" si="3"/>
        <v/>
      </c>
      <c r="J208" s="84" t="str">
        <f>IFERROR(ROUNDUP(8*(I208/VLOOKUP(B208,Table2[],5,0)),0),"")</f>
        <v/>
      </c>
      <c r="K208" s="1" t="str">
        <f>IFERROR(ROUNDUP(8*(E208/VLOOKUP(B208,Table2[],5,0)),0),"")</f>
        <v/>
      </c>
      <c r="L208" s="1" t="str">
        <f>IFERROR(ROUNDUP(8*(F208/VLOOKUP(B208,Table2[],5,0)),0),"")</f>
        <v/>
      </c>
      <c r="M208" s="1" t="str">
        <f>IFERROR(ROUNDUP(8*(G208/VLOOKUP(B208,Table2[],5,0)),0),"")</f>
        <v/>
      </c>
      <c r="N208" s="1" t="str">
        <f>IFERROR(ROUNDUP(8*(H208/VLOOKUP(B208,Table2[],5,0)),0),"")</f>
        <v/>
      </c>
    </row>
    <row r="209" spans="2:14" x14ac:dyDescent="0.25">
      <c r="B209" s="71"/>
      <c r="C209" s="74" t="str">
        <f>IFERROR(VLOOKUP(B209,Table2[],2,0),"")</f>
        <v/>
      </c>
      <c r="D209" s="77"/>
      <c r="I209" s="79" t="str">
        <f t="shared" si="3"/>
        <v/>
      </c>
      <c r="J209" s="84" t="str">
        <f>IFERROR(ROUNDUP(8*(I209/VLOOKUP(B209,Table2[],5,0)),0),"")</f>
        <v/>
      </c>
      <c r="K209" s="1" t="str">
        <f>IFERROR(ROUNDUP(8*(E209/VLOOKUP(B209,Table2[],5,0)),0),"")</f>
        <v/>
      </c>
      <c r="L209" s="1" t="str">
        <f>IFERROR(ROUNDUP(8*(F209/VLOOKUP(B209,Table2[],5,0)),0),"")</f>
        <v/>
      </c>
      <c r="M209" s="1" t="str">
        <f>IFERROR(ROUNDUP(8*(G209/VLOOKUP(B209,Table2[],5,0)),0),"")</f>
        <v/>
      </c>
      <c r="N209" s="1" t="str">
        <f>IFERROR(ROUNDUP(8*(H209/VLOOKUP(B209,Table2[],5,0)),0),"")</f>
        <v/>
      </c>
    </row>
    <row r="210" spans="2:14" x14ac:dyDescent="0.25">
      <c r="B210" s="71"/>
      <c r="C210" s="74" t="str">
        <f>IFERROR(VLOOKUP(B210,Table2[],2,0),"")</f>
        <v/>
      </c>
      <c r="D210" s="77"/>
      <c r="I210" s="79" t="str">
        <f t="shared" si="3"/>
        <v/>
      </c>
      <c r="J210" s="84" t="str">
        <f>IFERROR(ROUNDUP(8*(I210/VLOOKUP(B210,Table2[],5,0)),0),"")</f>
        <v/>
      </c>
      <c r="K210" s="1" t="str">
        <f>IFERROR(ROUNDUP(8*(E210/VLOOKUP(B210,Table2[],5,0)),0),"")</f>
        <v/>
      </c>
      <c r="L210" s="1" t="str">
        <f>IFERROR(ROUNDUP(8*(F210/VLOOKUP(B210,Table2[],5,0)),0),"")</f>
        <v/>
      </c>
      <c r="M210" s="1" t="str">
        <f>IFERROR(ROUNDUP(8*(G210/VLOOKUP(B210,Table2[],5,0)),0),"")</f>
        <v/>
      </c>
      <c r="N210" s="1" t="str">
        <f>IFERROR(ROUNDUP(8*(H210/VLOOKUP(B210,Table2[],5,0)),0),"")</f>
        <v/>
      </c>
    </row>
    <row r="211" spans="2:14" x14ac:dyDescent="0.25">
      <c r="B211" s="71"/>
      <c r="C211" s="74" t="str">
        <f>IFERROR(VLOOKUP(B211,Table2[],2,0),"")</f>
        <v/>
      </c>
      <c r="D211" s="77"/>
      <c r="I211" s="79" t="str">
        <f t="shared" si="3"/>
        <v/>
      </c>
      <c r="J211" s="84" t="str">
        <f>IFERROR(ROUNDUP(8*(I211/VLOOKUP(B211,Table2[],5,0)),0),"")</f>
        <v/>
      </c>
      <c r="K211" s="1" t="str">
        <f>IFERROR(ROUNDUP(8*(E211/VLOOKUP(B211,Table2[],5,0)),0),"")</f>
        <v/>
      </c>
      <c r="L211" s="1" t="str">
        <f>IFERROR(ROUNDUP(8*(F211/VLOOKUP(B211,Table2[],5,0)),0),"")</f>
        <v/>
      </c>
      <c r="M211" s="1" t="str">
        <f>IFERROR(ROUNDUP(8*(G211/VLOOKUP(B211,Table2[],5,0)),0),"")</f>
        <v/>
      </c>
      <c r="N211" s="1" t="str">
        <f>IFERROR(ROUNDUP(8*(H211/VLOOKUP(B211,Table2[],5,0)),0),"")</f>
        <v/>
      </c>
    </row>
    <row r="212" spans="2:14" x14ac:dyDescent="0.25">
      <c r="B212" s="71"/>
      <c r="C212" s="74" t="str">
        <f>IFERROR(VLOOKUP(B212,Table2[],2,0),"")</f>
        <v/>
      </c>
      <c r="D212" s="77"/>
      <c r="I212" s="79" t="str">
        <f t="shared" si="3"/>
        <v/>
      </c>
      <c r="J212" s="84" t="str">
        <f>IFERROR(ROUNDUP(8*(I212/VLOOKUP(B212,Table2[],5,0)),0),"")</f>
        <v/>
      </c>
      <c r="K212" s="1" t="str">
        <f>IFERROR(ROUNDUP(8*(E212/VLOOKUP(B212,Table2[],5,0)),0),"")</f>
        <v/>
      </c>
      <c r="L212" s="1" t="str">
        <f>IFERROR(ROUNDUP(8*(F212/VLOOKUP(B212,Table2[],5,0)),0),"")</f>
        <v/>
      </c>
      <c r="M212" s="1" t="str">
        <f>IFERROR(ROUNDUP(8*(G212/VLOOKUP(B212,Table2[],5,0)),0),"")</f>
        <v/>
      </c>
      <c r="N212" s="1" t="str">
        <f>IFERROR(ROUNDUP(8*(H212/VLOOKUP(B212,Table2[],5,0)),0),"")</f>
        <v/>
      </c>
    </row>
    <row r="213" spans="2:14" x14ac:dyDescent="0.25">
      <c r="B213" s="71"/>
      <c r="C213" s="74" t="str">
        <f>IFERROR(VLOOKUP(B213,Table2[],2,0),"")</f>
        <v/>
      </c>
      <c r="D213" s="77"/>
      <c r="I213" s="79" t="str">
        <f t="shared" si="3"/>
        <v/>
      </c>
      <c r="J213" s="84" t="str">
        <f>IFERROR(ROUNDUP(8*(I213/VLOOKUP(B213,Table2[],5,0)),0),"")</f>
        <v/>
      </c>
      <c r="K213" s="1" t="str">
        <f>IFERROR(ROUNDUP(8*(E213/VLOOKUP(B213,Table2[],5,0)),0),"")</f>
        <v/>
      </c>
      <c r="L213" s="1" t="str">
        <f>IFERROR(ROUNDUP(8*(F213/VLOOKUP(B213,Table2[],5,0)),0),"")</f>
        <v/>
      </c>
      <c r="M213" s="1" t="str">
        <f>IFERROR(ROUNDUP(8*(G213/VLOOKUP(B213,Table2[],5,0)),0),"")</f>
        <v/>
      </c>
      <c r="N213" s="1" t="str">
        <f>IFERROR(ROUNDUP(8*(H213/VLOOKUP(B213,Table2[],5,0)),0),"")</f>
        <v/>
      </c>
    </row>
    <row r="214" spans="2:14" x14ac:dyDescent="0.25">
      <c r="B214" s="71"/>
      <c r="C214" s="74" t="str">
        <f>IFERROR(VLOOKUP(B214,Table2[],2,0),"")</f>
        <v/>
      </c>
      <c r="D214" s="77"/>
      <c r="I214" s="79" t="str">
        <f t="shared" si="3"/>
        <v/>
      </c>
      <c r="J214" s="84" t="str">
        <f>IFERROR(ROUNDUP(8*(I214/VLOOKUP(B214,Table2[],5,0)),0),"")</f>
        <v/>
      </c>
      <c r="K214" s="1" t="str">
        <f>IFERROR(ROUNDUP(8*(E214/VLOOKUP(B214,Table2[],5,0)),0),"")</f>
        <v/>
      </c>
      <c r="L214" s="1" t="str">
        <f>IFERROR(ROUNDUP(8*(F214/VLOOKUP(B214,Table2[],5,0)),0),"")</f>
        <v/>
      </c>
      <c r="M214" s="1" t="str">
        <f>IFERROR(ROUNDUP(8*(G214/VLOOKUP(B214,Table2[],5,0)),0),"")</f>
        <v/>
      </c>
      <c r="N214" s="1" t="str">
        <f>IFERROR(ROUNDUP(8*(H214/VLOOKUP(B214,Table2[],5,0)),0),"")</f>
        <v/>
      </c>
    </row>
    <row r="215" spans="2:14" x14ac:dyDescent="0.25">
      <c r="B215" s="71"/>
      <c r="C215" s="74" t="str">
        <f>IFERROR(VLOOKUP(B215,Table2[],2,0),"")</f>
        <v/>
      </c>
      <c r="D215" s="77"/>
      <c r="I215" s="79" t="str">
        <f t="shared" si="3"/>
        <v/>
      </c>
      <c r="J215" s="84" t="str">
        <f>IFERROR(ROUNDUP(8*(I215/VLOOKUP(B215,Table2[],5,0)),0),"")</f>
        <v/>
      </c>
      <c r="K215" s="1" t="str">
        <f>IFERROR(ROUNDUP(8*(E215/VLOOKUP(B215,Table2[],5,0)),0),"")</f>
        <v/>
      </c>
      <c r="L215" s="1" t="str">
        <f>IFERROR(ROUNDUP(8*(F215/VLOOKUP(B215,Table2[],5,0)),0),"")</f>
        <v/>
      </c>
      <c r="M215" s="1" t="str">
        <f>IFERROR(ROUNDUP(8*(G215/VLOOKUP(B215,Table2[],5,0)),0),"")</f>
        <v/>
      </c>
      <c r="N215" s="1" t="str">
        <f>IFERROR(ROUNDUP(8*(H215/VLOOKUP(B215,Table2[],5,0)),0),"")</f>
        <v/>
      </c>
    </row>
    <row r="216" spans="2:14" x14ac:dyDescent="0.25">
      <c r="B216" s="71"/>
      <c r="C216" s="74" t="str">
        <f>IFERROR(VLOOKUP(B216,Table2[],2,0),"")</f>
        <v/>
      </c>
      <c r="D216" s="77"/>
      <c r="I216" s="79" t="str">
        <f t="shared" si="3"/>
        <v/>
      </c>
      <c r="J216" s="84" t="str">
        <f>IFERROR(ROUNDUP(8*(I216/VLOOKUP(B216,Table2[],5,0)),0),"")</f>
        <v/>
      </c>
      <c r="K216" s="1" t="str">
        <f>IFERROR(ROUNDUP(8*(E216/VLOOKUP(B216,Table2[],5,0)),0),"")</f>
        <v/>
      </c>
      <c r="L216" s="1" t="str">
        <f>IFERROR(ROUNDUP(8*(F216/VLOOKUP(B216,Table2[],5,0)),0),"")</f>
        <v/>
      </c>
      <c r="M216" s="1" t="str">
        <f>IFERROR(ROUNDUP(8*(G216/VLOOKUP(B216,Table2[],5,0)),0),"")</f>
        <v/>
      </c>
      <c r="N216" s="1" t="str">
        <f>IFERROR(ROUNDUP(8*(H216/VLOOKUP(B216,Table2[],5,0)),0),"")</f>
        <v/>
      </c>
    </row>
    <row r="217" spans="2:14" x14ac:dyDescent="0.25">
      <c r="B217" s="71"/>
      <c r="C217" s="74" t="str">
        <f>IFERROR(VLOOKUP(B217,Table2[],2,0),"")</f>
        <v/>
      </c>
      <c r="D217" s="77"/>
      <c r="I217" s="79" t="str">
        <f t="shared" si="3"/>
        <v/>
      </c>
      <c r="J217" s="84" t="str">
        <f>IFERROR(ROUNDUP(8*(I217/VLOOKUP(B217,Table2[],5,0)),0),"")</f>
        <v/>
      </c>
      <c r="K217" s="1" t="str">
        <f>IFERROR(ROUNDUP(8*(E217/VLOOKUP(B217,Table2[],5,0)),0),"")</f>
        <v/>
      </c>
      <c r="L217" s="1" t="str">
        <f>IFERROR(ROUNDUP(8*(F217/VLOOKUP(B217,Table2[],5,0)),0),"")</f>
        <v/>
      </c>
      <c r="M217" s="1" t="str">
        <f>IFERROR(ROUNDUP(8*(G217/VLOOKUP(B217,Table2[],5,0)),0),"")</f>
        <v/>
      </c>
      <c r="N217" s="1" t="str">
        <f>IFERROR(ROUNDUP(8*(H217/VLOOKUP(B217,Table2[],5,0)),0),"")</f>
        <v/>
      </c>
    </row>
    <row r="218" spans="2:14" x14ac:dyDescent="0.25">
      <c r="B218" s="71"/>
      <c r="C218" s="74" t="str">
        <f>IFERROR(VLOOKUP(B218,Table2[],2,0),"")</f>
        <v/>
      </c>
      <c r="D218" s="77"/>
      <c r="I218" s="79" t="str">
        <f t="shared" si="3"/>
        <v/>
      </c>
      <c r="J218" s="84" t="str">
        <f>IFERROR(ROUNDUP(8*(I218/VLOOKUP(B218,Table2[],5,0)),0),"")</f>
        <v/>
      </c>
      <c r="K218" s="1" t="str">
        <f>IFERROR(ROUNDUP(8*(E218/VLOOKUP(B218,Table2[],5,0)),0),"")</f>
        <v/>
      </c>
      <c r="L218" s="1" t="str">
        <f>IFERROR(ROUNDUP(8*(F218/VLOOKUP(B218,Table2[],5,0)),0),"")</f>
        <v/>
      </c>
      <c r="M218" s="1" t="str">
        <f>IFERROR(ROUNDUP(8*(G218/VLOOKUP(B218,Table2[],5,0)),0),"")</f>
        <v/>
      </c>
      <c r="N218" s="1" t="str">
        <f>IFERROR(ROUNDUP(8*(H218/VLOOKUP(B218,Table2[],5,0)),0),"")</f>
        <v/>
      </c>
    </row>
    <row r="219" spans="2:14" x14ac:dyDescent="0.25">
      <c r="B219" s="71"/>
      <c r="C219" s="74" t="str">
        <f>IFERROR(VLOOKUP(B219,Table2[],2,0),"")</f>
        <v/>
      </c>
      <c r="D219" s="77"/>
      <c r="I219" s="79" t="str">
        <f t="shared" si="3"/>
        <v/>
      </c>
      <c r="J219" s="84" t="str">
        <f>IFERROR(ROUNDUP(8*(I219/VLOOKUP(B219,Table2[],5,0)),0),"")</f>
        <v/>
      </c>
      <c r="K219" s="1" t="str">
        <f>IFERROR(ROUNDUP(8*(E219/VLOOKUP(B219,Table2[],5,0)),0),"")</f>
        <v/>
      </c>
      <c r="L219" s="1" t="str">
        <f>IFERROR(ROUNDUP(8*(F219/VLOOKUP(B219,Table2[],5,0)),0),"")</f>
        <v/>
      </c>
      <c r="M219" s="1" t="str">
        <f>IFERROR(ROUNDUP(8*(G219/VLOOKUP(B219,Table2[],5,0)),0),"")</f>
        <v/>
      </c>
      <c r="N219" s="1" t="str">
        <f>IFERROR(ROUNDUP(8*(H219/VLOOKUP(B219,Table2[],5,0)),0),"")</f>
        <v/>
      </c>
    </row>
    <row r="220" spans="2:14" x14ac:dyDescent="0.25">
      <c r="B220" s="71"/>
      <c r="C220" s="74" t="str">
        <f>IFERROR(VLOOKUP(B220,Table2[],2,0),"")</f>
        <v/>
      </c>
      <c r="D220" s="77"/>
      <c r="I220" s="79" t="str">
        <f t="shared" si="3"/>
        <v/>
      </c>
      <c r="J220" s="84" t="str">
        <f>IFERROR(ROUNDUP(8*(I220/VLOOKUP(B220,Table2[],5,0)),0),"")</f>
        <v/>
      </c>
      <c r="K220" s="1" t="str">
        <f>IFERROR(ROUNDUP(8*(E220/VLOOKUP(B220,Table2[],5,0)),0),"")</f>
        <v/>
      </c>
      <c r="L220" s="1" t="str">
        <f>IFERROR(ROUNDUP(8*(F220/VLOOKUP(B220,Table2[],5,0)),0),"")</f>
        <v/>
      </c>
      <c r="M220" s="1" t="str">
        <f>IFERROR(ROUNDUP(8*(G220/VLOOKUP(B220,Table2[],5,0)),0),"")</f>
        <v/>
      </c>
      <c r="N220" s="1" t="str">
        <f>IFERROR(ROUNDUP(8*(H220/VLOOKUP(B220,Table2[],5,0)),0),"")</f>
        <v/>
      </c>
    </row>
    <row r="221" spans="2:14" x14ac:dyDescent="0.25">
      <c r="B221" s="71"/>
      <c r="C221" s="74" t="str">
        <f>IFERROR(VLOOKUP(B221,Table2[],2,0),"")</f>
        <v/>
      </c>
      <c r="D221" s="77"/>
      <c r="I221" s="79" t="str">
        <f t="shared" si="3"/>
        <v/>
      </c>
      <c r="J221" s="84" t="str">
        <f>IFERROR(ROUNDUP(8*(I221/VLOOKUP(B221,Table2[],5,0)),0),"")</f>
        <v/>
      </c>
      <c r="K221" s="1" t="str">
        <f>IFERROR(ROUNDUP(8*(E221/VLOOKUP(B221,Table2[],5,0)),0),"")</f>
        <v/>
      </c>
      <c r="L221" s="1" t="str">
        <f>IFERROR(ROUNDUP(8*(F221/VLOOKUP(B221,Table2[],5,0)),0),"")</f>
        <v/>
      </c>
      <c r="M221" s="1" t="str">
        <f>IFERROR(ROUNDUP(8*(G221/VLOOKUP(B221,Table2[],5,0)),0),"")</f>
        <v/>
      </c>
      <c r="N221" s="1" t="str">
        <f>IFERROR(ROUNDUP(8*(H221/VLOOKUP(B221,Table2[],5,0)),0),"")</f>
        <v/>
      </c>
    </row>
    <row r="222" spans="2:14" x14ac:dyDescent="0.25">
      <c r="B222" s="71"/>
      <c r="C222" s="74" t="str">
        <f>IFERROR(VLOOKUP(B222,Table2[],2,0),"")</f>
        <v/>
      </c>
      <c r="D222" s="77"/>
      <c r="I222" s="79" t="str">
        <f t="shared" si="3"/>
        <v/>
      </c>
      <c r="J222" s="84" t="str">
        <f>IFERROR(ROUNDUP(8*(I222/VLOOKUP(B222,Table2[],5,0)),0),"")</f>
        <v/>
      </c>
      <c r="K222" s="1" t="str">
        <f>IFERROR(ROUNDUP(8*(E222/VLOOKUP(B222,Table2[],5,0)),0),"")</f>
        <v/>
      </c>
      <c r="L222" s="1" t="str">
        <f>IFERROR(ROUNDUP(8*(F222/VLOOKUP(B222,Table2[],5,0)),0),"")</f>
        <v/>
      </c>
      <c r="M222" s="1" t="str">
        <f>IFERROR(ROUNDUP(8*(G222/VLOOKUP(B222,Table2[],5,0)),0),"")</f>
        <v/>
      </c>
      <c r="N222" s="1" t="str">
        <f>IFERROR(ROUNDUP(8*(H222/VLOOKUP(B222,Table2[],5,0)),0),"")</f>
        <v/>
      </c>
    </row>
    <row r="223" spans="2:14" x14ac:dyDescent="0.25">
      <c r="B223" s="71"/>
      <c r="C223" s="74" t="str">
        <f>IFERROR(VLOOKUP(B223,Table2[],2,0),"")</f>
        <v/>
      </c>
      <c r="D223" s="77"/>
      <c r="I223" s="79" t="str">
        <f t="shared" si="3"/>
        <v/>
      </c>
      <c r="J223" s="84" t="str">
        <f>IFERROR(ROUNDUP(8*(I223/VLOOKUP(B223,Table2[],5,0)),0),"")</f>
        <v/>
      </c>
      <c r="K223" s="1" t="str">
        <f>IFERROR(ROUNDUP(8*(E223/VLOOKUP(B223,Table2[],5,0)),0),"")</f>
        <v/>
      </c>
      <c r="L223" s="1" t="str">
        <f>IFERROR(ROUNDUP(8*(F223/VLOOKUP(B223,Table2[],5,0)),0),"")</f>
        <v/>
      </c>
      <c r="M223" s="1" t="str">
        <f>IFERROR(ROUNDUP(8*(G223/VLOOKUP(B223,Table2[],5,0)),0),"")</f>
        <v/>
      </c>
      <c r="N223" s="1" t="str">
        <f>IFERROR(ROUNDUP(8*(H223/VLOOKUP(B223,Table2[],5,0)),0),"")</f>
        <v/>
      </c>
    </row>
    <row r="224" spans="2:14" x14ac:dyDescent="0.25">
      <c r="B224" s="71"/>
      <c r="C224" s="74" t="str">
        <f>IFERROR(VLOOKUP(B224,Table2[],2,0),"")</f>
        <v/>
      </c>
      <c r="D224" s="77"/>
      <c r="I224" s="79" t="str">
        <f t="shared" si="3"/>
        <v/>
      </c>
      <c r="J224" s="84" t="str">
        <f>IFERROR(ROUNDUP(8*(I224/VLOOKUP(B224,Table2[],5,0)),0),"")</f>
        <v/>
      </c>
      <c r="K224" s="1" t="str">
        <f>IFERROR(ROUNDUP(8*(E224/VLOOKUP(B224,Table2[],5,0)),0),"")</f>
        <v/>
      </c>
      <c r="L224" s="1" t="str">
        <f>IFERROR(ROUNDUP(8*(F224/VLOOKUP(B224,Table2[],5,0)),0),"")</f>
        <v/>
      </c>
      <c r="M224" s="1" t="str">
        <f>IFERROR(ROUNDUP(8*(G224/VLOOKUP(B224,Table2[],5,0)),0),"")</f>
        <v/>
      </c>
      <c r="N224" s="1" t="str">
        <f>IFERROR(ROUNDUP(8*(H224/VLOOKUP(B224,Table2[],5,0)),0),"")</f>
        <v/>
      </c>
    </row>
    <row r="225" spans="2:14" x14ac:dyDescent="0.25">
      <c r="B225" s="71"/>
      <c r="C225" s="74" t="str">
        <f>IFERROR(VLOOKUP(B225,Table2[],2,0),"")</f>
        <v/>
      </c>
      <c r="D225" s="77"/>
      <c r="I225" s="79" t="str">
        <f t="shared" si="3"/>
        <v/>
      </c>
      <c r="J225" s="84" t="str">
        <f>IFERROR(ROUNDUP(8*(I225/VLOOKUP(B225,Table2[],5,0)),0),"")</f>
        <v/>
      </c>
      <c r="K225" s="1" t="str">
        <f>IFERROR(ROUNDUP(8*(E225/VLOOKUP(B225,Table2[],5,0)),0),"")</f>
        <v/>
      </c>
      <c r="L225" s="1" t="str">
        <f>IFERROR(ROUNDUP(8*(F225/VLOOKUP(B225,Table2[],5,0)),0),"")</f>
        <v/>
      </c>
      <c r="M225" s="1" t="str">
        <f>IFERROR(ROUNDUP(8*(G225/VLOOKUP(B225,Table2[],5,0)),0),"")</f>
        <v/>
      </c>
      <c r="N225" s="1" t="str">
        <f>IFERROR(ROUNDUP(8*(H225/VLOOKUP(B225,Table2[],5,0)),0),"")</f>
        <v/>
      </c>
    </row>
    <row r="226" spans="2:14" x14ac:dyDescent="0.25">
      <c r="B226" s="71"/>
      <c r="C226" s="74" t="str">
        <f>IFERROR(VLOOKUP(B226,Table2[],2,0),"")</f>
        <v/>
      </c>
      <c r="D226" s="77"/>
      <c r="I226" s="79" t="str">
        <f t="shared" si="3"/>
        <v/>
      </c>
      <c r="J226" s="84" t="str">
        <f>IFERROR(ROUNDUP(8*(I226/VLOOKUP(B226,Table2[],5,0)),0),"")</f>
        <v/>
      </c>
      <c r="K226" s="1" t="str">
        <f>IFERROR(ROUNDUP(8*(E226/VLOOKUP(B226,Table2[],5,0)),0),"")</f>
        <v/>
      </c>
      <c r="L226" s="1" t="str">
        <f>IFERROR(ROUNDUP(8*(F226/VLOOKUP(B226,Table2[],5,0)),0),"")</f>
        <v/>
      </c>
      <c r="M226" s="1" t="str">
        <f>IFERROR(ROUNDUP(8*(G226/VLOOKUP(B226,Table2[],5,0)),0),"")</f>
        <v/>
      </c>
      <c r="N226" s="1" t="str">
        <f>IFERROR(ROUNDUP(8*(H226/VLOOKUP(B226,Table2[],5,0)),0),"")</f>
        <v/>
      </c>
    </row>
    <row r="227" spans="2:14" x14ac:dyDescent="0.25">
      <c r="B227" s="71"/>
      <c r="C227" s="74" t="str">
        <f>IFERROR(VLOOKUP(B227,Table2[],2,0),"")</f>
        <v/>
      </c>
      <c r="D227" s="77"/>
      <c r="I227" s="79" t="str">
        <f t="shared" si="3"/>
        <v/>
      </c>
      <c r="J227" s="84" t="str">
        <f>IFERROR(ROUNDUP(8*(I227/VLOOKUP(B227,Table2[],5,0)),0),"")</f>
        <v/>
      </c>
      <c r="K227" s="1" t="str">
        <f>IFERROR(ROUNDUP(8*(E227/VLOOKUP(B227,Table2[],5,0)),0),"")</f>
        <v/>
      </c>
      <c r="L227" s="1" t="str">
        <f>IFERROR(ROUNDUP(8*(F227/VLOOKUP(B227,Table2[],5,0)),0),"")</f>
        <v/>
      </c>
      <c r="M227" s="1" t="str">
        <f>IFERROR(ROUNDUP(8*(G227/VLOOKUP(B227,Table2[],5,0)),0),"")</f>
        <v/>
      </c>
      <c r="N227" s="1" t="str">
        <f>IFERROR(ROUNDUP(8*(H227/VLOOKUP(B227,Table2[],5,0)),0),"")</f>
        <v/>
      </c>
    </row>
    <row r="228" spans="2:14" x14ac:dyDescent="0.25">
      <c r="B228" s="71"/>
      <c r="C228" s="74" t="str">
        <f>IFERROR(VLOOKUP(B228,Table2[],2,0),"")</f>
        <v/>
      </c>
      <c r="D228" s="77"/>
      <c r="I228" s="79" t="str">
        <f t="shared" si="3"/>
        <v/>
      </c>
      <c r="J228" s="84" t="str">
        <f>IFERROR(ROUNDUP(8*(I228/VLOOKUP(B228,Table2[],5,0)),0),"")</f>
        <v/>
      </c>
      <c r="K228" s="1" t="str">
        <f>IFERROR(ROUNDUP(8*(E228/VLOOKUP(B228,Table2[],5,0)),0),"")</f>
        <v/>
      </c>
      <c r="L228" s="1" t="str">
        <f>IFERROR(ROUNDUP(8*(F228/VLOOKUP(B228,Table2[],5,0)),0),"")</f>
        <v/>
      </c>
      <c r="M228" s="1" t="str">
        <f>IFERROR(ROUNDUP(8*(G228/VLOOKUP(B228,Table2[],5,0)),0),"")</f>
        <v/>
      </c>
      <c r="N228" s="1" t="str">
        <f>IFERROR(ROUNDUP(8*(H228/VLOOKUP(B228,Table2[],5,0)),0),"")</f>
        <v/>
      </c>
    </row>
    <row r="229" spans="2:14" x14ac:dyDescent="0.25">
      <c r="B229" s="71"/>
      <c r="C229" s="74" t="str">
        <f>IFERROR(VLOOKUP(B229,Table2[],2,0),"")</f>
        <v/>
      </c>
      <c r="D229" s="77"/>
      <c r="I229" s="79" t="str">
        <f t="shared" si="3"/>
        <v/>
      </c>
      <c r="J229" s="84" t="str">
        <f>IFERROR(ROUNDUP(8*(I229/VLOOKUP(B229,Table2[],5,0)),0),"")</f>
        <v/>
      </c>
      <c r="K229" s="1" t="str">
        <f>IFERROR(ROUNDUP(8*(E229/VLOOKUP(B229,Table2[],5,0)),0),"")</f>
        <v/>
      </c>
      <c r="L229" s="1" t="str">
        <f>IFERROR(ROUNDUP(8*(F229/VLOOKUP(B229,Table2[],5,0)),0),"")</f>
        <v/>
      </c>
      <c r="M229" s="1" t="str">
        <f>IFERROR(ROUNDUP(8*(G229/VLOOKUP(B229,Table2[],5,0)),0),"")</f>
        <v/>
      </c>
      <c r="N229" s="1" t="str">
        <f>IFERROR(ROUNDUP(8*(H229/VLOOKUP(B229,Table2[],5,0)),0),"")</f>
        <v/>
      </c>
    </row>
    <row r="230" spans="2:14" x14ac:dyDescent="0.25">
      <c r="B230" s="71"/>
      <c r="C230" s="74" t="str">
        <f>IFERROR(VLOOKUP(B230,Table2[],2,0),"")</f>
        <v/>
      </c>
      <c r="D230" s="77"/>
      <c r="I230" s="79" t="str">
        <f t="shared" si="3"/>
        <v/>
      </c>
      <c r="J230" s="84" t="str">
        <f>IFERROR(ROUNDUP(8*(I230/VLOOKUP(B230,Table2[],5,0)),0),"")</f>
        <v/>
      </c>
      <c r="K230" s="1" t="str">
        <f>IFERROR(ROUNDUP(8*(E230/VLOOKUP(B230,Table2[],5,0)),0),"")</f>
        <v/>
      </c>
      <c r="L230" s="1" t="str">
        <f>IFERROR(ROUNDUP(8*(F230/VLOOKUP(B230,Table2[],5,0)),0),"")</f>
        <v/>
      </c>
      <c r="M230" s="1" t="str">
        <f>IFERROR(ROUNDUP(8*(G230/VLOOKUP(B230,Table2[],5,0)),0),"")</f>
        <v/>
      </c>
      <c r="N230" s="1" t="str">
        <f>IFERROR(ROUNDUP(8*(H230/VLOOKUP(B230,Table2[],5,0)),0),"")</f>
        <v/>
      </c>
    </row>
    <row r="231" spans="2:14" x14ac:dyDescent="0.25">
      <c r="B231" s="71"/>
      <c r="C231" s="74" t="str">
        <f>IFERROR(VLOOKUP(B231,Table2[],2,0),"")</f>
        <v/>
      </c>
      <c r="D231" s="77"/>
      <c r="I231" s="79" t="str">
        <f t="shared" si="3"/>
        <v/>
      </c>
      <c r="J231" s="84" t="str">
        <f>IFERROR(ROUNDUP(8*(I231/VLOOKUP(B231,Table2[],5,0)),0),"")</f>
        <v/>
      </c>
      <c r="K231" s="1" t="str">
        <f>IFERROR(ROUNDUP(8*(E231/VLOOKUP(B231,Table2[],5,0)),0),"")</f>
        <v/>
      </c>
      <c r="L231" s="1" t="str">
        <f>IFERROR(ROUNDUP(8*(F231/VLOOKUP(B231,Table2[],5,0)),0),"")</f>
        <v/>
      </c>
      <c r="M231" s="1" t="str">
        <f>IFERROR(ROUNDUP(8*(G231/VLOOKUP(B231,Table2[],5,0)),0),"")</f>
        <v/>
      </c>
      <c r="N231" s="1" t="str">
        <f>IFERROR(ROUNDUP(8*(H231/VLOOKUP(B231,Table2[],5,0)),0),"")</f>
        <v/>
      </c>
    </row>
    <row r="232" spans="2:14" x14ac:dyDescent="0.25">
      <c r="B232" s="71"/>
      <c r="C232" s="74" t="str">
        <f>IFERROR(VLOOKUP(B232,Table2[],2,0),"")</f>
        <v/>
      </c>
      <c r="D232" s="77"/>
      <c r="I232" s="79" t="str">
        <f t="shared" si="3"/>
        <v/>
      </c>
      <c r="J232" s="84" t="str">
        <f>IFERROR(ROUNDUP(8*(I232/VLOOKUP(B232,Table2[],5,0)),0),"")</f>
        <v/>
      </c>
      <c r="K232" s="1" t="str">
        <f>IFERROR(ROUNDUP(8*(E232/VLOOKUP(B232,Table2[],5,0)),0),"")</f>
        <v/>
      </c>
      <c r="L232" s="1" t="str">
        <f>IFERROR(ROUNDUP(8*(F232/VLOOKUP(B232,Table2[],5,0)),0),"")</f>
        <v/>
      </c>
      <c r="M232" s="1" t="str">
        <f>IFERROR(ROUNDUP(8*(G232/VLOOKUP(B232,Table2[],5,0)),0),"")</f>
        <v/>
      </c>
      <c r="N232" s="1" t="str">
        <f>IFERROR(ROUNDUP(8*(H232/VLOOKUP(B232,Table2[],5,0)),0),"")</f>
        <v/>
      </c>
    </row>
    <row r="233" spans="2:14" x14ac:dyDescent="0.25">
      <c r="B233" s="71"/>
      <c r="C233" s="74" t="str">
        <f>IFERROR(VLOOKUP(B233,Table2[],2,0),"")</f>
        <v/>
      </c>
      <c r="D233" s="77"/>
      <c r="I233" s="79" t="str">
        <f t="shared" si="3"/>
        <v/>
      </c>
      <c r="J233" s="84" t="str">
        <f>IFERROR(ROUNDUP(8*(I233/VLOOKUP(B233,Table2[],5,0)),0),"")</f>
        <v/>
      </c>
      <c r="K233" s="1" t="str">
        <f>IFERROR(ROUNDUP(8*(E233/VLOOKUP(B233,Table2[],5,0)),0),"")</f>
        <v/>
      </c>
      <c r="L233" s="1" t="str">
        <f>IFERROR(ROUNDUP(8*(F233/VLOOKUP(B233,Table2[],5,0)),0),"")</f>
        <v/>
      </c>
      <c r="M233" s="1" t="str">
        <f>IFERROR(ROUNDUP(8*(G233/VLOOKUP(B233,Table2[],5,0)),0),"")</f>
        <v/>
      </c>
      <c r="N233" s="1" t="str">
        <f>IFERROR(ROUNDUP(8*(H233/VLOOKUP(B233,Table2[],5,0)),0),"")</f>
        <v/>
      </c>
    </row>
    <row r="234" spans="2:14" x14ac:dyDescent="0.25">
      <c r="B234" s="71"/>
      <c r="C234" s="74" t="str">
        <f>IFERROR(VLOOKUP(B234,Table2[],2,0),"")</f>
        <v/>
      </c>
      <c r="D234" s="77"/>
      <c r="I234" s="79" t="str">
        <f t="shared" si="3"/>
        <v/>
      </c>
      <c r="J234" s="84" t="str">
        <f>IFERROR(ROUNDUP(8*(I234/VLOOKUP(B234,Table2[],5,0)),0),"")</f>
        <v/>
      </c>
      <c r="K234" s="1" t="str">
        <f>IFERROR(ROUNDUP(8*(E234/VLOOKUP(B234,Table2[],5,0)),0),"")</f>
        <v/>
      </c>
      <c r="L234" s="1" t="str">
        <f>IFERROR(ROUNDUP(8*(F234/VLOOKUP(B234,Table2[],5,0)),0),"")</f>
        <v/>
      </c>
      <c r="M234" s="1" t="str">
        <f>IFERROR(ROUNDUP(8*(G234/VLOOKUP(B234,Table2[],5,0)),0),"")</f>
        <v/>
      </c>
      <c r="N234" s="1" t="str">
        <f>IFERROR(ROUNDUP(8*(H234/VLOOKUP(B234,Table2[],5,0)),0),"")</f>
        <v/>
      </c>
    </row>
    <row r="235" spans="2:14" x14ac:dyDescent="0.25">
      <c r="B235" s="71"/>
      <c r="C235" s="74" t="str">
        <f>IFERROR(VLOOKUP(B235,Table2[],2,0),"")</f>
        <v/>
      </c>
      <c r="D235" s="77"/>
      <c r="I235" s="79" t="str">
        <f t="shared" si="3"/>
        <v/>
      </c>
      <c r="J235" s="84" t="str">
        <f>IFERROR(ROUNDUP(8*(I235/VLOOKUP(B235,Table2[],5,0)),0),"")</f>
        <v/>
      </c>
      <c r="K235" s="1" t="str">
        <f>IFERROR(ROUNDUP(8*(E235/VLOOKUP(B235,Table2[],5,0)),0),"")</f>
        <v/>
      </c>
      <c r="L235" s="1" t="str">
        <f>IFERROR(ROUNDUP(8*(F235/VLOOKUP(B235,Table2[],5,0)),0),"")</f>
        <v/>
      </c>
      <c r="M235" s="1" t="str">
        <f>IFERROR(ROUNDUP(8*(G235/VLOOKUP(B235,Table2[],5,0)),0),"")</f>
        <v/>
      </c>
      <c r="N235" s="1" t="str">
        <f>IFERROR(ROUNDUP(8*(H235/VLOOKUP(B235,Table2[],5,0)),0),"")</f>
        <v/>
      </c>
    </row>
    <row r="236" spans="2:14" x14ac:dyDescent="0.25">
      <c r="B236" s="71"/>
      <c r="C236" s="74" t="str">
        <f>IFERROR(VLOOKUP(B236,Table2[],2,0),"")</f>
        <v/>
      </c>
      <c r="D236" s="77"/>
      <c r="I236" s="79" t="str">
        <f t="shared" si="3"/>
        <v/>
      </c>
      <c r="J236" s="84" t="str">
        <f>IFERROR(ROUNDUP(8*(I236/VLOOKUP(B236,Table2[],5,0)),0),"")</f>
        <v/>
      </c>
      <c r="K236" s="1" t="str">
        <f>IFERROR(ROUNDUP(8*(E236/VLOOKUP(B236,Table2[],5,0)),0),"")</f>
        <v/>
      </c>
      <c r="L236" s="1" t="str">
        <f>IFERROR(ROUNDUP(8*(F236/VLOOKUP(B236,Table2[],5,0)),0),"")</f>
        <v/>
      </c>
      <c r="M236" s="1" t="str">
        <f>IFERROR(ROUNDUP(8*(G236/VLOOKUP(B236,Table2[],5,0)),0),"")</f>
        <v/>
      </c>
      <c r="N236" s="1" t="str">
        <f>IFERROR(ROUNDUP(8*(H236/VLOOKUP(B236,Table2[],5,0)),0),"")</f>
        <v/>
      </c>
    </row>
    <row r="237" spans="2:14" x14ac:dyDescent="0.25">
      <c r="B237" s="71"/>
      <c r="C237" s="74" t="str">
        <f>IFERROR(VLOOKUP(B237,Table2[],2,0),"")</f>
        <v/>
      </c>
      <c r="D237" s="77"/>
      <c r="I237" s="79" t="str">
        <f t="shared" si="3"/>
        <v/>
      </c>
      <c r="J237" s="84" t="str">
        <f>IFERROR(ROUNDUP(8*(I237/VLOOKUP(B237,Table2[],5,0)),0),"")</f>
        <v/>
      </c>
      <c r="K237" s="1" t="str">
        <f>IFERROR(ROUNDUP(8*(E237/VLOOKUP(B237,Table2[],5,0)),0),"")</f>
        <v/>
      </c>
      <c r="L237" s="1" t="str">
        <f>IFERROR(ROUNDUP(8*(F237/VLOOKUP(B237,Table2[],5,0)),0),"")</f>
        <v/>
      </c>
      <c r="M237" s="1" t="str">
        <f>IFERROR(ROUNDUP(8*(G237/VLOOKUP(B237,Table2[],5,0)),0),"")</f>
        <v/>
      </c>
      <c r="N237" s="1" t="str">
        <f>IFERROR(ROUNDUP(8*(H237/VLOOKUP(B237,Table2[],5,0)),0),"")</f>
        <v/>
      </c>
    </row>
    <row r="238" spans="2:14" x14ac:dyDescent="0.25">
      <c r="B238" s="71"/>
      <c r="C238" s="74" t="str">
        <f>IFERROR(VLOOKUP(B238,Table2[],2,0),"")</f>
        <v/>
      </c>
      <c r="D238" s="77"/>
      <c r="I238" s="79" t="str">
        <f t="shared" si="3"/>
        <v/>
      </c>
      <c r="J238" s="84" t="str">
        <f>IFERROR(ROUNDUP(8*(I238/VLOOKUP(B238,Table2[],5,0)),0),"")</f>
        <v/>
      </c>
      <c r="K238" s="1" t="str">
        <f>IFERROR(ROUNDUP(8*(E238/VLOOKUP(B238,Table2[],5,0)),0),"")</f>
        <v/>
      </c>
      <c r="L238" s="1" t="str">
        <f>IFERROR(ROUNDUP(8*(F238/VLOOKUP(B238,Table2[],5,0)),0),"")</f>
        <v/>
      </c>
      <c r="M238" s="1" t="str">
        <f>IFERROR(ROUNDUP(8*(G238/VLOOKUP(B238,Table2[],5,0)),0),"")</f>
        <v/>
      </c>
      <c r="N238" s="1" t="str">
        <f>IFERROR(ROUNDUP(8*(H238/VLOOKUP(B238,Table2[],5,0)),0),"")</f>
        <v/>
      </c>
    </row>
    <row r="239" spans="2:14" x14ac:dyDescent="0.25">
      <c r="B239" s="71"/>
      <c r="C239" s="74" t="str">
        <f>IFERROR(VLOOKUP(B239,Table2[],2,0),"")</f>
        <v/>
      </c>
      <c r="D239" s="77"/>
      <c r="I239" s="79" t="str">
        <f t="shared" si="3"/>
        <v/>
      </c>
      <c r="J239" s="84" t="str">
        <f>IFERROR(ROUNDUP(8*(I239/VLOOKUP(B239,Table2[],5,0)),0),"")</f>
        <v/>
      </c>
      <c r="K239" s="1" t="str">
        <f>IFERROR(ROUNDUP(8*(E239/VLOOKUP(B239,Table2[],5,0)),0),"")</f>
        <v/>
      </c>
      <c r="L239" s="1" t="str">
        <f>IFERROR(ROUNDUP(8*(F239/VLOOKUP(B239,Table2[],5,0)),0),"")</f>
        <v/>
      </c>
      <c r="M239" s="1" t="str">
        <f>IFERROR(ROUNDUP(8*(G239/VLOOKUP(B239,Table2[],5,0)),0),"")</f>
        <v/>
      </c>
      <c r="N239" s="1" t="str">
        <f>IFERROR(ROUNDUP(8*(H239/VLOOKUP(B239,Table2[],5,0)),0),"")</f>
        <v/>
      </c>
    </row>
    <row r="240" spans="2:14" x14ac:dyDescent="0.25">
      <c r="B240" s="71"/>
      <c r="C240" s="74" t="str">
        <f>IFERROR(VLOOKUP(B240,Table2[],2,0),"")</f>
        <v/>
      </c>
      <c r="D240" s="77"/>
      <c r="I240" s="79" t="str">
        <f t="shared" si="3"/>
        <v/>
      </c>
      <c r="J240" s="84" t="str">
        <f>IFERROR(ROUNDUP(8*(I240/VLOOKUP(B240,Table2[],5,0)),0),"")</f>
        <v/>
      </c>
      <c r="K240" s="1" t="str">
        <f>IFERROR(ROUNDUP(8*(E240/VLOOKUP(B240,Table2[],5,0)),0),"")</f>
        <v/>
      </c>
      <c r="L240" s="1" t="str">
        <f>IFERROR(ROUNDUP(8*(F240/VLOOKUP(B240,Table2[],5,0)),0),"")</f>
        <v/>
      </c>
      <c r="M240" s="1" t="str">
        <f>IFERROR(ROUNDUP(8*(G240/VLOOKUP(B240,Table2[],5,0)),0),"")</f>
        <v/>
      </c>
      <c r="N240" s="1" t="str">
        <f>IFERROR(ROUNDUP(8*(H240/VLOOKUP(B240,Table2[],5,0)),0),"")</f>
        <v/>
      </c>
    </row>
    <row r="241" spans="2:14" x14ac:dyDescent="0.25">
      <c r="B241" s="71"/>
      <c r="C241" s="74" t="str">
        <f>IFERROR(VLOOKUP(B241,Table2[],2,0),"")</f>
        <v/>
      </c>
      <c r="D241" s="77"/>
      <c r="I241" s="79" t="str">
        <f t="shared" si="3"/>
        <v/>
      </c>
      <c r="J241" s="84" t="str">
        <f>IFERROR(ROUNDUP(8*(I241/VLOOKUP(B241,Table2[],5,0)),0),"")</f>
        <v/>
      </c>
      <c r="K241" s="1" t="str">
        <f>IFERROR(ROUNDUP(8*(E241/VLOOKUP(B241,Table2[],5,0)),0),"")</f>
        <v/>
      </c>
      <c r="L241" s="1" t="str">
        <f>IFERROR(ROUNDUP(8*(F241/VLOOKUP(B241,Table2[],5,0)),0),"")</f>
        <v/>
      </c>
      <c r="M241" s="1" t="str">
        <f>IFERROR(ROUNDUP(8*(G241/VLOOKUP(B241,Table2[],5,0)),0),"")</f>
        <v/>
      </c>
      <c r="N241" s="1" t="str">
        <f>IFERROR(ROUNDUP(8*(H241/VLOOKUP(B241,Table2[],5,0)),0),"")</f>
        <v/>
      </c>
    </row>
    <row r="242" spans="2:14" x14ac:dyDescent="0.25">
      <c r="B242" s="71"/>
      <c r="C242" s="74" t="str">
        <f>IFERROR(VLOOKUP(B242,Table2[],2,0),"")</f>
        <v/>
      </c>
      <c r="D242" s="77"/>
      <c r="I242" s="79" t="str">
        <f t="shared" si="3"/>
        <v/>
      </c>
      <c r="J242" s="84" t="str">
        <f>IFERROR(ROUNDUP(8*(I242/VLOOKUP(B242,Table2[],5,0)),0),"")</f>
        <v/>
      </c>
      <c r="K242" s="1" t="str">
        <f>IFERROR(ROUNDUP(8*(E242/VLOOKUP(B242,Table2[],5,0)),0),"")</f>
        <v/>
      </c>
      <c r="L242" s="1" t="str">
        <f>IFERROR(ROUNDUP(8*(F242/VLOOKUP(B242,Table2[],5,0)),0),"")</f>
        <v/>
      </c>
      <c r="M242" s="1" t="str">
        <f>IFERROR(ROUNDUP(8*(G242/VLOOKUP(B242,Table2[],5,0)),0),"")</f>
        <v/>
      </c>
      <c r="N242" s="1" t="str">
        <f>IFERROR(ROUNDUP(8*(H242/VLOOKUP(B242,Table2[],5,0)),0),"")</f>
        <v/>
      </c>
    </row>
    <row r="243" spans="2:14" x14ac:dyDescent="0.25">
      <c r="B243" s="71"/>
      <c r="C243" s="74" t="str">
        <f>IFERROR(VLOOKUP(B243,Table2[],2,0),"")</f>
        <v/>
      </c>
      <c r="D243" s="77"/>
      <c r="I243" s="79" t="str">
        <f t="shared" si="3"/>
        <v/>
      </c>
      <c r="J243" s="84" t="str">
        <f>IFERROR(ROUNDUP(8*(I243/VLOOKUP(B243,Table2[],5,0)),0),"")</f>
        <v/>
      </c>
      <c r="K243" s="1" t="str">
        <f>IFERROR(ROUNDUP(8*(E243/VLOOKUP(B243,Table2[],5,0)),0),"")</f>
        <v/>
      </c>
      <c r="L243" s="1" t="str">
        <f>IFERROR(ROUNDUP(8*(F243/VLOOKUP(B243,Table2[],5,0)),0),"")</f>
        <v/>
      </c>
      <c r="M243" s="1" t="str">
        <f>IFERROR(ROUNDUP(8*(G243/VLOOKUP(B243,Table2[],5,0)),0),"")</f>
        <v/>
      </c>
      <c r="N243" s="1" t="str">
        <f>IFERROR(ROUNDUP(8*(H243/VLOOKUP(B243,Table2[],5,0)),0),"")</f>
        <v/>
      </c>
    </row>
    <row r="244" spans="2:14" x14ac:dyDescent="0.25">
      <c r="B244" s="71"/>
      <c r="C244" s="74" t="str">
        <f>IFERROR(VLOOKUP(B244,Table2[],2,0),"")</f>
        <v/>
      </c>
      <c r="D244" s="77"/>
      <c r="I244" s="79" t="str">
        <f t="shared" si="3"/>
        <v/>
      </c>
      <c r="J244" s="84" t="str">
        <f>IFERROR(ROUNDUP(8*(I244/VLOOKUP(B244,Table2[],5,0)),0),"")</f>
        <v/>
      </c>
      <c r="K244" s="1" t="str">
        <f>IFERROR(ROUNDUP(8*(E244/VLOOKUP(B244,Table2[],5,0)),0),"")</f>
        <v/>
      </c>
      <c r="L244" s="1" t="str">
        <f>IFERROR(ROUNDUP(8*(F244/VLOOKUP(B244,Table2[],5,0)),0),"")</f>
        <v/>
      </c>
      <c r="M244" s="1" t="str">
        <f>IFERROR(ROUNDUP(8*(G244/VLOOKUP(B244,Table2[],5,0)),0),"")</f>
        <v/>
      </c>
      <c r="N244" s="1" t="str">
        <f>IFERROR(ROUNDUP(8*(H244/VLOOKUP(B244,Table2[],5,0)),0),"")</f>
        <v/>
      </c>
    </row>
    <row r="245" spans="2:14" x14ac:dyDescent="0.25">
      <c r="B245" s="71"/>
      <c r="C245" s="74" t="str">
        <f>IFERROR(VLOOKUP(B245,Table2[],2,0),"")</f>
        <v/>
      </c>
      <c r="D245" s="77"/>
      <c r="I245" s="79" t="str">
        <f t="shared" si="3"/>
        <v/>
      </c>
      <c r="J245" s="84" t="str">
        <f>IFERROR(ROUNDUP(8*(I245/VLOOKUP(B245,Table2[],5,0)),0),"")</f>
        <v/>
      </c>
      <c r="K245" s="1" t="str">
        <f>IFERROR(ROUNDUP(8*(E245/VLOOKUP(B245,Table2[],5,0)),0),"")</f>
        <v/>
      </c>
      <c r="L245" s="1" t="str">
        <f>IFERROR(ROUNDUP(8*(F245/VLOOKUP(B245,Table2[],5,0)),0),"")</f>
        <v/>
      </c>
      <c r="M245" s="1" t="str">
        <f>IFERROR(ROUNDUP(8*(G245/VLOOKUP(B245,Table2[],5,0)),0),"")</f>
        <v/>
      </c>
      <c r="N245" s="1" t="str">
        <f>IFERROR(ROUNDUP(8*(H245/VLOOKUP(B245,Table2[],5,0)),0),"")</f>
        <v/>
      </c>
    </row>
    <row r="246" spans="2:14" x14ac:dyDescent="0.25">
      <c r="B246" s="71"/>
      <c r="C246" s="74" t="str">
        <f>IFERROR(VLOOKUP(B246,Table2[],2,0),"")</f>
        <v/>
      </c>
      <c r="D246" s="77"/>
      <c r="I246" s="79" t="str">
        <f t="shared" si="3"/>
        <v/>
      </c>
      <c r="J246" s="84" t="str">
        <f>IFERROR(ROUNDUP(8*(I246/VLOOKUP(B246,Table2[],5,0)),0),"")</f>
        <v/>
      </c>
      <c r="K246" s="1" t="str">
        <f>IFERROR(ROUNDUP(8*(E246/VLOOKUP(B246,Table2[],5,0)),0),"")</f>
        <v/>
      </c>
      <c r="L246" s="1" t="str">
        <f>IFERROR(ROUNDUP(8*(F246/VLOOKUP(B246,Table2[],5,0)),0),"")</f>
        <v/>
      </c>
      <c r="M246" s="1" t="str">
        <f>IFERROR(ROUNDUP(8*(G246/VLOOKUP(B246,Table2[],5,0)),0),"")</f>
        <v/>
      </c>
      <c r="N246" s="1" t="str">
        <f>IFERROR(ROUNDUP(8*(H246/VLOOKUP(B246,Table2[],5,0)),0),"")</f>
        <v/>
      </c>
    </row>
    <row r="247" spans="2:14" x14ac:dyDescent="0.25">
      <c r="B247" s="71"/>
      <c r="C247" s="74" t="str">
        <f>IFERROR(VLOOKUP(B247,Table2[],2,0),"")</f>
        <v/>
      </c>
      <c r="D247" s="77"/>
      <c r="I247" s="79" t="str">
        <f t="shared" si="3"/>
        <v/>
      </c>
      <c r="J247" s="84" t="str">
        <f>IFERROR(ROUNDUP(8*(I247/VLOOKUP(B247,Table2[],5,0)),0),"")</f>
        <v/>
      </c>
      <c r="K247" s="1" t="str">
        <f>IFERROR(ROUNDUP(8*(E247/VLOOKUP(B247,Table2[],5,0)),0),"")</f>
        <v/>
      </c>
      <c r="L247" s="1" t="str">
        <f>IFERROR(ROUNDUP(8*(F247/VLOOKUP(B247,Table2[],5,0)),0),"")</f>
        <v/>
      </c>
      <c r="M247" s="1" t="str">
        <f>IFERROR(ROUNDUP(8*(G247/VLOOKUP(B247,Table2[],5,0)),0),"")</f>
        <v/>
      </c>
      <c r="N247" s="1" t="str">
        <f>IFERROR(ROUNDUP(8*(H247/VLOOKUP(B247,Table2[],5,0)),0),"")</f>
        <v/>
      </c>
    </row>
    <row r="248" spans="2:14" x14ac:dyDescent="0.25">
      <c r="B248" s="71"/>
      <c r="C248" s="74" t="str">
        <f>IFERROR(VLOOKUP(B248,Table2[],2,0),"")</f>
        <v/>
      </c>
      <c r="D248" s="77"/>
      <c r="I248" s="79" t="str">
        <f t="shared" si="3"/>
        <v/>
      </c>
      <c r="J248" s="84" t="str">
        <f>IFERROR(ROUNDUP(8*(I248/VLOOKUP(B248,Table2[],5,0)),0),"")</f>
        <v/>
      </c>
      <c r="K248" s="1" t="str">
        <f>IFERROR(ROUNDUP(8*(E248/VLOOKUP(B248,Table2[],5,0)),0),"")</f>
        <v/>
      </c>
      <c r="L248" s="1" t="str">
        <f>IFERROR(ROUNDUP(8*(F248/VLOOKUP(B248,Table2[],5,0)),0),"")</f>
        <v/>
      </c>
      <c r="M248" s="1" t="str">
        <f>IFERROR(ROUNDUP(8*(G248/VLOOKUP(B248,Table2[],5,0)),0),"")</f>
        <v/>
      </c>
      <c r="N248" s="1" t="str">
        <f>IFERROR(ROUNDUP(8*(H248/VLOOKUP(B248,Table2[],5,0)),0),"")</f>
        <v/>
      </c>
    </row>
    <row r="249" spans="2:14" x14ac:dyDescent="0.25">
      <c r="B249" s="71"/>
      <c r="C249" s="74" t="str">
        <f>IFERROR(VLOOKUP(B249,Table2[],2,0),"")</f>
        <v/>
      </c>
      <c r="D249" s="77"/>
      <c r="I249" s="79" t="str">
        <f t="shared" si="3"/>
        <v/>
      </c>
      <c r="J249" s="84" t="str">
        <f>IFERROR(ROUNDUP(8*(I249/VLOOKUP(B249,Table2[],5,0)),0),"")</f>
        <v/>
      </c>
      <c r="K249" s="1" t="str">
        <f>IFERROR(ROUNDUP(8*(E249/VLOOKUP(B249,Table2[],5,0)),0),"")</f>
        <v/>
      </c>
      <c r="L249" s="1" t="str">
        <f>IFERROR(ROUNDUP(8*(F249/VLOOKUP(B249,Table2[],5,0)),0),"")</f>
        <v/>
      </c>
      <c r="M249" s="1" t="str">
        <f>IFERROR(ROUNDUP(8*(G249/VLOOKUP(B249,Table2[],5,0)),0),"")</f>
        <v/>
      </c>
      <c r="N249" s="1" t="str">
        <f>IFERROR(ROUNDUP(8*(H249/VLOOKUP(B249,Table2[],5,0)),0),"")</f>
        <v/>
      </c>
    </row>
    <row r="250" spans="2:14" x14ac:dyDescent="0.25">
      <c r="B250" s="71"/>
      <c r="C250" s="74" t="str">
        <f>IFERROR(VLOOKUP(B250,Table2[],2,0),"")</f>
        <v/>
      </c>
      <c r="D250" s="77"/>
      <c r="I250" s="79" t="str">
        <f t="shared" si="3"/>
        <v/>
      </c>
      <c r="J250" s="84" t="str">
        <f>IFERROR(ROUNDUP(8*(I250/VLOOKUP(B250,Table2[],5,0)),0),"")</f>
        <v/>
      </c>
      <c r="K250" s="1" t="str">
        <f>IFERROR(ROUNDUP(8*(E250/VLOOKUP(B250,Table2[],5,0)),0),"")</f>
        <v/>
      </c>
      <c r="L250" s="1" t="str">
        <f>IFERROR(ROUNDUP(8*(F250/VLOOKUP(B250,Table2[],5,0)),0),"")</f>
        <v/>
      </c>
      <c r="M250" s="1" t="str">
        <f>IFERROR(ROUNDUP(8*(G250/VLOOKUP(B250,Table2[],5,0)),0),"")</f>
        <v/>
      </c>
      <c r="N250" s="1" t="str">
        <f>IFERROR(ROUNDUP(8*(H250/VLOOKUP(B250,Table2[],5,0)),0),"")</f>
        <v/>
      </c>
    </row>
    <row r="251" spans="2:14" x14ac:dyDescent="0.25">
      <c r="B251" s="71"/>
      <c r="C251" s="74" t="str">
        <f>IFERROR(VLOOKUP(B251,Table2[],2,0),"")</f>
        <v/>
      </c>
      <c r="D251" s="77"/>
      <c r="I251" s="79" t="str">
        <f t="shared" si="3"/>
        <v/>
      </c>
      <c r="J251" s="84" t="str">
        <f>IFERROR(ROUNDUP(8*(I251/VLOOKUP(B251,Table2[],5,0)),0),"")</f>
        <v/>
      </c>
      <c r="K251" s="1" t="str">
        <f>IFERROR(ROUNDUP(8*(E251/VLOOKUP(B251,Table2[],5,0)),0),"")</f>
        <v/>
      </c>
      <c r="L251" s="1" t="str">
        <f>IFERROR(ROUNDUP(8*(F251/VLOOKUP(B251,Table2[],5,0)),0),"")</f>
        <v/>
      </c>
      <c r="M251" s="1" t="str">
        <f>IFERROR(ROUNDUP(8*(G251/VLOOKUP(B251,Table2[],5,0)),0),"")</f>
        <v/>
      </c>
      <c r="N251" s="1" t="str">
        <f>IFERROR(ROUNDUP(8*(H251/VLOOKUP(B251,Table2[],5,0)),0),"")</f>
        <v/>
      </c>
    </row>
    <row r="252" spans="2:14" x14ac:dyDescent="0.25">
      <c r="B252" s="71"/>
      <c r="C252" s="74" t="str">
        <f>IFERROR(VLOOKUP(B252,Table2[],2,0),"")</f>
        <v/>
      </c>
      <c r="D252" s="77"/>
      <c r="I252" s="79" t="str">
        <f t="shared" si="3"/>
        <v/>
      </c>
      <c r="J252" s="84" t="str">
        <f>IFERROR(ROUNDUP(8*(I252/VLOOKUP(B252,Table2[],5,0)),0),"")</f>
        <v/>
      </c>
      <c r="K252" s="1" t="str">
        <f>IFERROR(ROUNDUP(8*(E252/VLOOKUP(B252,Table2[],5,0)),0),"")</f>
        <v/>
      </c>
      <c r="L252" s="1" t="str">
        <f>IFERROR(ROUNDUP(8*(F252/VLOOKUP(B252,Table2[],5,0)),0),"")</f>
        <v/>
      </c>
      <c r="M252" s="1" t="str">
        <f>IFERROR(ROUNDUP(8*(G252/VLOOKUP(B252,Table2[],5,0)),0),"")</f>
        <v/>
      </c>
      <c r="N252" s="1" t="str">
        <f>IFERROR(ROUNDUP(8*(H252/VLOOKUP(B252,Table2[],5,0)),0),"")</f>
        <v/>
      </c>
    </row>
    <row r="253" spans="2:14" x14ac:dyDescent="0.25">
      <c r="B253" s="71"/>
      <c r="C253" s="74" t="str">
        <f>IFERROR(VLOOKUP(B253,Table2[],2,0),"")</f>
        <v/>
      </c>
      <c r="D253" s="77"/>
      <c r="I253" s="79" t="str">
        <f t="shared" si="3"/>
        <v/>
      </c>
      <c r="J253" s="84" t="str">
        <f>IFERROR(ROUNDUP(8*(I253/VLOOKUP(B253,Table2[],5,0)),0),"")</f>
        <v/>
      </c>
      <c r="K253" s="1" t="str">
        <f>IFERROR(ROUNDUP(8*(E253/VLOOKUP(B253,Table2[],5,0)),0),"")</f>
        <v/>
      </c>
      <c r="L253" s="1" t="str">
        <f>IFERROR(ROUNDUP(8*(F253/VLOOKUP(B253,Table2[],5,0)),0),"")</f>
        <v/>
      </c>
      <c r="M253" s="1" t="str">
        <f>IFERROR(ROUNDUP(8*(G253/VLOOKUP(B253,Table2[],5,0)),0),"")</f>
        <v/>
      </c>
      <c r="N253" s="1" t="str">
        <f>IFERROR(ROUNDUP(8*(H253/VLOOKUP(B253,Table2[],5,0)),0),"")</f>
        <v/>
      </c>
    </row>
    <row r="254" spans="2:14" x14ac:dyDescent="0.25">
      <c r="B254" s="71"/>
      <c r="C254" s="74" t="str">
        <f>IFERROR(VLOOKUP(B254,Table2[],2,0),"")</f>
        <v/>
      </c>
      <c r="D254" s="77"/>
      <c r="I254" s="79" t="str">
        <f t="shared" si="3"/>
        <v/>
      </c>
      <c r="J254" s="84" t="str">
        <f>IFERROR(ROUNDUP(8*(I254/VLOOKUP(B254,Table2[],5,0)),0),"")</f>
        <v/>
      </c>
      <c r="K254" s="1" t="str">
        <f>IFERROR(ROUNDUP(8*(E254/VLOOKUP(B254,Table2[],5,0)),0),"")</f>
        <v/>
      </c>
      <c r="L254" s="1" t="str">
        <f>IFERROR(ROUNDUP(8*(F254/VLOOKUP(B254,Table2[],5,0)),0),"")</f>
        <v/>
      </c>
      <c r="M254" s="1" t="str">
        <f>IFERROR(ROUNDUP(8*(G254/VLOOKUP(B254,Table2[],5,0)),0),"")</f>
        <v/>
      </c>
      <c r="N254" s="1" t="str">
        <f>IFERROR(ROUNDUP(8*(H254/VLOOKUP(B254,Table2[],5,0)),0),"")</f>
        <v/>
      </c>
    </row>
    <row r="255" spans="2:14" x14ac:dyDescent="0.25">
      <c r="B255" s="71"/>
      <c r="C255" s="74" t="str">
        <f>IFERROR(VLOOKUP(B255,Table2[],2,0),"")</f>
        <v/>
      </c>
      <c r="D255" s="77"/>
      <c r="I255" s="79" t="str">
        <f t="shared" si="3"/>
        <v/>
      </c>
      <c r="J255" s="84" t="str">
        <f>IFERROR(ROUNDUP(8*(I255/VLOOKUP(B255,Table2[],5,0)),0),"")</f>
        <v/>
      </c>
      <c r="K255" s="1" t="str">
        <f>IFERROR(ROUNDUP(8*(E255/VLOOKUP(B255,Table2[],5,0)),0),"")</f>
        <v/>
      </c>
      <c r="L255" s="1" t="str">
        <f>IFERROR(ROUNDUP(8*(F255/VLOOKUP(B255,Table2[],5,0)),0),"")</f>
        <v/>
      </c>
      <c r="M255" s="1" t="str">
        <f>IFERROR(ROUNDUP(8*(G255/VLOOKUP(B255,Table2[],5,0)),0),"")</f>
        <v/>
      </c>
      <c r="N255" s="1" t="str">
        <f>IFERROR(ROUNDUP(8*(H255/VLOOKUP(B255,Table2[],5,0)),0),"")</f>
        <v/>
      </c>
    </row>
    <row r="256" spans="2:14" x14ac:dyDescent="0.25">
      <c r="B256" s="71"/>
      <c r="C256" s="74" t="str">
        <f>IFERROR(VLOOKUP(B256,Table2[],2,0),"")</f>
        <v/>
      </c>
      <c r="D256" s="77"/>
      <c r="I256" s="79" t="str">
        <f t="shared" si="3"/>
        <v/>
      </c>
      <c r="J256" s="84" t="str">
        <f>IFERROR(ROUNDUP(8*(I256/VLOOKUP(B256,Table2[],5,0)),0),"")</f>
        <v/>
      </c>
      <c r="K256" s="1" t="str">
        <f>IFERROR(ROUNDUP(8*(E256/VLOOKUP(B256,Table2[],5,0)),0),"")</f>
        <v/>
      </c>
      <c r="L256" s="1" t="str">
        <f>IFERROR(ROUNDUP(8*(F256/VLOOKUP(B256,Table2[],5,0)),0),"")</f>
        <v/>
      </c>
      <c r="M256" s="1" t="str">
        <f>IFERROR(ROUNDUP(8*(G256/VLOOKUP(B256,Table2[],5,0)),0),"")</f>
        <v/>
      </c>
      <c r="N256" s="1" t="str">
        <f>IFERROR(ROUNDUP(8*(H256/VLOOKUP(B256,Table2[],5,0)),0),"")</f>
        <v/>
      </c>
    </row>
    <row r="257" spans="2:14" x14ac:dyDescent="0.25">
      <c r="B257" s="71"/>
      <c r="C257" s="74" t="str">
        <f>IFERROR(VLOOKUP(B257,Table2[],2,0),"")</f>
        <v/>
      </c>
      <c r="D257" s="77"/>
      <c r="I257" s="79" t="str">
        <f t="shared" si="3"/>
        <v/>
      </c>
      <c r="J257" s="84" t="str">
        <f>IFERROR(ROUNDUP(8*(I257/VLOOKUP(B257,Table2[],5,0)),0),"")</f>
        <v/>
      </c>
      <c r="K257" s="1" t="str">
        <f>IFERROR(ROUNDUP(8*(E257/VLOOKUP(B257,Table2[],5,0)),0),"")</f>
        <v/>
      </c>
      <c r="L257" s="1" t="str">
        <f>IFERROR(ROUNDUP(8*(F257/VLOOKUP(B257,Table2[],5,0)),0),"")</f>
        <v/>
      </c>
      <c r="M257" s="1" t="str">
        <f>IFERROR(ROUNDUP(8*(G257/VLOOKUP(B257,Table2[],5,0)),0),"")</f>
        <v/>
      </c>
      <c r="N257" s="1" t="str">
        <f>IFERROR(ROUNDUP(8*(H257/VLOOKUP(B257,Table2[],5,0)),0),"")</f>
        <v/>
      </c>
    </row>
    <row r="258" spans="2:14" x14ac:dyDescent="0.25">
      <c r="B258" s="71"/>
      <c r="C258" s="74" t="str">
        <f>IFERROR(VLOOKUP(B258,Table2[],2,0),"")</f>
        <v/>
      </c>
      <c r="D258" s="77"/>
      <c r="I258" s="79" t="str">
        <f t="shared" si="3"/>
        <v/>
      </c>
      <c r="J258" s="84" t="str">
        <f>IFERROR(ROUNDUP(8*(I258/VLOOKUP(B258,Table2[],5,0)),0),"")</f>
        <v/>
      </c>
      <c r="K258" s="1" t="str">
        <f>IFERROR(ROUNDUP(8*(E258/VLOOKUP(B258,Table2[],5,0)),0),"")</f>
        <v/>
      </c>
      <c r="L258" s="1" t="str">
        <f>IFERROR(ROUNDUP(8*(F258/VLOOKUP(B258,Table2[],5,0)),0),"")</f>
        <v/>
      </c>
      <c r="M258" s="1" t="str">
        <f>IFERROR(ROUNDUP(8*(G258/VLOOKUP(B258,Table2[],5,0)),0),"")</f>
        <v/>
      </c>
      <c r="N258" s="1" t="str">
        <f>IFERROR(ROUNDUP(8*(H258/VLOOKUP(B258,Table2[],5,0)),0),"")</f>
        <v/>
      </c>
    </row>
    <row r="259" spans="2:14" x14ac:dyDescent="0.25">
      <c r="B259" s="71"/>
      <c r="C259" s="74" t="str">
        <f>IFERROR(VLOOKUP(B259,Table2[],2,0),"")</f>
        <v/>
      </c>
      <c r="D259" s="77"/>
      <c r="I259" s="79" t="str">
        <f t="shared" si="3"/>
        <v/>
      </c>
      <c r="J259" s="84" t="str">
        <f>IFERROR(ROUNDUP(8*(I259/VLOOKUP(B259,Table2[],5,0)),0),"")</f>
        <v/>
      </c>
      <c r="K259" s="1" t="str">
        <f>IFERROR(ROUNDUP(8*(E259/VLOOKUP(B259,Table2[],5,0)),0),"")</f>
        <v/>
      </c>
      <c r="L259" s="1" t="str">
        <f>IFERROR(ROUNDUP(8*(F259/VLOOKUP(B259,Table2[],5,0)),0),"")</f>
        <v/>
      </c>
      <c r="M259" s="1" t="str">
        <f>IFERROR(ROUNDUP(8*(G259/VLOOKUP(B259,Table2[],5,0)),0),"")</f>
        <v/>
      </c>
      <c r="N259" s="1" t="str">
        <f>IFERROR(ROUNDUP(8*(H259/VLOOKUP(B259,Table2[],5,0)),0),"")</f>
        <v/>
      </c>
    </row>
    <row r="260" spans="2:14" x14ac:dyDescent="0.25">
      <c r="B260" s="71"/>
      <c r="C260" s="74" t="str">
        <f>IFERROR(VLOOKUP(B260,Table2[],2,0),"")</f>
        <v/>
      </c>
      <c r="D260" s="77"/>
      <c r="I260" s="79" t="str">
        <f t="shared" si="3"/>
        <v/>
      </c>
      <c r="J260" s="84" t="str">
        <f>IFERROR(ROUNDUP(8*(I260/VLOOKUP(B260,Table2[],5,0)),0),"")</f>
        <v/>
      </c>
      <c r="K260" s="1" t="str">
        <f>IFERROR(ROUNDUP(8*(E260/VLOOKUP(B260,Table2[],5,0)),0),"")</f>
        <v/>
      </c>
      <c r="L260" s="1" t="str">
        <f>IFERROR(ROUNDUP(8*(F260/VLOOKUP(B260,Table2[],5,0)),0),"")</f>
        <v/>
      </c>
      <c r="M260" s="1" t="str">
        <f>IFERROR(ROUNDUP(8*(G260/VLOOKUP(B260,Table2[],5,0)),0),"")</f>
        <v/>
      </c>
      <c r="N260" s="1" t="str">
        <f>IFERROR(ROUNDUP(8*(H260/VLOOKUP(B260,Table2[],5,0)),0),"")</f>
        <v/>
      </c>
    </row>
    <row r="261" spans="2:14" x14ac:dyDescent="0.25">
      <c r="B261" s="71"/>
      <c r="C261" s="74" t="str">
        <f>IFERROR(VLOOKUP(B261,Table2[],2,0),"")</f>
        <v/>
      </c>
      <c r="D261" s="77"/>
      <c r="I261" s="79" t="str">
        <f t="shared" si="3"/>
        <v/>
      </c>
      <c r="J261" s="84" t="str">
        <f>IFERROR(ROUNDUP(8*(I261/VLOOKUP(B261,Table2[],5,0)),0),"")</f>
        <v/>
      </c>
      <c r="K261" s="1" t="str">
        <f>IFERROR(ROUNDUP(8*(E261/VLOOKUP(B261,Table2[],5,0)),0),"")</f>
        <v/>
      </c>
      <c r="L261" s="1" t="str">
        <f>IFERROR(ROUNDUP(8*(F261/VLOOKUP(B261,Table2[],5,0)),0),"")</f>
        <v/>
      </c>
      <c r="M261" s="1" t="str">
        <f>IFERROR(ROUNDUP(8*(G261/VLOOKUP(B261,Table2[],5,0)),0),"")</f>
        <v/>
      </c>
      <c r="N261" s="1" t="str">
        <f>IFERROR(ROUNDUP(8*(H261/VLOOKUP(B261,Table2[],5,0)),0),"")</f>
        <v/>
      </c>
    </row>
    <row r="262" spans="2:14" x14ac:dyDescent="0.25">
      <c r="B262" s="71"/>
      <c r="C262" s="74" t="str">
        <f>IFERROR(VLOOKUP(B262,Table2[],2,0),"")</f>
        <v/>
      </c>
      <c r="D262" s="77"/>
      <c r="I262" s="79" t="str">
        <f t="shared" si="3"/>
        <v/>
      </c>
      <c r="J262" s="84" t="str">
        <f>IFERROR(ROUNDUP(8*(I262/VLOOKUP(B262,Table2[],5,0)),0),"")</f>
        <v/>
      </c>
      <c r="K262" s="1" t="str">
        <f>IFERROR(ROUNDUP(8*(E262/VLOOKUP(B262,Table2[],5,0)),0),"")</f>
        <v/>
      </c>
      <c r="L262" s="1" t="str">
        <f>IFERROR(ROUNDUP(8*(F262/VLOOKUP(B262,Table2[],5,0)),0),"")</f>
        <v/>
      </c>
      <c r="M262" s="1" t="str">
        <f>IFERROR(ROUNDUP(8*(G262/VLOOKUP(B262,Table2[],5,0)),0),"")</f>
        <v/>
      </c>
      <c r="N262" s="1" t="str">
        <f>IFERROR(ROUNDUP(8*(H262/VLOOKUP(B262,Table2[],5,0)),0),"")</f>
        <v/>
      </c>
    </row>
    <row r="263" spans="2:14" x14ac:dyDescent="0.25">
      <c r="B263" s="71"/>
      <c r="C263" s="74" t="str">
        <f>IFERROR(VLOOKUP(B263,Table2[],2,0),"")</f>
        <v/>
      </c>
      <c r="D263" s="77"/>
      <c r="I263" s="79" t="str">
        <f t="shared" ref="I263:I326" si="4">IF(B263="","",SUM(E263:H263))</f>
        <v/>
      </c>
      <c r="J263" s="84" t="str">
        <f>IFERROR(ROUNDUP(8*(I263/VLOOKUP(B263,Table2[],5,0)),0),"")</f>
        <v/>
      </c>
      <c r="K263" s="1" t="str">
        <f>IFERROR(ROUNDUP(8*(E263/VLOOKUP(B263,Table2[],5,0)),0),"")</f>
        <v/>
      </c>
      <c r="L263" s="1" t="str">
        <f>IFERROR(ROUNDUP(8*(F263/VLOOKUP(B263,Table2[],5,0)),0),"")</f>
        <v/>
      </c>
      <c r="M263" s="1" t="str">
        <f>IFERROR(ROUNDUP(8*(G263/VLOOKUP(B263,Table2[],5,0)),0),"")</f>
        <v/>
      </c>
      <c r="N263" s="1" t="str">
        <f>IFERROR(ROUNDUP(8*(H263/VLOOKUP(B263,Table2[],5,0)),0),"")</f>
        <v/>
      </c>
    </row>
    <row r="264" spans="2:14" x14ac:dyDescent="0.25">
      <c r="B264" s="71"/>
      <c r="C264" s="74" t="str">
        <f>IFERROR(VLOOKUP(B264,Table2[],2,0),"")</f>
        <v/>
      </c>
      <c r="D264" s="77"/>
      <c r="I264" s="79" t="str">
        <f t="shared" si="4"/>
        <v/>
      </c>
      <c r="J264" s="84" t="str">
        <f>IFERROR(ROUNDUP(8*(I264/VLOOKUP(B264,Table2[],5,0)),0),"")</f>
        <v/>
      </c>
      <c r="K264" s="1" t="str">
        <f>IFERROR(ROUNDUP(8*(E264/VLOOKUP(B264,Table2[],5,0)),0),"")</f>
        <v/>
      </c>
      <c r="L264" s="1" t="str">
        <f>IFERROR(ROUNDUP(8*(F264/VLOOKUP(B264,Table2[],5,0)),0),"")</f>
        <v/>
      </c>
      <c r="M264" s="1" t="str">
        <f>IFERROR(ROUNDUP(8*(G264/VLOOKUP(B264,Table2[],5,0)),0),"")</f>
        <v/>
      </c>
      <c r="N264" s="1" t="str">
        <f>IFERROR(ROUNDUP(8*(H264/VLOOKUP(B264,Table2[],5,0)),0),"")</f>
        <v/>
      </c>
    </row>
    <row r="265" spans="2:14" x14ac:dyDescent="0.25">
      <c r="B265" s="71"/>
      <c r="C265" s="74" t="str">
        <f>IFERROR(VLOOKUP(B265,Table2[],2,0),"")</f>
        <v/>
      </c>
      <c r="D265" s="77"/>
      <c r="I265" s="79" t="str">
        <f t="shared" si="4"/>
        <v/>
      </c>
      <c r="J265" s="84" t="str">
        <f>IFERROR(ROUNDUP(8*(I265/VLOOKUP(B265,Table2[],5,0)),0),"")</f>
        <v/>
      </c>
      <c r="K265" s="1" t="str">
        <f>IFERROR(ROUNDUP(8*(E265/VLOOKUP(B265,Table2[],5,0)),0),"")</f>
        <v/>
      </c>
      <c r="L265" s="1" t="str">
        <f>IFERROR(ROUNDUP(8*(F265/VLOOKUP(B265,Table2[],5,0)),0),"")</f>
        <v/>
      </c>
      <c r="M265" s="1" t="str">
        <f>IFERROR(ROUNDUP(8*(G265/VLOOKUP(B265,Table2[],5,0)),0),"")</f>
        <v/>
      </c>
      <c r="N265" s="1" t="str">
        <f>IFERROR(ROUNDUP(8*(H265/VLOOKUP(B265,Table2[],5,0)),0),"")</f>
        <v/>
      </c>
    </row>
    <row r="266" spans="2:14" x14ac:dyDescent="0.25">
      <c r="B266" s="71"/>
      <c r="C266" s="74" t="str">
        <f>IFERROR(VLOOKUP(B266,Table2[],2,0),"")</f>
        <v/>
      </c>
      <c r="D266" s="77"/>
      <c r="I266" s="79" t="str">
        <f t="shared" si="4"/>
        <v/>
      </c>
      <c r="J266" s="84" t="str">
        <f>IFERROR(ROUNDUP(8*(I266/VLOOKUP(B266,Table2[],5,0)),0),"")</f>
        <v/>
      </c>
      <c r="K266" s="1" t="str">
        <f>IFERROR(ROUNDUP(8*(E266/VLOOKUP(B266,Table2[],5,0)),0),"")</f>
        <v/>
      </c>
      <c r="L266" s="1" t="str">
        <f>IFERROR(ROUNDUP(8*(F266/VLOOKUP(B266,Table2[],5,0)),0),"")</f>
        <v/>
      </c>
      <c r="M266" s="1" t="str">
        <f>IFERROR(ROUNDUP(8*(G266/VLOOKUP(B266,Table2[],5,0)),0),"")</f>
        <v/>
      </c>
      <c r="N266" s="1" t="str">
        <f>IFERROR(ROUNDUP(8*(H266/VLOOKUP(B266,Table2[],5,0)),0),"")</f>
        <v/>
      </c>
    </row>
    <row r="267" spans="2:14" x14ac:dyDescent="0.25">
      <c r="B267" s="71"/>
      <c r="C267" s="74" t="str">
        <f>IFERROR(VLOOKUP(B267,Table2[],2,0),"")</f>
        <v/>
      </c>
      <c r="D267" s="77"/>
      <c r="I267" s="79" t="str">
        <f t="shared" si="4"/>
        <v/>
      </c>
      <c r="J267" s="84" t="str">
        <f>IFERROR(ROUNDUP(8*(I267/VLOOKUP(B267,Table2[],5,0)),0),"")</f>
        <v/>
      </c>
      <c r="K267" s="1" t="str">
        <f>IFERROR(ROUNDUP(8*(E267/VLOOKUP(B267,Table2[],5,0)),0),"")</f>
        <v/>
      </c>
      <c r="L267" s="1" t="str">
        <f>IFERROR(ROUNDUP(8*(F267/VLOOKUP(B267,Table2[],5,0)),0),"")</f>
        <v/>
      </c>
      <c r="M267" s="1" t="str">
        <f>IFERROR(ROUNDUP(8*(G267/VLOOKUP(B267,Table2[],5,0)),0),"")</f>
        <v/>
      </c>
      <c r="N267" s="1" t="str">
        <f>IFERROR(ROUNDUP(8*(H267/VLOOKUP(B267,Table2[],5,0)),0),"")</f>
        <v/>
      </c>
    </row>
    <row r="268" spans="2:14" x14ac:dyDescent="0.25">
      <c r="B268" s="71"/>
      <c r="C268" s="74" t="str">
        <f>IFERROR(VLOOKUP(B268,Table2[],2,0),"")</f>
        <v/>
      </c>
      <c r="D268" s="77"/>
      <c r="I268" s="79" t="str">
        <f t="shared" si="4"/>
        <v/>
      </c>
      <c r="J268" s="84" t="str">
        <f>IFERROR(ROUNDUP(8*(I268/VLOOKUP(B268,Table2[],5,0)),0),"")</f>
        <v/>
      </c>
      <c r="K268" s="1" t="str">
        <f>IFERROR(ROUNDUP(8*(E268/VLOOKUP(B268,Table2[],5,0)),0),"")</f>
        <v/>
      </c>
      <c r="L268" s="1" t="str">
        <f>IFERROR(ROUNDUP(8*(F268/VLOOKUP(B268,Table2[],5,0)),0),"")</f>
        <v/>
      </c>
      <c r="M268" s="1" t="str">
        <f>IFERROR(ROUNDUP(8*(G268/VLOOKUP(B268,Table2[],5,0)),0),"")</f>
        <v/>
      </c>
      <c r="N268" s="1" t="str">
        <f>IFERROR(ROUNDUP(8*(H268/VLOOKUP(B268,Table2[],5,0)),0),"")</f>
        <v/>
      </c>
    </row>
    <row r="269" spans="2:14" x14ac:dyDescent="0.25">
      <c r="B269" s="71"/>
      <c r="C269" s="74" t="str">
        <f>IFERROR(VLOOKUP(B269,Table2[],2,0),"")</f>
        <v/>
      </c>
      <c r="D269" s="77"/>
      <c r="I269" s="79" t="str">
        <f t="shared" si="4"/>
        <v/>
      </c>
      <c r="J269" s="84" t="str">
        <f>IFERROR(ROUNDUP(8*(I269/VLOOKUP(B269,Table2[],5,0)),0),"")</f>
        <v/>
      </c>
      <c r="K269" s="1" t="str">
        <f>IFERROR(ROUNDUP(8*(E269/VLOOKUP(B269,Table2[],5,0)),0),"")</f>
        <v/>
      </c>
      <c r="L269" s="1" t="str">
        <f>IFERROR(ROUNDUP(8*(F269/VLOOKUP(B269,Table2[],5,0)),0),"")</f>
        <v/>
      </c>
      <c r="M269" s="1" t="str">
        <f>IFERROR(ROUNDUP(8*(G269/VLOOKUP(B269,Table2[],5,0)),0),"")</f>
        <v/>
      </c>
      <c r="N269" s="1" t="str">
        <f>IFERROR(ROUNDUP(8*(H269/VLOOKUP(B269,Table2[],5,0)),0),"")</f>
        <v/>
      </c>
    </row>
    <row r="270" spans="2:14" x14ac:dyDescent="0.25">
      <c r="B270" s="71"/>
      <c r="C270" s="74" t="str">
        <f>IFERROR(VLOOKUP(B270,Table2[],2,0),"")</f>
        <v/>
      </c>
      <c r="D270" s="77"/>
      <c r="I270" s="79" t="str">
        <f t="shared" si="4"/>
        <v/>
      </c>
      <c r="J270" s="84" t="str">
        <f>IFERROR(ROUNDUP(8*(I270/VLOOKUP(B270,Table2[],5,0)),0),"")</f>
        <v/>
      </c>
      <c r="K270" s="1" t="str">
        <f>IFERROR(ROUNDUP(8*(E270/VLOOKUP(B270,Table2[],5,0)),0),"")</f>
        <v/>
      </c>
      <c r="L270" s="1" t="str">
        <f>IFERROR(ROUNDUP(8*(F270/VLOOKUP(B270,Table2[],5,0)),0),"")</f>
        <v/>
      </c>
      <c r="M270" s="1" t="str">
        <f>IFERROR(ROUNDUP(8*(G270/VLOOKUP(B270,Table2[],5,0)),0),"")</f>
        <v/>
      </c>
      <c r="N270" s="1" t="str">
        <f>IFERROR(ROUNDUP(8*(H270/VLOOKUP(B270,Table2[],5,0)),0),"")</f>
        <v/>
      </c>
    </row>
    <row r="271" spans="2:14" x14ac:dyDescent="0.25">
      <c r="B271" s="71"/>
      <c r="C271" s="74" t="str">
        <f>IFERROR(VLOOKUP(B271,Table2[],2,0),"")</f>
        <v/>
      </c>
      <c r="D271" s="77"/>
      <c r="I271" s="79" t="str">
        <f t="shared" si="4"/>
        <v/>
      </c>
      <c r="J271" s="84" t="str">
        <f>IFERROR(ROUNDUP(8*(I271/VLOOKUP(B271,Table2[],5,0)),0),"")</f>
        <v/>
      </c>
      <c r="K271" s="1" t="str">
        <f>IFERROR(ROUNDUP(8*(E271/VLOOKUP(B271,Table2[],5,0)),0),"")</f>
        <v/>
      </c>
      <c r="L271" s="1" t="str">
        <f>IFERROR(ROUNDUP(8*(F271/VLOOKUP(B271,Table2[],5,0)),0),"")</f>
        <v/>
      </c>
      <c r="M271" s="1" t="str">
        <f>IFERROR(ROUNDUP(8*(G271/VLOOKUP(B271,Table2[],5,0)),0),"")</f>
        <v/>
      </c>
      <c r="N271" s="1" t="str">
        <f>IFERROR(ROUNDUP(8*(H271/VLOOKUP(B271,Table2[],5,0)),0),"")</f>
        <v/>
      </c>
    </row>
    <row r="272" spans="2:14" x14ac:dyDescent="0.25">
      <c r="B272" s="71"/>
      <c r="C272" s="74" t="str">
        <f>IFERROR(VLOOKUP(B272,Table2[],2,0),"")</f>
        <v/>
      </c>
      <c r="D272" s="77"/>
      <c r="I272" s="79" t="str">
        <f t="shared" si="4"/>
        <v/>
      </c>
      <c r="J272" s="84" t="str">
        <f>IFERROR(ROUNDUP(8*(I272/VLOOKUP(B272,Table2[],5,0)),0),"")</f>
        <v/>
      </c>
      <c r="K272" s="1" t="str">
        <f>IFERROR(ROUNDUP(8*(E272/VLOOKUP(B272,Table2[],5,0)),0),"")</f>
        <v/>
      </c>
      <c r="L272" s="1" t="str">
        <f>IFERROR(ROUNDUP(8*(F272/VLOOKUP(B272,Table2[],5,0)),0),"")</f>
        <v/>
      </c>
      <c r="M272" s="1" t="str">
        <f>IFERROR(ROUNDUP(8*(G272/VLOOKUP(B272,Table2[],5,0)),0),"")</f>
        <v/>
      </c>
      <c r="N272" s="1" t="str">
        <f>IFERROR(ROUNDUP(8*(H272/VLOOKUP(B272,Table2[],5,0)),0),"")</f>
        <v/>
      </c>
    </row>
    <row r="273" spans="2:14" x14ac:dyDescent="0.25">
      <c r="B273" s="71"/>
      <c r="C273" s="74" t="str">
        <f>IFERROR(VLOOKUP(B273,Table2[],2,0),"")</f>
        <v/>
      </c>
      <c r="D273" s="77"/>
      <c r="I273" s="79" t="str">
        <f t="shared" si="4"/>
        <v/>
      </c>
      <c r="J273" s="84" t="str">
        <f>IFERROR(ROUNDUP(8*(I273/VLOOKUP(B273,Table2[],5,0)),0),"")</f>
        <v/>
      </c>
      <c r="K273" s="1" t="str">
        <f>IFERROR(ROUNDUP(8*(E273/VLOOKUP(B273,Table2[],5,0)),0),"")</f>
        <v/>
      </c>
      <c r="L273" s="1" t="str">
        <f>IFERROR(ROUNDUP(8*(F273/VLOOKUP(B273,Table2[],5,0)),0),"")</f>
        <v/>
      </c>
      <c r="M273" s="1" t="str">
        <f>IFERROR(ROUNDUP(8*(G273/VLOOKUP(B273,Table2[],5,0)),0),"")</f>
        <v/>
      </c>
      <c r="N273" s="1" t="str">
        <f>IFERROR(ROUNDUP(8*(H273/VLOOKUP(B273,Table2[],5,0)),0),"")</f>
        <v/>
      </c>
    </row>
    <row r="274" spans="2:14" x14ac:dyDescent="0.25">
      <c r="B274" s="71"/>
      <c r="C274" s="74" t="str">
        <f>IFERROR(VLOOKUP(B274,Table2[],2,0),"")</f>
        <v/>
      </c>
      <c r="D274" s="77"/>
      <c r="I274" s="79" t="str">
        <f t="shared" si="4"/>
        <v/>
      </c>
      <c r="J274" s="84" t="str">
        <f>IFERROR(ROUNDUP(8*(I274/VLOOKUP(B274,Table2[],5,0)),0),"")</f>
        <v/>
      </c>
      <c r="K274" s="1" t="str">
        <f>IFERROR(ROUNDUP(8*(E274/VLOOKUP(B274,Table2[],5,0)),0),"")</f>
        <v/>
      </c>
      <c r="L274" s="1" t="str">
        <f>IFERROR(ROUNDUP(8*(F274/VLOOKUP(B274,Table2[],5,0)),0),"")</f>
        <v/>
      </c>
      <c r="M274" s="1" t="str">
        <f>IFERROR(ROUNDUP(8*(G274/VLOOKUP(B274,Table2[],5,0)),0),"")</f>
        <v/>
      </c>
      <c r="N274" s="1" t="str">
        <f>IFERROR(ROUNDUP(8*(H274/VLOOKUP(B274,Table2[],5,0)),0),"")</f>
        <v/>
      </c>
    </row>
    <row r="275" spans="2:14" x14ac:dyDescent="0.25">
      <c r="B275" s="71"/>
      <c r="C275" s="74" t="str">
        <f>IFERROR(VLOOKUP(B275,Table2[],2,0),"")</f>
        <v/>
      </c>
      <c r="D275" s="77"/>
      <c r="I275" s="79" t="str">
        <f t="shared" si="4"/>
        <v/>
      </c>
      <c r="J275" s="84" t="str">
        <f>IFERROR(ROUNDUP(8*(I275/VLOOKUP(B275,Table2[],5,0)),0),"")</f>
        <v/>
      </c>
      <c r="K275" s="1" t="str">
        <f>IFERROR(ROUNDUP(8*(E275/VLOOKUP(B275,Table2[],5,0)),0),"")</f>
        <v/>
      </c>
      <c r="L275" s="1" t="str">
        <f>IFERROR(ROUNDUP(8*(F275/VLOOKUP(B275,Table2[],5,0)),0),"")</f>
        <v/>
      </c>
      <c r="M275" s="1" t="str">
        <f>IFERROR(ROUNDUP(8*(G275/VLOOKUP(B275,Table2[],5,0)),0),"")</f>
        <v/>
      </c>
      <c r="N275" s="1" t="str">
        <f>IFERROR(ROUNDUP(8*(H275/VLOOKUP(B275,Table2[],5,0)),0),"")</f>
        <v/>
      </c>
    </row>
    <row r="276" spans="2:14" x14ac:dyDescent="0.25">
      <c r="B276" s="71"/>
      <c r="C276" s="74" t="str">
        <f>IFERROR(VLOOKUP(B276,Table2[],2,0),"")</f>
        <v/>
      </c>
      <c r="D276" s="77"/>
      <c r="I276" s="79" t="str">
        <f t="shared" si="4"/>
        <v/>
      </c>
      <c r="J276" s="84" t="str">
        <f>IFERROR(ROUNDUP(8*(I276/VLOOKUP(B276,Table2[],5,0)),0),"")</f>
        <v/>
      </c>
      <c r="K276" s="1" t="str">
        <f>IFERROR(ROUNDUP(8*(E276/VLOOKUP(B276,Table2[],5,0)),0),"")</f>
        <v/>
      </c>
      <c r="L276" s="1" t="str">
        <f>IFERROR(ROUNDUP(8*(F276/VLOOKUP(B276,Table2[],5,0)),0),"")</f>
        <v/>
      </c>
      <c r="M276" s="1" t="str">
        <f>IFERROR(ROUNDUP(8*(G276/VLOOKUP(B276,Table2[],5,0)),0),"")</f>
        <v/>
      </c>
      <c r="N276" s="1" t="str">
        <f>IFERROR(ROUNDUP(8*(H276/VLOOKUP(B276,Table2[],5,0)),0),"")</f>
        <v/>
      </c>
    </row>
    <row r="277" spans="2:14" x14ac:dyDescent="0.25">
      <c r="B277" s="71"/>
      <c r="C277" s="74" t="str">
        <f>IFERROR(VLOOKUP(B277,Table2[],2,0),"")</f>
        <v/>
      </c>
      <c r="D277" s="77"/>
      <c r="I277" s="79" t="str">
        <f t="shared" si="4"/>
        <v/>
      </c>
      <c r="J277" s="84" t="str">
        <f>IFERROR(ROUNDUP(8*(I277/VLOOKUP(B277,Table2[],5,0)),0),"")</f>
        <v/>
      </c>
      <c r="K277" s="1" t="str">
        <f>IFERROR(ROUNDUP(8*(E277/VLOOKUP(B277,Table2[],5,0)),0),"")</f>
        <v/>
      </c>
      <c r="L277" s="1" t="str">
        <f>IFERROR(ROUNDUP(8*(F277/VLOOKUP(B277,Table2[],5,0)),0),"")</f>
        <v/>
      </c>
      <c r="M277" s="1" t="str">
        <f>IFERROR(ROUNDUP(8*(G277/VLOOKUP(B277,Table2[],5,0)),0),"")</f>
        <v/>
      </c>
      <c r="N277" s="1" t="str">
        <f>IFERROR(ROUNDUP(8*(H277/VLOOKUP(B277,Table2[],5,0)),0),"")</f>
        <v/>
      </c>
    </row>
    <row r="278" spans="2:14" x14ac:dyDescent="0.25">
      <c r="B278" s="71"/>
      <c r="C278" s="74" t="str">
        <f>IFERROR(VLOOKUP(B278,Table2[],2,0),"")</f>
        <v/>
      </c>
      <c r="D278" s="77"/>
      <c r="I278" s="79" t="str">
        <f t="shared" si="4"/>
        <v/>
      </c>
      <c r="J278" s="84" t="str">
        <f>IFERROR(ROUNDUP(8*(I278/VLOOKUP(B278,Table2[],5,0)),0),"")</f>
        <v/>
      </c>
      <c r="K278" s="1" t="str">
        <f>IFERROR(ROUNDUP(8*(E278/VLOOKUP(B278,Table2[],5,0)),0),"")</f>
        <v/>
      </c>
      <c r="L278" s="1" t="str">
        <f>IFERROR(ROUNDUP(8*(F278/VLOOKUP(B278,Table2[],5,0)),0),"")</f>
        <v/>
      </c>
      <c r="M278" s="1" t="str">
        <f>IFERROR(ROUNDUP(8*(G278/VLOOKUP(B278,Table2[],5,0)),0),"")</f>
        <v/>
      </c>
      <c r="N278" s="1" t="str">
        <f>IFERROR(ROUNDUP(8*(H278/VLOOKUP(B278,Table2[],5,0)),0),"")</f>
        <v/>
      </c>
    </row>
    <row r="279" spans="2:14" x14ac:dyDescent="0.25">
      <c r="B279" s="71"/>
      <c r="C279" s="74" t="str">
        <f>IFERROR(VLOOKUP(B279,Table2[],2,0),"")</f>
        <v/>
      </c>
      <c r="D279" s="77"/>
      <c r="I279" s="79" t="str">
        <f t="shared" si="4"/>
        <v/>
      </c>
      <c r="J279" s="84" t="str">
        <f>IFERROR(ROUNDUP(8*(I279/VLOOKUP(B279,Table2[],5,0)),0),"")</f>
        <v/>
      </c>
      <c r="K279" s="1" t="str">
        <f>IFERROR(ROUNDUP(8*(E279/VLOOKUP(B279,Table2[],5,0)),0),"")</f>
        <v/>
      </c>
      <c r="L279" s="1" t="str">
        <f>IFERROR(ROUNDUP(8*(F279/VLOOKUP(B279,Table2[],5,0)),0),"")</f>
        <v/>
      </c>
      <c r="M279" s="1" t="str">
        <f>IFERROR(ROUNDUP(8*(G279/VLOOKUP(B279,Table2[],5,0)),0),"")</f>
        <v/>
      </c>
      <c r="N279" s="1" t="str">
        <f>IFERROR(ROUNDUP(8*(H279/VLOOKUP(B279,Table2[],5,0)),0),"")</f>
        <v/>
      </c>
    </row>
    <row r="280" spans="2:14" x14ac:dyDescent="0.25">
      <c r="B280" s="71"/>
      <c r="C280" s="74" t="str">
        <f>IFERROR(VLOOKUP(B280,Table2[],2,0),"")</f>
        <v/>
      </c>
      <c r="D280" s="77"/>
      <c r="I280" s="79" t="str">
        <f t="shared" si="4"/>
        <v/>
      </c>
      <c r="J280" s="84" t="str">
        <f>IFERROR(ROUNDUP(8*(I280/VLOOKUP(B280,Table2[],5,0)),0),"")</f>
        <v/>
      </c>
      <c r="K280" s="1" t="str">
        <f>IFERROR(ROUNDUP(8*(E280/VLOOKUP(B280,Table2[],5,0)),0),"")</f>
        <v/>
      </c>
      <c r="L280" s="1" t="str">
        <f>IFERROR(ROUNDUP(8*(F280/VLOOKUP(B280,Table2[],5,0)),0),"")</f>
        <v/>
      </c>
      <c r="M280" s="1" t="str">
        <f>IFERROR(ROUNDUP(8*(G280/VLOOKUP(B280,Table2[],5,0)),0),"")</f>
        <v/>
      </c>
      <c r="N280" s="1" t="str">
        <f>IFERROR(ROUNDUP(8*(H280/VLOOKUP(B280,Table2[],5,0)),0),"")</f>
        <v/>
      </c>
    </row>
    <row r="281" spans="2:14" x14ac:dyDescent="0.25">
      <c r="B281" s="71"/>
      <c r="C281" s="74" t="str">
        <f>IFERROR(VLOOKUP(B281,Table2[],2,0),"")</f>
        <v/>
      </c>
      <c r="D281" s="77"/>
      <c r="I281" s="79" t="str">
        <f t="shared" si="4"/>
        <v/>
      </c>
      <c r="J281" s="84" t="str">
        <f>IFERROR(ROUNDUP(8*(I281/VLOOKUP(B281,Table2[],5,0)),0),"")</f>
        <v/>
      </c>
      <c r="K281" s="1" t="str">
        <f>IFERROR(ROUNDUP(8*(E281/VLOOKUP(B281,Table2[],5,0)),0),"")</f>
        <v/>
      </c>
      <c r="L281" s="1" t="str">
        <f>IFERROR(ROUNDUP(8*(F281/VLOOKUP(B281,Table2[],5,0)),0),"")</f>
        <v/>
      </c>
      <c r="M281" s="1" t="str">
        <f>IFERROR(ROUNDUP(8*(G281/VLOOKUP(B281,Table2[],5,0)),0),"")</f>
        <v/>
      </c>
      <c r="N281" s="1" t="str">
        <f>IFERROR(ROUNDUP(8*(H281/VLOOKUP(B281,Table2[],5,0)),0),"")</f>
        <v/>
      </c>
    </row>
    <row r="282" spans="2:14" x14ac:dyDescent="0.25">
      <c r="B282" s="71"/>
      <c r="C282" s="74" t="str">
        <f>IFERROR(VLOOKUP(B282,Table2[],2,0),"")</f>
        <v/>
      </c>
      <c r="D282" s="77"/>
      <c r="I282" s="79" t="str">
        <f t="shared" si="4"/>
        <v/>
      </c>
      <c r="J282" s="84" t="str">
        <f>IFERROR(ROUNDUP(8*(I282/VLOOKUP(B282,Table2[],5,0)),0),"")</f>
        <v/>
      </c>
      <c r="K282" s="1" t="str">
        <f>IFERROR(ROUNDUP(8*(E282/VLOOKUP(B282,Table2[],5,0)),0),"")</f>
        <v/>
      </c>
      <c r="L282" s="1" t="str">
        <f>IFERROR(ROUNDUP(8*(F282/VLOOKUP(B282,Table2[],5,0)),0),"")</f>
        <v/>
      </c>
      <c r="M282" s="1" t="str">
        <f>IFERROR(ROUNDUP(8*(G282/VLOOKUP(B282,Table2[],5,0)),0),"")</f>
        <v/>
      </c>
      <c r="N282" s="1" t="str">
        <f>IFERROR(ROUNDUP(8*(H282/VLOOKUP(B282,Table2[],5,0)),0),"")</f>
        <v/>
      </c>
    </row>
    <row r="283" spans="2:14" x14ac:dyDescent="0.25">
      <c r="B283" s="71"/>
      <c r="C283" s="74" t="str">
        <f>IFERROR(VLOOKUP(B283,Table2[],2,0),"")</f>
        <v/>
      </c>
      <c r="D283" s="77"/>
      <c r="I283" s="79" t="str">
        <f t="shared" si="4"/>
        <v/>
      </c>
      <c r="J283" s="84" t="str">
        <f>IFERROR(ROUNDUP(8*(I283/VLOOKUP(B283,Table2[],5,0)),0),"")</f>
        <v/>
      </c>
      <c r="K283" s="1" t="str">
        <f>IFERROR(ROUNDUP(8*(E283/VLOOKUP(B283,Table2[],5,0)),0),"")</f>
        <v/>
      </c>
      <c r="L283" s="1" t="str">
        <f>IFERROR(ROUNDUP(8*(F283/VLOOKUP(B283,Table2[],5,0)),0),"")</f>
        <v/>
      </c>
      <c r="M283" s="1" t="str">
        <f>IFERROR(ROUNDUP(8*(G283/VLOOKUP(B283,Table2[],5,0)),0),"")</f>
        <v/>
      </c>
      <c r="N283" s="1" t="str">
        <f>IFERROR(ROUNDUP(8*(H283/VLOOKUP(B283,Table2[],5,0)),0),"")</f>
        <v/>
      </c>
    </row>
    <row r="284" spans="2:14" x14ac:dyDescent="0.25">
      <c r="B284" s="71"/>
      <c r="C284" s="74" t="str">
        <f>IFERROR(VLOOKUP(B284,Table2[],2,0),"")</f>
        <v/>
      </c>
      <c r="D284" s="77"/>
      <c r="I284" s="79" t="str">
        <f t="shared" si="4"/>
        <v/>
      </c>
      <c r="J284" s="84" t="str">
        <f>IFERROR(ROUNDUP(8*(I284/VLOOKUP(B284,Table2[],5,0)),0),"")</f>
        <v/>
      </c>
      <c r="K284" s="1" t="str">
        <f>IFERROR(ROUNDUP(8*(E284/VLOOKUP(B284,Table2[],5,0)),0),"")</f>
        <v/>
      </c>
      <c r="L284" s="1" t="str">
        <f>IFERROR(ROUNDUP(8*(F284/VLOOKUP(B284,Table2[],5,0)),0),"")</f>
        <v/>
      </c>
      <c r="M284" s="1" t="str">
        <f>IFERROR(ROUNDUP(8*(G284/VLOOKUP(B284,Table2[],5,0)),0),"")</f>
        <v/>
      </c>
      <c r="N284" s="1" t="str">
        <f>IFERROR(ROUNDUP(8*(H284/VLOOKUP(B284,Table2[],5,0)),0),"")</f>
        <v/>
      </c>
    </row>
    <row r="285" spans="2:14" x14ac:dyDescent="0.25">
      <c r="B285" s="71"/>
      <c r="C285" s="74" t="str">
        <f>IFERROR(VLOOKUP(B285,Table2[],2,0),"")</f>
        <v/>
      </c>
      <c r="D285" s="77"/>
      <c r="I285" s="79" t="str">
        <f t="shared" si="4"/>
        <v/>
      </c>
      <c r="J285" s="84" t="str">
        <f>IFERROR(ROUNDUP(8*(I285/VLOOKUP(B285,Table2[],5,0)),0),"")</f>
        <v/>
      </c>
      <c r="K285" s="1" t="str">
        <f>IFERROR(ROUNDUP(8*(E285/VLOOKUP(B285,Table2[],5,0)),0),"")</f>
        <v/>
      </c>
      <c r="L285" s="1" t="str">
        <f>IFERROR(ROUNDUP(8*(F285/VLOOKUP(B285,Table2[],5,0)),0),"")</f>
        <v/>
      </c>
      <c r="M285" s="1" t="str">
        <f>IFERROR(ROUNDUP(8*(G285/VLOOKUP(B285,Table2[],5,0)),0),"")</f>
        <v/>
      </c>
      <c r="N285" s="1" t="str">
        <f>IFERROR(ROUNDUP(8*(H285/VLOOKUP(B285,Table2[],5,0)),0),"")</f>
        <v/>
      </c>
    </row>
    <row r="286" spans="2:14" x14ac:dyDescent="0.25">
      <c r="B286" s="71"/>
      <c r="C286" s="74" t="str">
        <f>IFERROR(VLOOKUP(B286,Table2[],2,0),"")</f>
        <v/>
      </c>
      <c r="D286" s="77"/>
      <c r="I286" s="79" t="str">
        <f t="shared" si="4"/>
        <v/>
      </c>
      <c r="J286" s="84" t="str">
        <f>IFERROR(ROUNDUP(8*(I286/VLOOKUP(B286,Table2[],5,0)),0),"")</f>
        <v/>
      </c>
      <c r="K286" s="1" t="str">
        <f>IFERROR(ROUNDUP(8*(E286/VLOOKUP(B286,Table2[],5,0)),0),"")</f>
        <v/>
      </c>
      <c r="L286" s="1" t="str">
        <f>IFERROR(ROUNDUP(8*(F286/VLOOKUP(B286,Table2[],5,0)),0),"")</f>
        <v/>
      </c>
      <c r="M286" s="1" t="str">
        <f>IFERROR(ROUNDUP(8*(G286/VLOOKUP(B286,Table2[],5,0)),0),"")</f>
        <v/>
      </c>
      <c r="N286" s="1" t="str">
        <f>IFERROR(ROUNDUP(8*(H286/VLOOKUP(B286,Table2[],5,0)),0),"")</f>
        <v/>
      </c>
    </row>
    <row r="287" spans="2:14" x14ac:dyDescent="0.25">
      <c r="B287" s="71"/>
      <c r="C287" s="74" t="str">
        <f>IFERROR(VLOOKUP(B287,Table2[],2,0),"")</f>
        <v/>
      </c>
      <c r="D287" s="77"/>
      <c r="I287" s="79" t="str">
        <f t="shared" si="4"/>
        <v/>
      </c>
      <c r="J287" s="84" t="str">
        <f>IFERROR(ROUNDUP(8*(I287/VLOOKUP(B287,Table2[],5,0)),0),"")</f>
        <v/>
      </c>
      <c r="K287" s="1" t="str">
        <f>IFERROR(ROUNDUP(8*(E287/VLOOKUP(B287,Table2[],5,0)),0),"")</f>
        <v/>
      </c>
      <c r="L287" s="1" t="str">
        <f>IFERROR(ROUNDUP(8*(F287/VLOOKUP(B287,Table2[],5,0)),0),"")</f>
        <v/>
      </c>
      <c r="M287" s="1" t="str">
        <f>IFERROR(ROUNDUP(8*(G287/VLOOKUP(B287,Table2[],5,0)),0),"")</f>
        <v/>
      </c>
      <c r="N287" s="1" t="str">
        <f>IFERROR(ROUNDUP(8*(H287/VLOOKUP(B287,Table2[],5,0)),0),"")</f>
        <v/>
      </c>
    </row>
    <row r="288" spans="2:14" x14ac:dyDescent="0.25">
      <c r="B288" s="71"/>
      <c r="C288" s="74" t="str">
        <f>IFERROR(VLOOKUP(B288,Table2[],2,0),"")</f>
        <v/>
      </c>
      <c r="D288" s="77"/>
      <c r="I288" s="79" t="str">
        <f t="shared" si="4"/>
        <v/>
      </c>
      <c r="J288" s="84" t="str">
        <f>IFERROR(ROUNDUP(8*(I288/VLOOKUP(B288,Table2[],5,0)),0),"")</f>
        <v/>
      </c>
      <c r="K288" s="1" t="str">
        <f>IFERROR(ROUNDUP(8*(E288/VLOOKUP(B288,Table2[],5,0)),0),"")</f>
        <v/>
      </c>
      <c r="L288" s="1" t="str">
        <f>IFERROR(ROUNDUP(8*(F288/VLOOKUP(B288,Table2[],5,0)),0),"")</f>
        <v/>
      </c>
      <c r="M288" s="1" t="str">
        <f>IFERROR(ROUNDUP(8*(G288/VLOOKUP(B288,Table2[],5,0)),0),"")</f>
        <v/>
      </c>
      <c r="N288" s="1" t="str">
        <f>IFERROR(ROUNDUP(8*(H288/VLOOKUP(B288,Table2[],5,0)),0),"")</f>
        <v/>
      </c>
    </row>
    <row r="289" spans="2:14" x14ac:dyDescent="0.25">
      <c r="B289" s="71"/>
      <c r="C289" s="74" t="str">
        <f>IFERROR(VLOOKUP(B289,Table2[],2,0),"")</f>
        <v/>
      </c>
      <c r="D289" s="77"/>
      <c r="I289" s="79" t="str">
        <f t="shared" si="4"/>
        <v/>
      </c>
      <c r="J289" s="84" t="str">
        <f>IFERROR(ROUNDUP(8*(I289/VLOOKUP(B289,Table2[],5,0)),0),"")</f>
        <v/>
      </c>
      <c r="K289" s="1" t="str">
        <f>IFERROR(ROUNDUP(8*(E289/VLOOKUP(B289,Table2[],5,0)),0),"")</f>
        <v/>
      </c>
      <c r="L289" s="1" t="str">
        <f>IFERROR(ROUNDUP(8*(F289/VLOOKUP(B289,Table2[],5,0)),0),"")</f>
        <v/>
      </c>
      <c r="M289" s="1" t="str">
        <f>IFERROR(ROUNDUP(8*(G289/VLOOKUP(B289,Table2[],5,0)),0),"")</f>
        <v/>
      </c>
      <c r="N289" s="1" t="str">
        <f>IFERROR(ROUNDUP(8*(H289/VLOOKUP(B289,Table2[],5,0)),0),"")</f>
        <v/>
      </c>
    </row>
    <row r="290" spans="2:14" x14ac:dyDescent="0.25">
      <c r="B290" s="75"/>
      <c r="C290" s="74" t="str">
        <f>IFERROR(VLOOKUP(B290,Table2[],2,0),"")</f>
        <v/>
      </c>
      <c r="D290" s="77"/>
      <c r="I290" s="79" t="str">
        <f t="shared" si="4"/>
        <v/>
      </c>
      <c r="J290" s="84" t="str">
        <f>IFERROR(ROUNDUP(8*(I290/VLOOKUP(B290,Table2[],5,0)),0),"")</f>
        <v/>
      </c>
      <c r="K290" s="1" t="str">
        <f>IFERROR(ROUNDUP(8*(E290/VLOOKUP(B290,Table2[],5,0)),0),"")</f>
        <v/>
      </c>
      <c r="L290" s="1" t="str">
        <f>IFERROR(ROUNDUP(8*(F290/VLOOKUP(B290,Table2[],5,0)),0),"")</f>
        <v/>
      </c>
      <c r="M290" s="1" t="str">
        <f>IFERROR(ROUNDUP(8*(G290/VLOOKUP(B290,Table2[],5,0)),0),"")</f>
        <v/>
      </c>
      <c r="N290" s="1" t="str">
        <f>IFERROR(ROUNDUP(8*(H290/VLOOKUP(B290,Table2[],5,0)),0),"")</f>
        <v/>
      </c>
    </row>
    <row r="291" spans="2:14" x14ac:dyDescent="0.25">
      <c r="B291" s="75"/>
      <c r="C291" s="74" t="str">
        <f>IFERROR(VLOOKUP(B291,Table2[],2,0),"")</f>
        <v/>
      </c>
      <c r="D291" s="77"/>
      <c r="I291" s="79" t="str">
        <f t="shared" si="4"/>
        <v/>
      </c>
      <c r="J291" s="84" t="str">
        <f>IFERROR(ROUNDUP(8*(I291/VLOOKUP(B291,Table2[],5,0)),0),"")</f>
        <v/>
      </c>
      <c r="K291" s="1" t="str">
        <f>IFERROR(ROUNDUP(8*(E291/VLOOKUP(B291,Table2[],5,0)),0),"")</f>
        <v/>
      </c>
      <c r="L291" s="1" t="str">
        <f>IFERROR(ROUNDUP(8*(F291/VLOOKUP(B291,Table2[],5,0)),0),"")</f>
        <v/>
      </c>
      <c r="M291" s="1" t="str">
        <f>IFERROR(ROUNDUP(8*(G291/VLOOKUP(B291,Table2[],5,0)),0),"")</f>
        <v/>
      </c>
      <c r="N291" s="1" t="str">
        <f>IFERROR(ROUNDUP(8*(H291/VLOOKUP(B291,Table2[],5,0)),0),"")</f>
        <v/>
      </c>
    </row>
    <row r="292" spans="2:14" x14ac:dyDescent="0.25">
      <c r="B292" s="75"/>
      <c r="C292" s="74" t="str">
        <f>IFERROR(VLOOKUP(B292,Table2[],2,0),"")</f>
        <v/>
      </c>
      <c r="D292" s="77"/>
      <c r="I292" s="79" t="str">
        <f t="shared" si="4"/>
        <v/>
      </c>
      <c r="J292" s="84" t="str">
        <f>IFERROR(ROUNDUP(8*(I292/VLOOKUP(B292,Table2[],5,0)),0),"")</f>
        <v/>
      </c>
      <c r="K292" s="1" t="str">
        <f>IFERROR(ROUNDUP(8*(E292/VLOOKUP(B292,Table2[],5,0)),0),"")</f>
        <v/>
      </c>
      <c r="L292" s="1" t="str">
        <f>IFERROR(ROUNDUP(8*(F292/VLOOKUP(B292,Table2[],5,0)),0),"")</f>
        <v/>
      </c>
      <c r="M292" s="1" t="str">
        <f>IFERROR(ROUNDUP(8*(G292/VLOOKUP(B292,Table2[],5,0)),0),"")</f>
        <v/>
      </c>
      <c r="N292" s="1" t="str">
        <f>IFERROR(ROUNDUP(8*(H292/VLOOKUP(B292,Table2[],5,0)),0),"")</f>
        <v/>
      </c>
    </row>
    <row r="293" spans="2:14" x14ac:dyDescent="0.25">
      <c r="B293" s="76"/>
      <c r="C293" s="74" t="str">
        <f>IFERROR(VLOOKUP(B293,Table2[],2,0),"")</f>
        <v/>
      </c>
      <c r="D293" s="77"/>
      <c r="I293" s="79" t="str">
        <f t="shared" si="4"/>
        <v/>
      </c>
      <c r="J293" s="84" t="str">
        <f>IFERROR(ROUNDUP(8*(I293/VLOOKUP(B293,Table2[],5,0)),0),"")</f>
        <v/>
      </c>
      <c r="K293" s="1" t="str">
        <f>IFERROR(ROUNDUP(8*(E293/VLOOKUP(B293,Table2[],5,0)),0),"")</f>
        <v/>
      </c>
      <c r="L293" s="1" t="str">
        <f>IFERROR(ROUNDUP(8*(F293/VLOOKUP(B293,Table2[],5,0)),0),"")</f>
        <v/>
      </c>
      <c r="M293" s="1" t="str">
        <f>IFERROR(ROUNDUP(8*(G293/VLOOKUP(B293,Table2[],5,0)),0),"")</f>
        <v/>
      </c>
      <c r="N293" s="1" t="str">
        <f>IFERROR(ROUNDUP(8*(H293/VLOOKUP(B293,Table2[],5,0)),0),"")</f>
        <v/>
      </c>
    </row>
    <row r="294" spans="2:14" x14ac:dyDescent="0.25">
      <c r="B294" s="76"/>
      <c r="C294" s="74" t="str">
        <f>IFERROR(VLOOKUP(B294,Table2[],2,0),"")</f>
        <v/>
      </c>
      <c r="D294" s="77"/>
      <c r="I294" s="79" t="str">
        <f t="shared" si="4"/>
        <v/>
      </c>
      <c r="J294" s="84" t="str">
        <f>IFERROR(ROUNDUP(8*(I294/VLOOKUP(B294,Table2[],5,0)),0),"")</f>
        <v/>
      </c>
      <c r="K294" s="1" t="str">
        <f>IFERROR(ROUNDUP(8*(E294/VLOOKUP(B294,Table2[],5,0)),0),"")</f>
        <v/>
      </c>
      <c r="L294" s="1" t="str">
        <f>IFERROR(ROUNDUP(8*(F294/VLOOKUP(B294,Table2[],5,0)),0),"")</f>
        <v/>
      </c>
      <c r="M294" s="1" t="str">
        <f>IFERROR(ROUNDUP(8*(G294/VLOOKUP(B294,Table2[],5,0)),0),"")</f>
        <v/>
      </c>
      <c r="N294" s="1" t="str">
        <f>IFERROR(ROUNDUP(8*(H294/VLOOKUP(B294,Table2[],5,0)),0),"")</f>
        <v/>
      </c>
    </row>
    <row r="295" spans="2:14" x14ac:dyDescent="0.25">
      <c r="B295" s="76"/>
      <c r="C295" s="74" t="str">
        <f>IFERROR(VLOOKUP(B295,Table2[],2,0),"")</f>
        <v/>
      </c>
      <c r="D295" s="77"/>
      <c r="I295" s="79" t="str">
        <f t="shared" si="4"/>
        <v/>
      </c>
      <c r="J295" s="84" t="str">
        <f>IFERROR(ROUNDUP(8*(I295/VLOOKUP(B295,Table2[],5,0)),0),"")</f>
        <v/>
      </c>
      <c r="K295" s="1" t="str">
        <f>IFERROR(ROUNDUP(8*(E295/VLOOKUP(B295,Table2[],5,0)),0),"")</f>
        <v/>
      </c>
      <c r="L295" s="1" t="str">
        <f>IFERROR(ROUNDUP(8*(F295/VLOOKUP(B295,Table2[],5,0)),0),"")</f>
        <v/>
      </c>
      <c r="M295" s="1" t="str">
        <f>IFERROR(ROUNDUP(8*(G295/VLOOKUP(B295,Table2[],5,0)),0),"")</f>
        <v/>
      </c>
      <c r="N295" s="1" t="str">
        <f>IFERROR(ROUNDUP(8*(H295/VLOOKUP(B295,Table2[],5,0)),0),"")</f>
        <v/>
      </c>
    </row>
    <row r="296" spans="2:14" x14ac:dyDescent="0.25">
      <c r="B296" s="76"/>
      <c r="C296" s="74" t="str">
        <f>IFERROR(VLOOKUP(B296,Table2[],2,0),"")</f>
        <v/>
      </c>
      <c r="D296" s="77"/>
      <c r="I296" s="79" t="str">
        <f t="shared" si="4"/>
        <v/>
      </c>
      <c r="J296" s="84" t="str">
        <f>IFERROR(ROUNDUP(8*(I296/VLOOKUP(B296,Table2[],5,0)),0),"")</f>
        <v/>
      </c>
      <c r="K296" s="1" t="str">
        <f>IFERROR(ROUNDUP(8*(E296/VLOOKUP(B296,Table2[],5,0)),0),"")</f>
        <v/>
      </c>
      <c r="L296" s="1" t="str">
        <f>IFERROR(ROUNDUP(8*(F296/VLOOKUP(B296,Table2[],5,0)),0),"")</f>
        <v/>
      </c>
      <c r="M296" s="1" t="str">
        <f>IFERROR(ROUNDUP(8*(G296/VLOOKUP(B296,Table2[],5,0)),0),"")</f>
        <v/>
      </c>
      <c r="N296" s="1" t="str">
        <f>IFERROR(ROUNDUP(8*(H296/VLOOKUP(B296,Table2[],5,0)),0),"")</f>
        <v/>
      </c>
    </row>
    <row r="297" spans="2:14" x14ac:dyDescent="0.25">
      <c r="B297" s="76"/>
      <c r="C297" s="74" t="str">
        <f>IFERROR(VLOOKUP(B297,Table2[],2,0),"")</f>
        <v/>
      </c>
      <c r="D297" s="77"/>
      <c r="I297" s="79" t="str">
        <f t="shared" si="4"/>
        <v/>
      </c>
      <c r="J297" s="84" t="str">
        <f>IFERROR(ROUNDUP(8*(I297/VLOOKUP(B297,Table2[],5,0)),0),"")</f>
        <v/>
      </c>
      <c r="K297" s="1" t="str">
        <f>IFERROR(ROUNDUP(8*(E297/VLOOKUP(B297,Table2[],5,0)),0),"")</f>
        <v/>
      </c>
      <c r="L297" s="1" t="str">
        <f>IFERROR(ROUNDUP(8*(F297/VLOOKUP(B297,Table2[],5,0)),0),"")</f>
        <v/>
      </c>
      <c r="M297" s="1" t="str">
        <f>IFERROR(ROUNDUP(8*(G297/VLOOKUP(B297,Table2[],5,0)),0),"")</f>
        <v/>
      </c>
      <c r="N297" s="1" t="str">
        <f>IFERROR(ROUNDUP(8*(H297/VLOOKUP(B297,Table2[],5,0)),0),"")</f>
        <v/>
      </c>
    </row>
    <row r="298" spans="2:14" x14ac:dyDescent="0.25">
      <c r="B298" s="76"/>
      <c r="C298" s="74" t="str">
        <f>IFERROR(VLOOKUP(B298,Table2[],2,0),"")</f>
        <v/>
      </c>
      <c r="D298" s="77"/>
      <c r="I298" s="79" t="str">
        <f t="shared" si="4"/>
        <v/>
      </c>
      <c r="J298" s="84" t="str">
        <f>IFERROR(ROUNDUP(8*(I298/VLOOKUP(B298,Table2[],5,0)),0),"")</f>
        <v/>
      </c>
      <c r="K298" s="1" t="str">
        <f>IFERROR(ROUNDUP(8*(E298/VLOOKUP(B298,Table2[],5,0)),0),"")</f>
        <v/>
      </c>
      <c r="L298" s="1" t="str">
        <f>IFERROR(ROUNDUP(8*(F298/VLOOKUP(B298,Table2[],5,0)),0),"")</f>
        <v/>
      </c>
      <c r="M298" s="1" t="str">
        <f>IFERROR(ROUNDUP(8*(G298/VLOOKUP(B298,Table2[],5,0)),0),"")</f>
        <v/>
      </c>
      <c r="N298" s="1" t="str">
        <f>IFERROR(ROUNDUP(8*(H298/VLOOKUP(B298,Table2[],5,0)),0),"")</f>
        <v/>
      </c>
    </row>
    <row r="299" spans="2:14" x14ac:dyDescent="0.25">
      <c r="B299" s="76"/>
      <c r="C299" s="74" t="str">
        <f>IFERROR(VLOOKUP(B299,Table2[],2,0),"")</f>
        <v/>
      </c>
      <c r="D299" s="77"/>
      <c r="I299" s="79" t="str">
        <f t="shared" si="4"/>
        <v/>
      </c>
      <c r="J299" s="84" t="str">
        <f>IFERROR(ROUNDUP(8*(I299/VLOOKUP(B299,Table2[],5,0)),0),"")</f>
        <v/>
      </c>
      <c r="K299" s="1" t="str">
        <f>IFERROR(ROUNDUP(8*(E299/VLOOKUP(B299,Table2[],5,0)),0),"")</f>
        <v/>
      </c>
      <c r="L299" s="1" t="str">
        <f>IFERROR(ROUNDUP(8*(F299/VLOOKUP(B299,Table2[],5,0)),0),"")</f>
        <v/>
      </c>
      <c r="M299" s="1" t="str">
        <f>IFERROR(ROUNDUP(8*(G299/VLOOKUP(B299,Table2[],5,0)),0),"")</f>
        <v/>
      </c>
      <c r="N299" s="1" t="str">
        <f>IFERROR(ROUNDUP(8*(H299/VLOOKUP(B299,Table2[],5,0)),0),"")</f>
        <v/>
      </c>
    </row>
    <row r="300" spans="2:14" x14ac:dyDescent="0.25">
      <c r="B300" s="76"/>
      <c r="C300" s="74" t="str">
        <f>IFERROR(VLOOKUP(B300,Table2[],2,0),"")</f>
        <v/>
      </c>
      <c r="D300" s="77"/>
      <c r="I300" s="79" t="str">
        <f t="shared" si="4"/>
        <v/>
      </c>
      <c r="J300" s="84" t="str">
        <f>IFERROR(ROUNDUP(8*(I300/VLOOKUP(B300,Table2[],5,0)),0),"")</f>
        <v/>
      </c>
      <c r="K300" s="1" t="str">
        <f>IFERROR(ROUNDUP(8*(E300/VLOOKUP(B300,Table2[],5,0)),0),"")</f>
        <v/>
      </c>
      <c r="L300" s="1" t="str">
        <f>IFERROR(ROUNDUP(8*(F300/VLOOKUP(B300,Table2[],5,0)),0),"")</f>
        <v/>
      </c>
      <c r="M300" s="1" t="str">
        <f>IFERROR(ROUNDUP(8*(G300/VLOOKUP(B300,Table2[],5,0)),0),"")</f>
        <v/>
      </c>
      <c r="N300" s="1" t="str">
        <f>IFERROR(ROUNDUP(8*(H300/VLOOKUP(B300,Table2[],5,0)),0),"")</f>
        <v/>
      </c>
    </row>
    <row r="301" spans="2:14" x14ac:dyDescent="0.25">
      <c r="B301" s="76"/>
      <c r="C301" s="74" t="str">
        <f>IFERROR(VLOOKUP(B301,Table2[],2,0),"")</f>
        <v/>
      </c>
      <c r="D301" s="77"/>
      <c r="I301" s="79" t="str">
        <f t="shared" si="4"/>
        <v/>
      </c>
      <c r="J301" s="84" t="str">
        <f>IFERROR(ROUNDUP(8*(I301/VLOOKUP(B301,Table2[],5,0)),0),"")</f>
        <v/>
      </c>
      <c r="K301" s="1" t="str">
        <f>IFERROR(ROUNDUP(8*(E301/VLOOKUP(B301,Table2[],5,0)),0),"")</f>
        <v/>
      </c>
      <c r="L301" s="1" t="str">
        <f>IFERROR(ROUNDUP(8*(F301/VLOOKUP(B301,Table2[],5,0)),0),"")</f>
        <v/>
      </c>
      <c r="M301" s="1" t="str">
        <f>IFERROR(ROUNDUP(8*(G301/VLOOKUP(B301,Table2[],5,0)),0),"")</f>
        <v/>
      </c>
      <c r="N301" s="1" t="str">
        <f>IFERROR(ROUNDUP(8*(H301/VLOOKUP(B301,Table2[],5,0)),0),"")</f>
        <v/>
      </c>
    </row>
    <row r="302" spans="2:14" x14ac:dyDescent="0.25">
      <c r="B302" s="76"/>
      <c r="C302" s="74" t="str">
        <f>IFERROR(VLOOKUP(B302,Table2[],2,0),"")</f>
        <v/>
      </c>
      <c r="D302" s="77"/>
      <c r="I302" s="79" t="str">
        <f t="shared" si="4"/>
        <v/>
      </c>
      <c r="J302" s="84" t="str">
        <f>IFERROR(ROUNDUP(8*(I302/VLOOKUP(B302,Table2[],5,0)),0),"")</f>
        <v/>
      </c>
      <c r="K302" s="1" t="str">
        <f>IFERROR(ROUNDUP(8*(E302/VLOOKUP(B302,Table2[],5,0)),0),"")</f>
        <v/>
      </c>
      <c r="L302" s="1" t="str">
        <f>IFERROR(ROUNDUP(8*(F302/VLOOKUP(B302,Table2[],5,0)),0),"")</f>
        <v/>
      </c>
      <c r="M302" s="1" t="str">
        <f>IFERROR(ROUNDUP(8*(G302/VLOOKUP(B302,Table2[],5,0)),0),"")</f>
        <v/>
      </c>
      <c r="N302" s="1" t="str">
        <f>IFERROR(ROUNDUP(8*(H302/VLOOKUP(B302,Table2[],5,0)),0),"")</f>
        <v/>
      </c>
    </row>
    <row r="303" spans="2:14" x14ac:dyDescent="0.25">
      <c r="B303" s="76"/>
      <c r="C303" s="74" t="str">
        <f>IFERROR(VLOOKUP(B303,Table2[],2,0),"")</f>
        <v/>
      </c>
      <c r="D303" s="77"/>
      <c r="I303" s="79" t="str">
        <f t="shared" si="4"/>
        <v/>
      </c>
      <c r="J303" s="84" t="str">
        <f>IFERROR(ROUNDUP(8*(I303/VLOOKUP(B303,Table2[],5,0)),0),"")</f>
        <v/>
      </c>
      <c r="K303" s="1" t="str">
        <f>IFERROR(ROUNDUP(8*(E303/VLOOKUP(B303,Table2[],5,0)),0),"")</f>
        <v/>
      </c>
      <c r="L303" s="1" t="str">
        <f>IFERROR(ROUNDUP(8*(F303/VLOOKUP(B303,Table2[],5,0)),0),"")</f>
        <v/>
      </c>
      <c r="M303" s="1" t="str">
        <f>IFERROR(ROUNDUP(8*(G303/VLOOKUP(B303,Table2[],5,0)),0),"")</f>
        <v/>
      </c>
      <c r="N303" s="1" t="str">
        <f>IFERROR(ROUNDUP(8*(H303/VLOOKUP(B303,Table2[],5,0)),0),"")</f>
        <v/>
      </c>
    </row>
    <row r="304" spans="2:14" x14ac:dyDescent="0.25">
      <c r="B304" s="76"/>
      <c r="C304" s="74" t="str">
        <f>IFERROR(VLOOKUP(B304,Table2[],2,0),"")</f>
        <v/>
      </c>
      <c r="D304" s="77"/>
      <c r="I304" s="79" t="str">
        <f t="shared" si="4"/>
        <v/>
      </c>
      <c r="J304" s="84" t="str">
        <f>IFERROR(ROUNDUP(8*(I304/VLOOKUP(B304,Table2[],5,0)),0),"")</f>
        <v/>
      </c>
      <c r="K304" s="1" t="str">
        <f>IFERROR(ROUNDUP(8*(E304/VLOOKUP(B304,Table2[],5,0)),0),"")</f>
        <v/>
      </c>
      <c r="L304" s="1" t="str">
        <f>IFERROR(ROUNDUP(8*(F304/VLOOKUP(B304,Table2[],5,0)),0),"")</f>
        <v/>
      </c>
      <c r="M304" s="1" t="str">
        <f>IFERROR(ROUNDUP(8*(G304/VLOOKUP(B304,Table2[],5,0)),0),"")</f>
        <v/>
      </c>
      <c r="N304" s="1" t="str">
        <f>IFERROR(ROUNDUP(8*(H304/VLOOKUP(B304,Table2[],5,0)),0),"")</f>
        <v/>
      </c>
    </row>
    <row r="305" spans="2:14" x14ac:dyDescent="0.25">
      <c r="B305" s="76"/>
      <c r="C305" s="74" t="str">
        <f>IFERROR(VLOOKUP(B305,Table2[],2,0),"")</f>
        <v/>
      </c>
      <c r="D305" s="77"/>
      <c r="I305" s="79" t="str">
        <f t="shared" si="4"/>
        <v/>
      </c>
      <c r="J305" s="84" t="str">
        <f>IFERROR(ROUNDUP(8*(I305/VLOOKUP(B305,Table2[],5,0)),0),"")</f>
        <v/>
      </c>
      <c r="K305" s="1" t="str">
        <f>IFERROR(ROUNDUP(8*(E305/VLOOKUP(B305,Table2[],5,0)),0),"")</f>
        <v/>
      </c>
      <c r="L305" s="1" t="str">
        <f>IFERROR(ROUNDUP(8*(F305/VLOOKUP(B305,Table2[],5,0)),0),"")</f>
        <v/>
      </c>
      <c r="M305" s="1" t="str">
        <f>IFERROR(ROUNDUP(8*(G305/VLOOKUP(B305,Table2[],5,0)),0),"")</f>
        <v/>
      </c>
      <c r="N305" s="1" t="str">
        <f>IFERROR(ROUNDUP(8*(H305/VLOOKUP(B305,Table2[],5,0)),0),"")</f>
        <v/>
      </c>
    </row>
    <row r="306" spans="2:14" x14ac:dyDescent="0.25">
      <c r="B306" s="76"/>
      <c r="C306" s="74" t="str">
        <f>IFERROR(VLOOKUP(B306,Table2[],2,0),"")</f>
        <v/>
      </c>
      <c r="D306" s="77"/>
      <c r="I306" s="79" t="str">
        <f t="shared" si="4"/>
        <v/>
      </c>
      <c r="J306" s="84" t="str">
        <f>IFERROR(ROUNDUP(8*(I306/VLOOKUP(B306,Table2[],5,0)),0),"")</f>
        <v/>
      </c>
      <c r="K306" s="1" t="str">
        <f>IFERROR(ROUNDUP(8*(E306/VLOOKUP(B306,Table2[],5,0)),0),"")</f>
        <v/>
      </c>
      <c r="L306" s="1" t="str">
        <f>IFERROR(ROUNDUP(8*(F306/VLOOKUP(B306,Table2[],5,0)),0),"")</f>
        <v/>
      </c>
      <c r="M306" s="1" t="str">
        <f>IFERROR(ROUNDUP(8*(G306/VLOOKUP(B306,Table2[],5,0)),0),"")</f>
        <v/>
      </c>
      <c r="N306" s="1" t="str">
        <f>IFERROR(ROUNDUP(8*(H306/VLOOKUP(B306,Table2[],5,0)),0),"")</f>
        <v/>
      </c>
    </row>
    <row r="307" spans="2:14" x14ac:dyDescent="0.25">
      <c r="B307" s="76"/>
      <c r="C307" s="74" t="str">
        <f>IFERROR(VLOOKUP(B307,Table2[],2,0),"")</f>
        <v/>
      </c>
      <c r="D307" s="77"/>
      <c r="I307" s="79" t="str">
        <f t="shared" si="4"/>
        <v/>
      </c>
      <c r="J307" s="84" t="str">
        <f>IFERROR(ROUNDUP(8*(I307/VLOOKUP(B307,Table2[],5,0)),0),"")</f>
        <v/>
      </c>
      <c r="K307" s="1" t="str">
        <f>IFERROR(ROUNDUP(8*(E307/VLOOKUP(B307,Table2[],5,0)),0),"")</f>
        <v/>
      </c>
      <c r="L307" s="1" t="str">
        <f>IFERROR(ROUNDUP(8*(F307/VLOOKUP(B307,Table2[],5,0)),0),"")</f>
        <v/>
      </c>
      <c r="M307" s="1" t="str">
        <f>IFERROR(ROUNDUP(8*(G307/VLOOKUP(B307,Table2[],5,0)),0),"")</f>
        <v/>
      </c>
      <c r="N307" s="1" t="str">
        <f>IFERROR(ROUNDUP(8*(H307/VLOOKUP(B307,Table2[],5,0)),0),"")</f>
        <v/>
      </c>
    </row>
    <row r="308" spans="2:14" x14ac:dyDescent="0.25">
      <c r="B308" s="76"/>
      <c r="C308" s="74" t="str">
        <f>IFERROR(VLOOKUP(B308,Table2[],2,0),"")</f>
        <v/>
      </c>
      <c r="D308" s="77"/>
      <c r="I308" s="79" t="str">
        <f t="shared" si="4"/>
        <v/>
      </c>
      <c r="J308" s="84" t="str">
        <f>IFERROR(ROUNDUP(8*(I308/VLOOKUP(B308,Table2[],5,0)),0),"")</f>
        <v/>
      </c>
      <c r="K308" s="1" t="str">
        <f>IFERROR(ROUNDUP(8*(E308/VLOOKUP(B308,Table2[],5,0)),0),"")</f>
        <v/>
      </c>
      <c r="L308" s="1" t="str">
        <f>IFERROR(ROUNDUP(8*(F308/VLOOKUP(B308,Table2[],5,0)),0),"")</f>
        <v/>
      </c>
      <c r="M308" s="1" t="str">
        <f>IFERROR(ROUNDUP(8*(G308/VLOOKUP(B308,Table2[],5,0)),0),"")</f>
        <v/>
      </c>
      <c r="N308" s="1" t="str">
        <f>IFERROR(ROUNDUP(8*(H308/VLOOKUP(B308,Table2[],5,0)),0),"")</f>
        <v/>
      </c>
    </row>
    <row r="309" spans="2:14" x14ac:dyDescent="0.25">
      <c r="B309" s="76"/>
      <c r="C309" s="74" t="str">
        <f>IFERROR(VLOOKUP(B309,Table2[],2,0),"")</f>
        <v/>
      </c>
      <c r="D309" s="77"/>
      <c r="I309" s="79" t="str">
        <f t="shared" si="4"/>
        <v/>
      </c>
      <c r="J309" s="84" t="str">
        <f>IFERROR(ROUNDUP(8*(I309/VLOOKUP(B309,Table2[],5,0)),0),"")</f>
        <v/>
      </c>
      <c r="K309" s="1" t="str">
        <f>IFERROR(ROUNDUP(8*(E309/VLOOKUP(B309,Table2[],5,0)),0),"")</f>
        <v/>
      </c>
      <c r="L309" s="1" t="str">
        <f>IFERROR(ROUNDUP(8*(F309/VLOOKUP(B309,Table2[],5,0)),0),"")</f>
        <v/>
      </c>
      <c r="M309" s="1" t="str">
        <f>IFERROR(ROUNDUP(8*(G309/VLOOKUP(B309,Table2[],5,0)),0),"")</f>
        <v/>
      </c>
      <c r="N309" s="1" t="str">
        <f>IFERROR(ROUNDUP(8*(H309/VLOOKUP(B309,Table2[],5,0)),0),"")</f>
        <v/>
      </c>
    </row>
    <row r="310" spans="2:14" x14ac:dyDescent="0.25">
      <c r="B310" s="76"/>
      <c r="C310" s="74" t="str">
        <f>IFERROR(VLOOKUP(B310,Table2[],2,0),"")</f>
        <v/>
      </c>
      <c r="D310" s="77"/>
      <c r="I310" s="79" t="str">
        <f t="shared" si="4"/>
        <v/>
      </c>
      <c r="J310" s="84" t="str">
        <f>IFERROR(ROUNDUP(8*(I310/VLOOKUP(B310,Table2[],5,0)),0),"")</f>
        <v/>
      </c>
      <c r="K310" s="1" t="str">
        <f>IFERROR(ROUNDUP(8*(E310/VLOOKUP(B310,Table2[],5,0)),0),"")</f>
        <v/>
      </c>
      <c r="L310" s="1" t="str">
        <f>IFERROR(ROUNDUP(8*(F310/VLOOKUP(B310,Table2[],5,0)),0),"")</f>
        <v/>
      </c>
      <c r="M310" s="1" t="str">
        <f>IFERROR(ROUNDUP(8*(G310/VLOOKUP(B310,Table2[],5,0)),0),"")</f>
        <v/>
      </c>
      <c r="N310" s="1" t="str">
        <f>IFERROR(ROUNDUP(8*(H310/VLOOKUP(B310,Table2[],5,0)),0),"")</f>
        <v/>
      </c>
    </row>
    <row r="311" spans="2:14" x14ac:dyDescent="0.25">
      <c r="B311" s="76"/>
      <c r="C311" s="74" t="str">
        <f>IFERROR(VLOOKUP(B311,Table2[],2,0),"")</f>
        <v/>
      </c>
      <c r="D311" s="77"/>
      <c r="I311" s="79" t="str">
        <f t="shared" si="4"/>
        <v/>
      </c>
      <c r="J311" s="84" t="str">
        <f>IFERROR(ROUNDUP(8*(I311/VLOOKUP(B311,Table2[],5,0)),0),"")</f>
        <v/>
      </c>
      <c r="K311" s="1" t="str">
        <f>IFERROR(ROUNDUP(8*(E311/VLOOKUP(B311,Table2[],5,0)),0),"")</f>
        <v/>
      </c>
      <c r="L311" s="1" t="str">
        <f>IFERROR(ROUNDUP(8*(F311/VLOOKUP(B311,Table2[],5,0)),0),"")</f>
        <v/>
      </c>
      <c r="M311" s="1" t="str">
        <f>IFERROR(ROUNDUP(8*(G311/VLOOKUP(B311,Table2[],5,0)),0),"")</f>
        <v/>
      </c>
      <c r="N311" s="1" t="str">
        <f>IFERROR(ROUNDUP(8*(H311/VLOOKUP(B311,Table2[],5,0)),0),"")</f>
        <v/>
      </c>
    </row>
    <row r="312" spans="2:14" x14ac:dyDescent="0.25">
      <c r="B312" s="76"/>
      <c r="C312" s="74" t="str">
        <f>IFERROR(VLOOKUP(B312,Table2[],2,0),"")</f>
        <v/>
      </c>
      <c r="D312" s="77"/>
      <c r="I312" s="79" t="str">
        <f t="shared" si="4"/>
        <v/>
      </c>
      <c r="J312" s="84" t="str">
        <f>IFERROR(ROUNDUP(8*(I312/VLOOKUP(B312,Table2[],5,0)),0),"")</f>
        <v/>
      </c>
      <c r="K312" s="1" t="str">
        <f>IFERROR(ROUNDUP(8*(E312/VLOOKUP(B312,Table2[],5,0)),0),"")</f>
        <v/>
      </c>
      <c r="L312" s="1" t="str">
        <f>IFERROR(ROUNDUP(8*(F312/VLOOKUP(B312,Table2[],5,0)),0),"")</f>
        <v/>
      </c>
      <c r="M312" s="1" t="str">
        <f>IFERROR(ROUNDUP(8*(G312/VLOOKUP(B312,Table2[],5,0)),0),"")</f>
        <v/>
      </c>
      <c r="N312" s="1" t="str">
        <f>IFERROR(ROUNDUP(8*(H312/VLOOKUP(B312,Table2[],5,0)),0),"")</f>
        <v/>
      </c>
    </row>
    <row r="313" spans="2:14" x14ac:dyDescent="0.25">
      <c r="B313" s="76"/>
      <c r="C313" s="74" t="str">
        <f>IFERROR(VLOOKUP(B313,Table2[],2,0),"")</f>
        <v/>
      </c>
      <c r="D313" s="77"/>
      <c r="I313" s="79" t="str">
        <f t="shared" si="4"/>
        <v/>
      </c>
      <c r="J313" s="84" t="str">
        <f>IFERROR(ROUNDUP(8*(I313/VLOOKUP(B313,Table2[],5,0)),0),"")</f>
        <v/>
      </c>
      <c r="K313" s="1" t="str">
        <f>IFERROR(ROUNDUP(8*(E313/VLOOKUP(B313,Table2[],5,0)),0),"")</f>
        <v/>
      </c>
      <c r="L313" s="1" t="str">
        <f>IFERROR(ROUNDUP(8*(F313/VLOOKUP(B313,Table2[],5,0)),0),"")</f>
        <v/>
      </c>
      <c r="M313" s="1" t="str">
        <f>IFERROR(ROUNDUP(8*(G313/VLOOKUP(B313,Table2[],5,0)),0),"")</f>
        <v/>
      </c>
      <c r="N313" s="1" t="str">
        <f>IFERROR(ROUNDUP(8*(H313/VLOOKUP(B313,Table2[],5,0)),0),"")</f>
        <v/>
      </c>
    </row>
    <row r="314" spans="2:14" x14ac:dyDescent="0.25">
      <c r="B314" s="76"/>
      <c r="C314" s="74" t="str">
        <f>IFERROR(VLOOKUP(B314,Table2[],2,0),"")</f>
        <v/>
      </c>
      <c r="D314" s="77"/>
      <c r="I314" s="79" t="str">
        <f t="shared" si="4"/>
        <v/>
      </c>
      <c r="J314" s="84" t="str">
        <f>IFERROR(ROUNDUP(8*(I314/VLOOKUP(B314,Table2[],5,0)),0),"")</f>
        <v/>
      </c>
      <c r="K314" s="1" t="str">
        <f>IFERROR(ROUNDUP(8*(E314/VLOOKUP(B314,Table2[],5,0)),0),"")</f>
        <v/>
      </c>
      <c r="L314" s="1" t="str">
        <f>IFERROR(ROUNDUP(8*(F314/VLOOKUP(B314,Table2[],5,0)),0),"")</f>
        <v/>
      </c>
      <c r="M314" s="1" t="str">
        <f>IFERROR(ROUNDUP(8*(G314/VLOOKUP(B314,Table2[],5,0)),0),"")</f>
        <v/>
      </c>
      <c r="N314" s="1" t="str">
        <f>IFERROR(ROUNDUP(8*(H314/VLOOKUP(B314,Table2[],5,0)),0),"")</f>
        <v/>
      </c>
    </row>
    <row r="315" spans="2:14" x14ac:dyDescent="0.25">
      <c r="B315" s="76"/>
      <c r="C315" s="74" t="str">
        <f>IFERROR(VLOOKUP(B315,Table2[],2,0),"")</f>
        <v/>
      </c>
      <c r="D315" s="77"/>
      <c r="I315" s="79" t="str">
        <f t="shared" si="4"/>
        <v/>
      </c>
      <c r="J315" s="84" t="str">
        <f>IFERROR(ROUNDUP(8*(I315/VLOOKUP(B315,Table2[],5,0)),0),"")</f>
        <v/>
      </c>
      <c r="K315" s="1" t="str">
        <f>IFERROR(ROUNDUP(8*(E315/VLOOKUP(B315,Table2[],5,0)),0),"")</f>
        <v/>
      </c>
      <c r="L315" s="1" t="str">
        <f>IFERROR(ROUNDUP(8*(F315/VLOOKUP(B315,Table2[],5,0)),0),"")</f>
        <v/>
      </c>
      <c r="M315" s="1" t="str">
        <f>IFERROR(ROUNDUP(8*(G315/VLOOKUP(B315,Table2[],5,0)),0),"")</f>
        <v/>
      </c>
      <c r="N315" s="1" t="str">
        <f>IFERROR(ROUNDUP(8*(H315/VLOOKUP(B315,Table2[],5,0)),0),"")</f>
        <v/>
      </c>
    </row>
    <row r="316" spans="2:14" x14ac:dyDescent="0.25">
      <c r="B316" s="76"/>
      <c r="C316" s="74" t="str">
        <f>IFERROR(VLOOKUP(B316,Table2[],2,0),"")</f>
        <v/>
      </c>
      <c r="D316" s="77"/>
      <c r="I316" s="79" t="str">
        <f t="shared" si="4"/>
        <v/>
      </c>
      <c r="J316" s="84" t="str">
        <f>IFERROR(ROUNDUP(8*(I316/VLOOKUP(B316,Table2[],5,0)),0),"")</f>
        <v/>
      </c>
      <c r="K316" s="1" t="str">
        <f>IFERROR(ROUNDUP(8*(E316/VLOOKUP(B316,Table2[],5,0)),0),"")</f>
        <v/>
      </c>
      <c r="L316" s="1" t="str">
        <f>IFERROR(ROUNDUP(8*(F316/VLOOKUP(B316,Table2[],5,0)),0),"")</f>
        <v/>
      </c>
      <c r="M316" s="1" t="str">
        <f>IFERROR(ROUNDUP(8*(G316/VLOOKUP(B316,Table2[],5,0)),0),"")</f>
        <v/>
      </c>
      <c r="N316" s="1" t="str">
        <f>IFERROR(ROUNDUP(8*(H316/VLOOKUP(B316,Table2[],5,0)),0),"")</f>
        <v/>
      </c>
    </row>
    <row r="317" spans="2:14" x14ac:dyDescent="0.25">
      <c r="B317" s="76"/>
      <c r="C317" s="74" t="str">
        <f>IFERROR(VLOOKUP(B317,Table2[],2,0),"")</f>
        <v/>
      </c>
      <c r="D317" s="77"/>
      <c r="I317" s="79" t="str">
        <f t="shared" si="4"/>
        <v/>
      </c>
      <c r="J317" s="84" t="str">
        <f>IFERROR(ROUNDUP(8*(I317/VLOOKUP(B317,Table2[],5,0)),0),"")</f>
        <v/>
      </c>
      <c r="K317" s="1" t="str">
        <f>IFERROR(ROUNDUP(8*(E317/VLOOKUP(B317,Table2[],5,0)),0),"")</f>
        <v/>
      </c>
      <c r="L317" s="1" t="str">
        <f>IFERROR(ROUNDUP(8*(F317/VLOOKUP(B317,Table2[],5,0)),0),"")</f>
        <v/>
      </c>
      <c r="M317" s="1" t="str">
        <f>IFERROR(ROUNDUP(8*(G317/VLOOKUP(B317,Table2[],5,0)),0),"")</f>
        <v/>
      </c>
      <c r="N317" s="1" t="str">
        <f>IFERROR(ROUNDUP(8*(H317/VLOOKUP(B317,Table2[],5,0)),0),"")</f>
        <v/>
      </c>
    </row>
    <row r="318" spans="2:14" x14ac:dyDescent="0.25">
      <c r="B318" s="76"/>
      <c r="C318" s="74" t="str">
        <f>IFERROR(VLOOKUP(B318,Table2[],2,0),"")</f>
        <v/>
      </c>
      <c r="D318" s="77"/>
      <c r="I318" s="79" t="str">
        <f t="shared" si="4"/>
        <v/>
      </c>
      <c r="J318" s="84" t="str">
        <f>IFERROR(ROUNDUP(8*(I318/VLOOKUP(B318,Table2[],5,0)),0),"")</f>
        <v/>
      </c>
      <c r="K318" s="1" t="str">
        <f>IFERROR(ROUNDUP(8*(E318/VLOOKUP(B318,Table2[],5,0)),0),"")</f>
        <v/>
      </c>
      <c r="L318" s="1" t="str">
        <f>IFERROR(ROUNDUP(8*(F318/VLOOKUP(B318,Table2[],5,0)),0),"")</f>
        <v/>
      </c>
      <c r="M318" s="1" t="str">
        <f>IFERROR(ROUNDUP(8*(G318/VLOOKUP(B318,Table2[],5,0)),0),"")</f>
        <v/>
      </c>
      <c r="N318" s="1" t="str">
        <f>IFERROR(ROUNDUP(8*(H318/VLOOKUP(B318,Table2[],5,0)),0),"")</f>
        <v/>
      </c>
    </row>
    <row r="319" spans="2:14" x14ac:dyDescent="0.25">
      <c r="B319" s="76"/>
      <c r="C319" s="74" t="str">
        <f>IFERROR(VLOOKUP(B319,Table2[],2,0),"")</f>
        <v/>
      </c>
      <c r="D319" s="77"/>
      <c r="I319" s="79" t="str">
        <f t="shared" si="4"/>
        <v/>
      </c>
      <c r="J319" s="84" t="str">
        <f>IFERROR(ROUNDUP(8*(I319/VLOOKUP(B319,Table2[],5,0)),0),"")</f>
        <v/>
      </c>
      <c r="K319" s="1" t="str">
        <f>IFERROR(ROUNDUP(8*(E319/VLOOKUP(B319,Table2[],5,0)),0),"")</f>
        <v/>
      </c>
      <c r="L319" s="1" t="str">
        <f>IFERROR(ROUNDUP(8*(F319/VLOOKUP(B319,Table2[],5,0)),0),"")</f>
        <v/>
      </c>
      <c r="M319" s="1" t="str">
        <f>IFERROR(ROUNDUP(8*(G319/VLOOKUP(B319,Table2[],5,0)),0),"")</f>
        <v/>
      </c>
      <c r="N319" s="1" t="str">
        <f>IFERROR(ROUNDUP(8*(H319/VLOOKUP(B319,Table2[],5,0)),0),"")</f>
        <v/>
      </c>
    </row>
    <row r="320" spans="2:14" x14ac:dyDescent="0.25">
      <c r="B320" s="76"/>
      <c r="C320" s="74" t="str">
        <f>IFERROR(VLOOKUP(B320,Table2[],2,0),"")</f>
        <v/>
      </c>
      <c r="D320" s="77"/>
      <c r="I320" s="79" t="str">
        <f t="shared" si="4"/>
        <v/>
      </c>
      <c r="J320" s="84" t="str">
        <f>IFERROR(ROUNDUP(8*(I320/VLOOKUP(B320,Table2[],5,0)),0),"")</f>
        <v/>
      </c>
      <c r="K320" s="1" t="str">
        <f>IFERROR(ROUNDUP(8*(E320/VLOOKUP(B320,Table2[],5,0)),0),"")</f>
        <v/>
      </c>
      <c r="L320" s="1" t="str">
        <f>IFERROR(ROUNDUP(8*(F320/VLOOKUP(B320,Table2[],5,0)),0),"")</f>
        <v/>
      </c>
      <c r="M320" s="1" t="str">
        <f>IFERROR(ROUNDUP(8*(G320/VLOOKUP(B320,Table2[],5,0)),0),"")</f>
        <v/>
      </c>
      <c r="N320" s="1" t="str">
        <f>IFERROR(ROUNDUP(8*(H320/VLOOKUP(B320,Table2[],5,0)),0),"")</f>
        <v/>
      </c>
    </row>
    <row r="321" spans="2:14" x14ac:dyDescent="0.25">
      <c r="B321" s="76"/>
      <c r="C321" s="74" t="str">
        <f>IFERROR(VLOOKUP(B321,Table2[],2,0),"")</f>
        <v/>
      </c>
      <c r="D321" s="77"/>
      <c r="I321" s="79" t="str">
        <f t="shared" si="4"/>
        <v/>
      </c>
      <c r="J321" s="84" t="str">
        <f>IFERROR(ROUNDUP(8*(I321/VLOOKUP(B321,Table2[],5,0)),0),"")</f>
        <v/>
      </c>
      <c r="K321" s="1" t="str">
        <f>IFERROR(ROUNDUP(8*(E321/VLOOKUP(B321,Table2[],5,0)),0),"")</f>
        <v/>
      </c>
      <c r="L321" s="1" t="str">
        <f>IFERROR(ROUNDUP(8*(F321/VLOOKUP(B321,Table2[],5,0)),0),"")</f>
        <v/>
      </c>
      <c r="M321" s="1" t="str">
        <f>IFERROR(ROUNDUP(8*(G321/VLOOKUP(B321,Table2[],5,0)),0),"")</f>
        <v/>
      </c>
      <c r="N321" s="1" t="str">
        <f>IFERROR(ROUNDUP(8*(H321/VLOOKUP(B321,Table2[],5,0)),0),"")</f>
        <v/>
      </c>
    </row>
    <row r="322" spans="2:14" x14ac:dyDescent="0.25">
      <c r="B322" s="76"/>
      <c r="C322" s="74" t="str">
        <f>IFERROR(VLOOKUP(B322,Table2[],2,0),"")</f>
        <v/>
      </c>
      <c r="D322" s="77"/>
      <c r="I322" s="79" t="str">
        <f t="shared" si="4"/>
        <v/>
      </c>
      <c r="J322" s="84" t="str">
        <f>IFERROR(ROUNDUP(8*(I322/VLOOKUP(B322,Table2[],5,0)),0),"")</f>
        <v/>
      </c>
      <c r="K322" s="1" t="str">
        <f>IFERROR(ROUNDUP(8*(E322/VLOOKUP(B322,Table2[],5,0)),0),"")</f>
        <v/>
      </c>
      <c r="L322" s="1" t="str">
        <f>IFERROR(ROUNDUP(8*(F322/VLOOKUP(B322,Table2[],5,0)),0),"")</f>
        <v/>
      </c>
      <c r="M322" s="1" t="str">
        <f>IFERROR(ROUNDUP(8*(G322/VLOOKUP(B322,Table2[],5,0)),0),"")</f>
        <v/>
      </c>
      <c r="N322" s="1" t="str">
        <f>IFERROR(ROUNDUP(8*(H322/VLOOKUP(B322,Table2[],5,0)),0),"")</f>
        <v/>
      </c>
    </row>
    <row r="323" spans="2:14" x14ac:dyDescent="0.25">
      <c r="B323" s="76"/>
      <c r="C323" s="74" t="str">
        <f>IFERROR(VLOOKUP(B323,Table2[],2,0),"")</f>
        <v/>
      </c>
      <c r="D323" s="77"/>
      <c r="I323" s="79" t="str">
        <f t="shared" si="4"/>
        <v/>
      </c>
      <c r="J323" s="84" t="str">
        <f>IFERROR(ROUNDUP(8*(I323/VLOOKUP(B323,Table2[],5,0)),0),"")</f>
        <v/>
      </c>
      <c r="K323" s="1" t="str">
        <f>IFERROR(ROUNDUP(8*(E323/VLOOKUP(B323,Table2[],5,0)),0),"")</f>
        <v/>
      </c>
      <c r="L323" s="1" t="str">
        <f>IFERROR(ROUNDUP(8*(F323/VLOOKUP(B323,Table2[],5,0)),0),"")</f>
        <v/>
      </c>
      <c r="M323" s="1" t="str">
        <f>IFERROR(ROUNDUP(8*(G323/VLOOKUP(B323,Table2[],5,0)),0),"")</f>
        <v/>
      </c>
      <c r="N323" s="1" t="str">
        <f>IFERROR(ROUNDUP(8*(H323/VLOOKUP(B323,Table2[],5,0)),0),"")</f>
        <v/>
      </c>
    </row>
    <row r="324" spans="2:14" x14ac:dyDescent="0.25">
      <c r="B324" s="76"/>
      <c r="C324" s="74" t="str">
        <f>IFERROR(VLOOKUP(B324,Table2[],2,0),"")</f>
        <v/>
      </c>
      <c r="D324" s="77"/>
      <c r="I324" s="79" t="str">
        <f t="shared" si="4"/>
        <v/>
      </c>
      <c r="J324" s="84" t="str">
        <f>IFERROR(ROUNDUP(8*(I324/VLOOKUP(B324,Table2[],5,0)),0),"")</f>
        <v/>
      </c>
      <c r="K324" s="1" t="str">
        <f>IFERROR(ROUNDUP(8*(E324/VLOOKUP(B324,Table2[],5,0)),0),"")</f>
        <v/>
      </c>
      <c r="L324" s="1" t="str">
        <f>IFERROR(ROUNDUP(8*(F324/VLOOKUP(B324,Table2[],5,0)),0),"")</f>
        <v/>
      </c>
      <c r="M324" s="1" t="str">
        <f>IFERROR(ROUNDUP(8*(G324/VLOOKUP(B324,Table2[],5,0)),0),"")</f>
        <v/>
      </c>
      <c r="N324" s="1" t="str">
        <f>IFERROR(ROUNDUP(8*(H324/VLOOKUP(B324,Table2[],5,0)),0),"")</f>
        <v/>
      </c>
    </row>
    <row r="325" spans="2:14" x14ac:dyDescent="0.25">
      <c r="B325" s="76"/>
      <c r="C325" s="74" t="str">
        <f>IFERROR(VLOOKUP(B325,Table2[],2,0),"")</f>
        <v/>
      </c>
      <c r="D325" s="77"/>
      <c r="I325" s="79" t="str">
        <f t="shared" si="4"/>
        <v/>
      </c>
      <c r="J325" s="84" t="str">
        <f>IFERROR(ROUNDUP(8*(I325/VLOOKUP(B325,Table2[],5,0)),0),"")</f>
        <v/>
      </c>
      <c r="K325" s="1" t="str">
        <f>IFERROR(ROUNDUP(8*(E325/VLOOKUP(B325,Table2[],5,0)),0),"")</f>
        <v/>
      </c>
      <c r="L325" s="1" t="str">
        <f>IFERROR(ROUNDUP(8*(F325/VLOOKUP(B325,Table2[],5,0)),0),"")</f>
        <v/>
      </c>
      <c r="M325" s="1" t="str">
        <f>IFERROR(ROUNDUP(8*(G325/VLOOKUP(B325,Table2[],5,0)),0),"")</f>
        <v/>
      </c>
      <c r="N325" s="1" t="str">
        <f>IFERROR(ROUNDUP(8*(H325/VLOOKUP(B325,Table2[],5,0)),0),"")</f>
        <v/>
      </c>
    </row>
    <row r="326" spans="2:14" x14ac:dyDescent="0.25">
      <c r="B326" s="76"/>
      <c r="C326" s="74" t="str">
        <f>IFERROR(VLOOKUP(B326,Table2[],2,0),"")</f>
        <v/>
      </c>
      <c r="D326" s="77"/>
      <c r="I326" s="79" t="str">
        <f t="shared" si="4"/>
        <v/>
      </c>
      <c r="J326" s="84" t="str">
        <f>IFERROR(ROUNDUP(8*(I326/VLOOKUP(B326,Table2[],5,0)),0),"")</f>
        <v/>
      </c>
      <c r="K326" s="1" t="str">
        <f>IFERROR(ROUNDUP(8*(E326/VLOOKUP(B326,Table2[],5,0)),0),"")</f>
        <v/>
      </c>
      <c r="L326" s="1" t="str">
        <f>IFERROR(ROUNDUP(8*(F326/VLOOKUP(B326,Table2[],5,0)),0),"")</f>
        <v/>
      </c>
      <c r="M326" s="1" t="str">
        <f>IFERROR(ROUNDUP(8*(G326/VLOOKUP(B326,Table2[],5,0)),0),"")</f>
        <v/>
      </c>
      <c r="N326" s="1" t="str">
        <f>IFERROR(ROUNDUP(8*(H326/VLOOKUP(B326,Table2[],5,0)),0),"")</f>
        <v/>
      </c>
    </row>
    <row r="327" spans="2:14" x14ac:dyDescent="0.25">
      <c r="B327" s="76"/>
      <c r="C327" s="74" t="str">
        <f>IFERROR(VLOOKUP(B327,Table2[],2,0),"")</f>
        <v/>
      </c>
      <c r="D327" s="77"/>
      <c r="I327" s="79" t="str">
        <f t="shared" ref="I327:I390" si="5">IF(B327="","",SUM(E327:H327))</f>
        <v/>
      </c>
      <c r="J327" s="84" t="str">
        <f>IFERROR(ROUNDUP(8*(I327/VLOOKUP(B327,Table2[],5,0)),0),"")</f>
        <v/>
      </c>
      <c r="K327" s="1" t="str">
        <f>IFERROR(ROUNDUP(8*(E327/VLOOKUP(B327,Table2[],5,0)),0),"")</f>
        <v/>
      </c>
      <c r="L327" s="1" t="str">
        <f>IFERROR(ROUNDUP(8*(F327/VLOOKUP(B327,Table2[],5,0)),0),"")</f>
        <v/>
      </c>
      <c r="M327" s="1" t="str">
        <f>IFERROR(ROUNDUP(8*(G327/VLOOKUP(B327,Table2[],5,0)),0),"")</f>
        <v/>
      </c>
      <c r="N327" s="1" t="str">
        <f>IFERROR(ROUNDUP(8*(H327/VLOOKUP(B327,Table2[],5,0)),0),"")</f>
        <v/>
      </c>
    </row>
    <row r="328" spans="2:14" x14ac:dyDescent="0.25">
      <c r="B328" s="76"/>
      <c r="C328" s="74" t="str">
        <f>IFERROR(VLOOKUP(B328,Table2[],2,0),"")</f>
        <v/>
      </c>
      <c r="D328" s="77"/>
      <c r="I328" s="79" t="str">
        <f t="shared" si="5"/>
        <v/>
      </c>
      <c r="J328" s="84" t="str">
        <f>IFERROR(ROUNDUP(8*(I328/VLOOKUP(B328,Table2[],5,0)),0),"")</f>
        <v/>
      </c>
      <c r="K328" s="1" t="str">
        <f>IFERROR(ROUNDUP(8*(E328/VLOOKUP(B328,Table2[],5,0)),0),"")</f>
        <v/>
      </c>
      <c r="L328" s="1" t="str">
        <f>IFERROR(ROUNDUP(8*(F328/VLOOKUP(B328,Table2[],5,0)),0),"")</f>
        <v/>
      </c>
      <c r="M328" s="1" t="str">
        <f>IFERROR(ROUNDUP(8*(G328/VLOOKUP(B328,Table2[],5,0)),0),"")</f>
        <v/>
      </c>
      <c r="N328" s="1" t="str">
        <f>IFERROR(ROUNDUP(8*(H328/VLOOKUP(B328,Table2[],5,0)),0),"")</f>
        <v/>
      </c>
    </row>
    <row r="329" spans="2:14" x14ac:dyDescent="0.25">
      <c r="B329" s="76"/>
      <c r="C329" s="74" t="str">
        <f>IFERROR(VLOOKUP(B329,Table2[],2,0),"")</f>
        <v/>
      </c>
      <c r="D329" s="77"/>
      <c r="I329" s="79" t="str">
        <f t="shared" si="5"/>
        <v/>
      </c>
      <c r="J329" s="84" t="str">
        <f>IFERROR(ROUNDUP(8*(I329/VLOOKUP(B329,Table2[],5,0)),0),"")</f>
        <v/>
      </c>
      <c r="K329" s="1" t="str">
        <f>IFERROR(ROUNDUP(8*(E329/VLOOKUP(B329,Table2[],5,0)),0),"")</f>
        <v/>
      </c>
      <c r="L329" s="1" t="str">
        <f>IFERROR(ROUNDUP(8*(F329/VLOOKUP(B329,Table2[],5,0)),0),"")</f>
        <v/>
      </c>
      <c r="M329" s="1" t="str">
        <f>IFERROR(ROUNDUP(8*(G329/VLOOKUP(B329,Table2[],5,0)),0),"")</f>
        <v/>
      </c>
      <c r="N329" s="1" t="str">
        <f>IFERROR(ROUNDUP(8*(H329/VLOOKUP(B329,Table2[],5,0)),0),"")</f>
        <v/>
      </c>
    </row>
    <row r="330" spans="2:14" x14ac:dyDescent="0.25">
      <c r="B330" s="76"/>
      <c r="C330" s="74" t="str">
        <f>IFERROR(VLOOKUP(B330,Table2[],2,0),"")</f>
        <v/>
      </c>
      <c r="D330" s="77"/>
      <c r="I330" s="79" t="str">
        <f t="shared" si="5"/>
        <v/>
      </c>
      <c r="J330" s="84" t="str">
        <f>IFERROR(ROUNDUP(8*(I330/VLOOKUP(B330,Table2[],5,0)),0),"")</f>
        <v/>
      </c>
      <c r="K330" s="1" t="str">
        <f>IFERROR(ROUNDUP(8*(E330/VLOOKUP(B330,Table2[],5,0)),0),"")</f>
        <v/>
      </c>
      <c r="L330" s="1" t="str">
        <f>IFERROR(ROUNDUP(8*(F330/VLOOKUP(B330,Table2[],5,0)),0),"")</f>
        <v/>
      </c>
      <c r="M330" s="1" t="str">
        <f>IFERROR(ROUNDUP(8*(G330/VLOOKUP(B330,Table2[],5,0)),0),"")</f>
        <v/>
      </c>
      <c r="N330" s="1" t="str">
        <f>IFERROR(ROUNDUP(8*(H330/VLOOKUP(B330,Table2[],5,0)),0),"")</f>
        <v/>
      </c>
    </row>
    <row r="331" spans="2:14" x14ac:dyDescent="0.25">
      <c r="B331" s="76"/>
      <c r="C331" s="74" t="str">
        <f>IFERROR(VLOOKUP(B331,Table2[],2,0),"")</f>
        <v/>
      </c>
      <c r="D331" s="77"/>
      <c r="I331" s="79" t="str">
        <f t="shared" si="5"/>
        <v/>
      </c>
      <c r="J331" s="84" t="str">
        <f>IFERROR(ROUNDUP(8*(I331/VLOOKUP(B331,Table2[],5,0)),0),"")</f>
        <v/>
      </c>
      <c r="K331" s="1" t="str">
        <f>IFERROR(ROUNDUP(8*(E331/VLOOKUP(B331,Table2[],5,0)),0),"")</f>
        <v/>
      </c>
      <c r="L331" s="1" t="str">
        <f>IFERROR(ROUNDUP(8*(F331/VLOOKUP(B331,Table2[],5,0)),0),"")</f>
        <v/>
      </c>
      <c r="M331" s="1" t="str">
        <f>IFERROR(ROUNDUP(8*(G331/VLOOKUP(B331,Table2[],5,0)),0),"")</f>
        <v/>
      </c>
      <c r="N331" s="1" t="str">
        <f>IFERROR(ROUNDUP(8*(H331/VLOOKUP(B331,Table2[],5,0)),0),"")</f>
        <v/>
      </c>
    </row>
    <row r="332" spans="2:14" x14ac:dyDescent="0.25">
      <c r="B332" s="76"/>
      <c r="C332" s="74" t="str">
        <f>IFERROR(VLOOKUP(B332,Table2[],2,0),"")</f>
        <v/>
      </c>
      <c r="D332" s="77"/>
      <c r="I332" s="79" t="str">
        <f t="shared" si="5"/>
        <v/>
      </c>
      <c r="J332" s="84" t="str">
        <f>IFERROR(ROUNDUP(8*(I332/VLOOKUP(B332,Table2[],5,0)),0),"")</f>
        <v/>
      </c>
      <c r="K332" s="1" t="str">
        <f>IFERROR(ROUNDUP(8*(E332/VLOOKUP(B332,Table2[],5,0)),0),"")</f>
        <v/>
      </c>
      <c r="L332" s="1" t="str">
        <f>IFERROR(ROUNDUP(8*(F332/VLOOKUP(B332,Table2[],5,0)),0),"")</f>
        <v/>
      </c>
      <c r="M332" s="1" t="str">
        <f>IFERROR(ROUNDUP(8*(G332/VLOOKUP(B332,Table2[],5,0)),0),"")</f>
        <v/>
      </c>
      <c r="N332" s="1" t="str">
        <f>IFERROR(ROUNDUP(8*(H332/VLOOKUP(B332,Table2[],5,0)),0),"")</f>
        <v/>
      </c>
    </row>
    <row r="333" spans="2:14" x14ac:dyDescent="0.25">
      <c r="B333" s="76"/>
      <c r="C333" s="74" t="str">
        <f>IFERROR(VLOOKUP(B333,Table2[],2,0),"")</f>
        <v/>
      </c>
      <c r="D333" s="77"/>
      <c r="I333" s="79" t="str">
        <f t="shared" si="5"/>
        <v/>
      </c>
      <c r="J333" s="84" t="str">
        <f>IFERROR(ROUNDUP(8*(I333/VLOOKUP(B333,Table2[],5,0)),0),"")</f>
        <v/>
      </c>
      <c r="K333" s="1" t="str">
        <f>IFERROR(ROUNDUP(8*(E333/VLOOKUP(B333,Table2[],5,0)),0),"")</f>
        <v/>
      </c>
      <c r="L333" s="1" t="str">
        <f>IFERROR(ROUNDUP(8*(F333/VLOOKUP(B333,Table2[],5,0)),0),"")</f>
        <v/>
      </c>
      <c r="M333" s="1" t="str">
        <f>IFERROR(ROUNDUP(8*(G333/VLOOKUP(B333,Table2[],5,0)),0),"")</f>
        <v/>
      </c>
      <c r="N333" s="1" t="str">
        <f>IFERROR(ROUNDUP(8*(H333/VLOOKUP(B333,Table2[],5,0)),0),"")</f>
        <v/>
      </c>
    </row>
    <row r="334" spans="2:14" x14ac:dyDescent="0.25">
      <c r="B334" s="76"/>
      <c r="C334" s="74" t="str">
        <f>IFERROR(VLOOKUP(B334,Table2[],2,0),"")</f>
        <v/>
      </c>
      <c r="D334" s="77"/>
      <c r="I334" s="79" t="str">
        <f t="shared" si="5"/>
        <v/>
      </c>
      <c r="J334" s="84" t="str">
        <f>IFERROR(ROUNDUP(8*(I334/VLOOKUP(B334,Table2[],5,0)),0),"")</f>
        <v/>
      </c>
      <c r="K334" s="1" t="str">
        <f>IFERROR(ROUNDUP(8*(E334/VLOOKUP(B334,Table2[],5,0)),0),"")</f>
        <v/>
      </c>
      <c r="L334" s="1" t="str">
        <f>IFERROR(ROUNDUP(8*(F334/VLOOKUP(B334,Table2[],5,0)),0),"")</f>
        <v/>
      </c>
      <c r="M334" s="1" t="str">
        <f>IFERROR(ROUNDUP(8*(G334/VLOOKUP(B334,Table2[],5,0)),0),"")</f>
        <v/>
      </c>
      <c r="N334" s="1" t="str">
        <f>IFERROR(ROUNDUP(8*(H334/VLOOKUP(B334,Table2[],5,0)),0),"")</f>
        <v/>
      </c>
    </row>
    <row r="335" spans="2:14" x14ac:dyDescent="0.25">
      <c r="B335" s="76"/>
      <c r="C335" s="74" t="str">
        <f>IFERROR(VLOOKUP(B335,Table2[],2,0),"")</f>
        <v/>
      </c>
      <c r="D335" s="77"/>
      <c r="I335" s="79" t="str">
        <f t="shared" si="5"/>
        <v/>
      </c>
      <c r="J335" s="84" t="str">
        <f>IFERROR(ROUNDUP(8*(I335/VLOOKUP(B335,Table2[],5,0)),0),"")</f>
        <v/>
      </c>
      <c r="K335" s="1" t="str">
        <f>IFERROR(ROUNDUP(8*(E335/VLOOKUP(B335,Table2[],5,0)),0),"")</f>
        <v/>
      </c>
      <c r="L335" s="1" t="str">
        <f>IFERROR(ROUNDUP(8*(F335/VLOOKUP(B335,Table2[],5,0)),0),"")</f>
        <v/>
      </c>
      <c r="M335" s="1" t="str">
        <f>IFERROR(ROUNDUP(8*(G335/VLOOKUP(B335,Table2[],5,0)),0),"")</f>
        <v/>
      </c>
      <c r="N335" s="1" t="str">
        <f>IFERROR(ROUNDUP(8*(H335/VLOOKUP(B335,Table2[],5,0)),0),"")</f>
        <v/>
      </c>
    </row>
    <row r="336" spans="2:14" x14ac:dyDescent="0.25">
      <c r="B336" s="76"/>
      <c r="C336" s="74" t="str">
        <f>IFERROR(VLOOKUP(B336,Table2[],2,0),"")</f>
        <v/>
      </c>
      <c r="D336" s="77"/>
      <c r="I336" s="79" t="str">
        <f t="shared" si="5"/>
        <v/>
      </c>
      <c r="J336" s="84" t="str">
        <f>IFERROR(ROUNDUP(8*(I336/VLOOKUP(B336,Table2[],5,0)),0),"")</f>
        <v/>
      </c>
      <c r="K336" s="1" t="str">
        <f>IFERROR(ROUNDUP(8*(E336/VLOOKUP(B336,Table2[],5,0)),0),"")</f>
        <v/>
      </c>
      <c r="L336" s="1" t="str">
        <f>IFERROR(ROUNDUP(8*(F336/VLOOKUP(B336,Table2[],5,0)),0),"")</f>
        <v/>
      </c>
      <c r="M336" s="1" t="str">
        <f>IFERROR(ROUNDUP(8*(G336/VLOOKUP(B336,Table2[],5,0)),0),"")</f>
        <v/>
      </c>
      <c r="N336" s="1" t="str">
        <f>IFERROR(ROUNDUP(8*(H336/VLOOKUP(B336,Table2[],5,0)),0),"")</f>
        <v/>
      </c>
    </row>
    <row r="337" spans="2:14" x14ac:dyDescent="0.25">
      <c r="B337" s="76"/>
      <c r="C337" s="74" t="str">
        <f>IFERROR(VLOOKUP(B337,Table2[],2,0),"")</f>
        <v/>
      </c>
      <c r="D337" s="77"/>
      <c r="I337" s="79" t="str">
        <f t="shared" si="5"/>
        <v/>
      </c>
      <c r="J337" s="84" t="str">
        <f>IFERROR(ROUNDUP(8*(I337/VLOOKUP(B337,Table2[],5,0)),0),"")</f>
        <v/>
      </c>
      <c r="K337" s="1" t="str">
        <f>IFERROR(ROUNDUP(8*(E337/VLOOKUP(B337,Table2[],5,0)),0),"")</f>
        <v/>
      </c>
      <c r="L337" s="1" t="str">
        <f>IFERROR(ROUNDUP(8*(F337/VLOOKUP(B337,Table2[],5,0)),0),"")</f>
        <v/>
      </c>
      <c r="M337" s="1" t="str">
        <f>IFERROR(ROUNDUP(8*(G337/VLOOKUP(B337,Table2[],5,0)),0),"")</f>
        <v/>
      </c>
      <c r="N337" s="1" t="str">
        <f>IFERROR(ROUNDUP(8*(H337/VLOOKUP(B337,Table2[],5,0)),0),"")</f>
        <v/>
      </c>
    </row>
    <row r="338" spans="2:14" x14ac:dyDescent="0.25">
      <c r="B338" s="76"/>
      <c r="C338" s="74" t="str">
        <f>IFERROR(VLOOKUP(B338,Table2[],2,0),"")</f>
        <v/>
      </c>
      <c r="D338" s="77"/>
      <c r="I338" s="79" t="str">
        <f t="shared" si="5"/>
        <v/>
      </c>
      <c r="J338" s="84" t="str">
        <f>IFERROR(ROUNDUP(8*(I338/VLOOKUP(B338,Table2[],5,0)),0),"")</f>
        <v/>
      </c>
      <c r="K338" s="1" t="str">
        <f>IFERROR(ROUNDUP(8*(E338/VLOOKUP(B338,Table2[],5,0)),0),"")</f>
        <v/>
      </c>
      <c r="L338" s="1" t="str">
        <f>IFERROR(ROUNDUP(8*(F338/VLOOKUP(B338,Table2[],5,0)),0),"")</f>
        <v/>
      </c>
      <c r="M338" s="1" t="str">
        <f>IFERROR(ROUNDUP(8*(G338/VLOOKUP(B338,Table2[],5,0)),0),"")</f>
        <v/>
      </c>
      <c r="N338" s="1" t="str">
        <f>IFERROR(ROUNDUP(8*(H338/VLOOKUP(B338,Table2[],5,0)),0),"")</f>
        <v/>
      </c>
    </row>
    <row r="339" spans="2:14" x14ac:dyDescent="0.25">
      <c r="B339" s="76"/>
      <c r="C339" s="74" t="str">
        <f>IFERROR(VLOOKUP(B339,Table2[],2,0),"")</f>
        <v/>
      </c>
      <c r="D339" s="77"/>
      <c r="I339" s="79" t="str">
        <f t="shared" si="5"/>
        <v/>
      </c>
      <c r="J339" s="84" t="str">
        <f>IFERROR(ROUNDUP(8*(I339/VLOOKUP(B339,Table2[],5,0)),0),"")</f>
        <v/>
      </c>
      <c r="K339" s="1" t="str">
        <f>IFERROR(ROUNDUP(8*(E339/VLOOKUP(B339,Table2[],5,0)),0),"")</f>
        <v/>
      </c>
      <c r="L339" s="1" t="str">
        <f>IFERROR(ROUNDUP(8*(F339/VLOOKUP(B339,Table2[],5,0)),0),"")</f>
        <v/>
      </c>
      <c r="M339" s="1" t="str">
        <f>IFERROR(ROUNDUP(8*(G339/VLOOKUP(B339,Table2[],5,0)),0),"")</f>
        <v/>
      </c>
      <c r="N339" s="1" t="str">
        <f>IFERROR(ROUNDUP(8*(H339/VLOOKUP(B339,Table2[],5,0)),0),"")</f>
        <v/>
      </c>
    </row>
    <row r="340" spans="2:14" x14ac:dyDescent="0.25">
      <c r="B340" s="76"/>
      <c r="C340" s="74" t="str">
        <f>IFERROR(VLOOKUP(B340,Table2[],2,0),"")</f>
        <v/>
      </c>
      <c r="D340" s="77"/>
      <c r="I340" s="79" t="str">
        <f t="shared" si="5"/>
        <v/>
      </c>
      <c r="J340" s="84" t="str">
        <f>IFERROR(ROUNDUP(8*(I340/VLOOKUP(B340,Table2[],5,0)),0),"")</f>
        <v/>
      </c>
      <c r="K340" s="1" t="str">
        <f>IFERROR(ROUNDUP(8*(E340/VLOOKUP(B340,Table2[],5,0)),0),"")</f>
        <v/>
      </c>
      <c r="L340" s="1" t="str">
        <f>IFERROR(ROUNDUP(8*(F340/VLOOKUP(B340,Table2[],5,0)),0),"")</f>
        <v/>
      </c>
      <c r="M340" s="1" t="str">
        <f>IFERROR(ROUNDUP(8*(G340/VLOOKUP(B340,Table2[],5,0)),0),"")</f>
        <v/>
      </c>
      <c r="N340" s="1" t="str">
        <f>IFERROR(ROUNDUP(8*(H340/VLOOKUP(B340,Table2[],5,0)),0),"")</f>
        <v/>
      </c>
    </row>
    <row r="341" spans="2:14" x14ac:dyDescent="0.25">
      <c r="B341" s="76"/>
      <c r="C341" s="74" t="str">
        <f>IFERROR(VLOOKUP(B341,Table2[],2,0),"")</f>
        <v/>
      </c>
      <c r="D341" s="77"/>
      <c r="I341" s="79" t="str">
        <f t="shared" si="5"/>
        <v/>
      </c>
      <c r="J341" s="84" t="str">
        <f>IFERROR(ROUNDUP(8*(I341/VLOOKUP(B341,Table2[],5,0)),0),"")</f>
        <v/>
      </c>
      <c r="K341" s="1" t="str">
        <f>IFERROR(ROUNDUP(8*(E341/VLOOKUP(B341,Table2[],5,0)),0),"")</f>
        <v/>
      </c>
      <c r="L341" s="1" t="str">
        <f>IFERROR(ROUNDUP(8*(F341/VLOOKUP(B341,Table2[],5,0)),0),"")</f>
        <v/>
      </c>
      <c r="M341" s="1" t="str">
        <f>IFERROR(ROUNDUP(8*(G341/VLOOKUP(B341,Table2[],5,0)),0),"")</f>
        <v/>
      </c>
      <c r="N341" s="1" t="str">
        <f>IFERROR(ROUNDUP(8*(H341/VLOOKUP(B341,Table2[],5,0)),0),"")</f>
        <v/>
      </c>
    </row>
    <row r="342" spans="2:14" x14ac:dyDescent="0.25">
      <c r="B342" s="76"/>
      <c r="C342" s="74" t="str">
        <f>IFERROR(VLOOKUP(B342,Table2[],2,0),"")</f>
        <v/>
      </c>
      <c r="D342" s="77"/>
      <c r="I342" s="79" t="str">
        <f t="shared" si="5"/>
        <v/>
      </c>
      <c r="J342" s="84" t="str">
        <f>IFERROR(ROUNDUP(8*(I342/VLOOKUP(B342,Table2[],5,0)),0),"")</f>
        <v/>
      </c>
      <c r="K342" s="1" t="str">
        <f>IFERROR(ROUNDUP(8*(E342/VLOOKUP(B342,Table2[],5,0)),0),"")</f>
        <v/>
      </c>
      <c r="L342" s="1" t="str">
        <f>IFERROR(ROUNDUP(8*(F342/VLOOKUP(B342,Table2[],5,0)),0),"")</f>
        <v/>
      </c>
      <c r="M342" s="1" t="str">
        <f>IFERROR(ROUNDUP(8*(G342/VLOOKUP(B342,Table2[],5,0)),0),"")</f>
        <v/>
      </c>
      <c r="N342" s="1" t="str">
        <f>IFERROR(ROUNDUP(8*(H342/VLOOKUP(B342,Table2[],5,0)),0),"")</f>
        <v/>
      </c>
    </row>
    <row r="343" spans="2:14" x14ac:dyDescent="0.25">
      <c r="B343" s="76"/>
      <c r="C343" s="74" t="str">
        <f>IFERROR(VLOOKUP(B343,Table2[],2,0),"")</f>
        <v/>
      </c>
      <c r="D343" s="77"/>
      <c r="I343" s="79" t="str">
        <f t="shared" si="5"/>
        <v/>
      </c>
      <c r="J343" s="84" t="str">
        <f>IFERROR(ROUNDUP(8*(I343/VLOOKUP(B343,Table2[],5,0)),0),"")</f>
        <v/>
      </c>
      <c r="K343" s="1" t="str">
        <f>IFERROR(ROUNDUP(8*(E343/VLOOKUP(B343,Table2[],5,0)),0),"")</f>
        <v/>
      </c>
      <c r="L343" s="1" t="str">
        <f>IFERROR(ROUNDUP(8*(F343/VLOOKUP(B343,Table2[],5,0)),0),"")</f>
        <v/>
      </c>
      <c r="M343" s="1" t="str">
        <f>IFERROR(ROUNDUP(8*(G343/VLOOKUP(B343,Table2[],5,0)),0),"")</f>
        <v/>
      </c>
      <c r="N343" s="1" t="str">
        <f>IFERROR(ROUNDUP(8*(H343/VLOOKUP(B343,Table2[],5,0)),0),"")</f>
        <v/>
      </c>
    </row>
    <row r="344" spans="2:14" x14ac:dyDescent="0.25">
      <c r="B344" s="76"/>
      <c r="C344" s="74" t="str">
        <f>IFERROR(VLOOKUP(B344,Table2[],2,0),"")</f>
        <v/>
      </c>
      <c r="D344" s="77"/>
      <c r="I344" s="79" t="str">
        <f t="shared" si="5"/>
        <v/>
      </c>
      <c r="J344" s="84" t="str">
        <f>IFERROR(ROUNDUP(8*(I344/VLOOKUP(B344,Table2[],5,0)),0),"")</f>
        <v/>
      </c>
      <c r="K344" s="1" t="str">
        <f>IFERROR(ROUNDUP(8*(E344/VLOOKUP(B344,Table2[],5,0)),0),"")</f>
        <v/>
      </c>
      <c r="L344" s="1" t="str">
        <f>IFERROR(ROUNDUP(8*(F344/VLOOKUP(B344,Table2[],5,0)),0),"")</f>
        <v/>
      </c>
      <c r="M344" s="1" t="str">
        <f>IFERROR(ROUNDUP(8*(G344/VLOOKUP(B344,Table2[],5,0)),0),"")</f>
        <v/>
      </c>
      <c r="N344" s="1" t="str">
        <f>IFERROR(ROUNDUP(8*(H344/VLOOKUP(B344,Table2[],5,0)),0),"")</f>
        <v/>
      </c>
    </row>
    <row r="345" spans="2:14" x14ac:dyDescent="0.25">
      <c r="B345" s="76"/>
      <c r="C345" s="74" t="str">
        <f>IFERROR(VLOOKUP(B345,Table2[],2,0),"")</f>
        <v/>
      </c>
      <c r="D345" s="77"/>
      <c r="I345" s="79" t="str">
        <f t="shared" si="5"/>
        <v/>
      </c>
      <c r="J345" s="84" t="str">
        <f>IFERROR(ROUNDUP(8*(I345/VLOOKUP(B345,Table2[],5,0)),0),"")</f>
        <v/>
      </c>
      <c r="K345" s="1" t="str">
        <f>IFERROR(ROUNDUP(8*(E345/VLOOKUP(B345,Table2[],5,0)),0),"")</f>
        <v/>
      </c>
      <c r="L345" s="1" t="str">
        <f>IFERROR(ROUNDUP(8*(F345/VLOOKUP(B345,Table2[],5,0)),0),"")</f>
        <v/>
      </c>
      <c r="M345" s="1" t="str">
        <f>IFERROR(ROUNDUP(8*(G345/VLOOKUP(B345,Table2[],5,0)),0),"")</f>
        <v/>
      </c>
      <c r="N345" s="1" t="str">
        <f>IFERROR(ROUNDUP(8*(H345/VLOOKUP(B345,Table2[],5,0)),0),"")</f>
        <v/>
      </c>
    </row>
    <row r="346" spans="2:14" x14ac:dyDescent="0.25">
      <c r="B346" s="76"/>
      <c r="C346" s="74" t="str">
        <f>IFERROR(VLOOKUP(B346,Table2[],2,0),"")</f>
        <v/>
      </c>
      <c r="D346" s="77"/>
      <c r="I346" s="79" t="str">
        <f t="shared" si="5"/>
        <v/>
      </c>
      <c r="J346" s="84" t="str">
        <f>IFERROR(ROUNDUP(8*(I346/VLOOKUP(B346,Table2[],5,0)),0),"")</f>
        <v/>
      </c>
      <c r="K346" s="1" t="str">
        <f>IFERROR(ROUNDUP(8*(E346/VLOOKUP(B346,Table2[],5,0)),0),"")</f>
        <v/>
      </c>
      <c r="L346" s="1" t="str">
        <f>IFERROR(ROUNDUP(8*(F346/VLOOKUP(B346,Table2[],5,0)),0),"")</f>
        <v/>
      </c>
      <c r="M346" s="1" t="str">
        <f>IFERROR(ROUNDUP(8*(G346/VLOOKUP(B346,Table2[],5,0)),0),"")</f>
        <v/>
      </c>
      <c r="N346" s="1" t="str">
        <f>IFERROR(ROUNDUP(8*(H346/VLOOKUP(B346,Table2[],5,0)),0),"")</f>
        <v/>
      </c>
    </row>
    <row r="347" spans="2:14" x14ac:dyDescent="0.25">
      <c r="B347" s="76"/>
      <c r="C347" s="74" t="str">
        <f>IFERROR(VLOOKUP(B347,Table2[],2,0),"")</f>
        <v/>
      </c>
      <c r="D347" s="77"/>
      <c r="I347" s="79" t="str">
        <f t="shared" si="5"/>
        <v/>
      </c>
      <c r="J347" s="84" t="str">
        <f>IFERROR(ROUNDUP(8*(I347/VLOOKUP(B347,Table2[],5,0)),0),"")</f>
        <v/>
      </c>
      <c r="K347" s="1" t="str">
        <f>IFERROR(ROUNDUP(8*(E347/VLOOKUP(B347,Table2[],5,0)),0),"")</f>
        <v/>
      </c>
      <c r="L347" s="1" t="str">
        <f>IFERROR(ROUNDUP(8*(F347/VLOOKUP(B347,Table2[],5,0)),0),"")</f>
        <v/>
      </c>
      <c r="M347" s="1" t="str">
        <f>IFERROR(ROUNDUP(8*(G347/VLOOKUP(B347,Table2[],5,0)),0),"")</f>
        <v/>
      </c>
      <c r="N347" s="1" t="str">
        <f>IFERROR(ROUNDUP(8*(H347/VLOOKUP(B347,Table2[],5,0)),0),"")</f>
        <v/>
      </c>
    </row>
    <row r="348" spans="2:14" x14ac:dyDescent="0.25">
      <c r="B348" s="76"/>
      <c r="C348" s="74" t="str">
        <f>IFERROR(VLOOKUP(B348,Table2[],2,0),"")</f>
        <v/>
      </c>
      <c r="D348" s="77"/>
      <c r="I348" s="79" t="str">
        <f t="shared" si="5"/>
        <v/>
      </c>
      <c r="J348" s="84" t="str">
        <f>IFERROR(ROUNDUP(8*(I348/VLOOKUP(B348,Table2[],5,0)),0),"")</f>
        <v/>
      </c>
      <c r="K348" s="1" t="str">
        <f>IFERROR(ROUNDUP(8*(E348/VLOOKUP(B348,Table2[],5,0)),0),"")</f>
        <v/>
      </c>
      <c r="L348" s="1" t="str">
        <f>IFERROR(ROUNDUP(8*(F348/VLOOKUP(B348,Table2[],5,0)),0),"")</f>
        <v/>
      </c>
      <c r="M348" s="1" t="str">
        <f>IFERROR(ROUNDUP(8*(G348/VLOOKUP(B348,Table2[],5,0)),0),"")</f>
        <v/>
      </c>
      <c r="N348" s="1" t="str">
        <f>IFERROR(ROUNDUP(8*(H348/VLOOKUP(B348,Table2[],5,0)),0),"")</f>
        <v/>
      </c>
    </row>
    <row r="349" spans="2:14" x14ac:dyDescent="0.25">
      <c r="B349" s="76"/>
      <c r="C349" s="74" t="str">
        <f>IFERROR(VLOOKUP(B349,Table2[],2,0),"")</f>
        <v/>
      </c>
      <c r="D349" s="77"/>
      <c r="I349" s="79" t="str">
        <f t="shared" si="5"/>
        <v/>
      </c>
      <c r="J349" s="84" t="str">
        <f>IFERROR(ROUNDUP(8*(I349/VLOOKUP(B349,Table2[],5,0)),0),"")</f>
        <v/>
      </c>
      <c r="K349" s="1" t="str">
        <f>IFERROR(ROUNDUP(8*(E349/VLOOKUP(B349,Table2[],5,0)),0),"")</f>
        <v/>
      </c>
      <c r="L349" s="1" t="str">
        <f>IFERROR(ROUNDUP(8*(F349/VLOOKUP(B349,Table2[],5,0)),0),"")</f>
        <v/>
      </c>
      <c r="M349" s="1" t="str">
        <f>IFERROR(ROUNDUP(8*(G349/VLOOKUP(B349,Table2[],5,0)),0),"")</f>
        <v/>
      </c>
      <c r="N349" s="1" t="str">
        <f>IFERROR(ROUNDUP(8*(H349/VLOOKUP(B349,Table2[],5,0)),0),"")</f>
        <v/>
      </c>
    </row>
    <row r="350" spans="2:14" x14ac:dyDescent="0.25">
      <c r="B350" s="76"/>
      <c r="C350" s="74" t="str">
        <f>IFERROR(VLOOKUP(B350,Table2[],2,0),"")</f>
        <v/>
      </c>
      <c r="D350" s="77"/>
      <c r="I350" s="79" t="str">
        <f t="shared" si="5"/>
        <v/>
      </c>
      <c r="J350" s="84" t="str">
        <f>IFERROR(ROUNDUP(8*(I350/VLOOKUP(B350,Table2[],5,0)),0),"")</f>
        <v/>
      </c>
      <c r="K350" s="1" t="str">
        <f>IFERROR(ROUNDUP(8*(E350/VLOOKUP(B350,Table2[],5,0)),0),"")</f>
        <v/>
      </c>
      <c r="L350" s="1" t="str">
        <f>IFERROR(ROUNDUP(8*(F350/VLOOKUP(B350,Table2[],5,0)),0),"")</f>
        <v/>
      </c>
      <c r="M350" s="1" t="str">
        <f>IFERROR(ROUNDUP(8*(G350/VLOOKUP(B350,Table2[],5,0)),0),"")</f>
        <v/>
      </c>
      <c r="N350" s="1" t="str">
        <f>IFERROR(ROUNDUP(8*(H350/VLOOKUP(B350,Table2[],5,0)),0),"")</f>
        <v/>
      </c>
    </row>
    <row r="351" spans="2:14" x14ac:dyDescent="0.25">
      <c r="B351" s="76"/>
      <c r="C351" s="74" t="str">
        <f>IFERROR(VLOOKUP(B351,Table2[],2,0),"")</f>
        <v/>
      </c>
      <c r="D351" s="77"/>
      <c r="I351" s="79" t="str">
        <f t="shared" si="5"/>
        <v/>
      </c>
      <c r="J351" s="84" t="str">
        <f>IFERROR(ROUNDUP(8*(I351/VLOOKUP(B351,Table2[],5,0)),0),"")</f>
        <v/>
      </c>
      <c r="K351" s="1" t="str">
        <f>IFERROR(ROUNDUP(8*(E351/VLOOKUP(B351,Table2[],5,0)),0),"")</f>
        <v/>
      </c>
      <c r="L351" s="1" t="str">
        <f>IFERROR(ROUNDUP(8*(F351/VLOOKUP(B351,Table2[],5,0)),0),"")</f>
        <v/>
      </c>
      <c r="M351" s="1" t="str">
        <f>IFERROR(ROUNDUP(8*(G351/VLOOKUP(B351,Table2[],5,0)),0),"")</f>
        <v/>
      </c>
      <c r="N351" s="1" t="str">
        <f>IFERROR(ROUNDUP(8*(H351/VLOOKUP(B351,Table2[],5,0)),0),"")</f>
        <v/>
      </c>
    </row>
    <row r="352" spans="2:14" x14ac:dyDescent="0.25">
      <c r="B352" s="76"/>
      <c r="C352" s="74" t="str">
        <f>IFERROR(VLOOKUP(B352,Table2[],2,0),"")</f>
        <v/>
      </c>
      <c r="D352" s="77"/>
      <c r="I352" s="79" t="str">
        <f t="shared" si="5"/>
        <v/>
      </c>
      <c r="J352" s="84" t="str">
        <f>IFERROR(ROUNDUP(8*(I352/VLOOKUP(B352,Table2[],5,0)),0),"")</f>
        <v/>
      </c>
      <c r="K352" s="1" t="str">
        <f>IFERROR(ROUNDUP(8*(E352/VLOOKUP(B352,Table2[],5,0)),0),"")</f>
        <v/>
      </c>
      <c r="L352" s="1" t="str">
        <f>IFERROR(ROUNDUP(8*(F352/VLOOKUP(B352,Table2[],5,0)),0),"")</f>
        <v/>
      </c>
      <c r="M352" s="1" t="str">
        <f>IFERROR(ROUNDUP(8*(G352/VLOOKUP(B352,Table2[],5,0)),0),"")</f>
        <v/>
      </c>
      <c r="N352" s="1" t="str">
        <f>IFERROR(ROUNDUP(8*(H352/VLOOKUP(B352,Table2[],5,0)),0),"")</f>
        <v/>
      </c>
    </row>
    <row r="353" spans="2:14" x14ac:dyDescent="0.25">
      <c r="B353" s="76"/>
      <c r="C353" s="74" t="str">
        <f>IFERROR(VLOOKUP(B353,Table2[],2,0),"")</f>
        <v/>
      </c>
      <c r="D353" s="77"/>
      <c r="I353" s="79" t="str">
        <f t="shared" si="5"/>
        <v/>
      </c>
      <c r="J353" s="84" t="str">
        <f>IFERROR(ROUNDUP(8*(I353/VLOOKUP(B353,Table2[],5,0)),0),"")</f>
        <v/>
      </c>
      <c r="K353" s="1" t="str">
        <f>IFERROR(ROUNDUP(8*(E353/VLOOKUP(B353,Table2[],5,0)),0),"")</f>
        <v/>
      </c>
      <c r="L353" s="1" t="str">
        <f>IFERROR(ROUNDUP(8*(F353/VLOOKUP(B353,Table2[],5,0)),0),"")</f>
        <v/>
      </c>
      <c r="M353" s="1" t="str">
        <f>IFERROR(ROUNDUP(8*(G353/VLOOKUP(B353,Table2[],5,0)),0),"")</f>
        <v/>
      </c>
      <c r="N353" s="1" t="str">
        <f>IFERROR(ROUNDUP(8*(H353/VLOOKUP(B353,Table2[],5,0)),0),"")</f>
        <v/>
      </c>
    </row>
    <row r="354" spans="2:14" x14ac:dyDescent="0.25">
      <c r="B354" s="76"/>
      <c r="C354" s="74" t="str">
        <f>IFERROR(VLOOKUP(B354,Table2[],2,0),"")</f>
        <v/>
      </c>
      <c r="D354" s="77"/>
      <c r="I354" s="79" t="str">
        <f t="shared" si="5"/>
        <v/>
      </c>
      <c r="J354" s="84" t="str">
        <f>IFERROR(ROUNDUP(8*(I354/VLOOKUP(B354,Table2[],5,0)),0),"")</f>
        <v/>
      </c>
      <c r="K354" s="1" t="str">
        <f>IFERROR(ROUNDUP(8*(E354/VLOOKUP(B354,Table2[],5,0)),0),"")</f>
        <v/>
      </c>
      <c r="L354" s="1" t="str">
        <f>IFERROR(ROUNDUP(8*(F354/VLOOKUP(B354,Table2[],5,0)),0),"")</f>
        <v/>
      </c>
      <c r="M354" s="1" t="str">
        <f>IFERROR(ROUNDUP(8*(G354/VLOOKUP(B354,Table2[],5,0)),0),"")</f>
        <v/>
      </c>
      <c r="N354" s="1" t="str">
        <f>IFERROR(ROUNDUP(8*(H354/VLOOKUP(B354,Table2[],5,0)),0),"")</f>
        <v/>
      </c>
    </row>
    <row r="355" spans="2:14" x14ac:dyDescent="0.25">
      <c r="B355" s="76"/>
      <c r="C355" s="74" t="str">
        <f>IFERROR(VLOOKUP(B355,Table2[],2,0),"")</f>
        <v/>
      </c>
      <c r="D355" s="77"/>
      <c r="I355" s="79" t="str">
        <f t="shared" si="5"/>
        <v/>
      </c>
      <c r="J355" s="84" t="str">
        <f>IFERROR(ROUNDUP(8*(I355/VLOOKUP(B355,Table2[],5,0)),0),"")</f>
        <v/>
      </c>
      <c r="K355" s="1" t="str">
        <f>IFERROR(ROUNDUP(8*(E355/VLOOKUP(B355,Table2[],5,0)),0),"")</f>
        <v/>
      </c>
      <c r="L355" s="1" t="str">
        <f>IFERROR(ROUNDUP(8*(F355/VLOOKUP(B355,Table2[],5,0)),0),"")</f>
        <v/>
      </c>
      <c r="M355" s="1" t="str">
        <f>IFERROR(ROUNDUP(8*(G355/VLOOKUP(B355,Table2[],5,0)),0),"")</f>
        <v/>
      </c>
      <c r="N355" s="1" t="str">
        <f>IFERROR(ROUNDUP(8*(H355/VLOOKUP(B355,Table2[],5,0)),0),"")</f>
        <v/>
      </c>
    </row>
    <row r="356" spans="2:14" x14ac:dyDescent="0.25">
      <c r="B356" s="76"/>
      <c r="C356" s="74" t="str">
        <f>IFERROR(VLOOKUP(B356,Table2[],2,0),"")</f>
        <v/>
      </c>
      <c r="D356" s="77"/>
      <c r="I356" s="79" t="str">
        <f t="shared" si="5"/>
        <v/>
      </c>
      <c r="J356" s="84" t="str">
        <f>IFERROR(ROUNDUP(8*(I356/VLOOKUP(B356,Table2[],5,0)),0),"")</f>
        <v/>
      </c>
      <c r="K356" s="1" t="str">
        <f>IFERROR(ROUNDUP(8*(E356/VLOOKUP(B356,Table2[],5,0)),0),"")</f>
        <v/>
      </c>
      <c r="L356" s="1" t="str">
        <f>IFERROR(ROUNDUP(8*(F356/VLOOKUP(B356,Table2[],5,0)),0),"")</f>
        <v/>
      </c>
      <c r="M356" s="1" t="str">
        <f>IFERROR(ROUNDUP(8*(G356/VLOOKUP(B356,Table2[],5,0)),0),"")</f>
        <v/>
      </c>
      <c r="N356" s="1" t="str">
        <f>IFERROR(ROUNDUP(8*(H356/VLOOKUP(B356,Table2[],5,0)),0),"")</f>
        <v/>
      </c>
    </row>
    <row r="357" spans="2:14" x14ac:dyDescent="0.25">
      <c r="B357" s="76"/>
      <c r="C357" s="74" t="str">
        <f>IFERROR(VLOOKUP(B357,Table2[],2,0),"")</f>
        <v/>
      </c>
      <c r="D357" s="77"/>
      <c r="I357" s="79" t="str">
        <f t="shared" si="5"/>
        <v/>
      </c>
      <c r="J357" s="84" t="str">
        <f>IFERROR(ROUNDUP(8*(I357/VLOOKUP(B357,Table2[],5,0)),0),"")</f>
        <v/>
      </c>
      <c r="K357" s="1" t="str">
        <f>IFERROR(ROUNDUP(8*(E357/VLOOKUP(B357,Table2[],5,0)),0),"")</f>
        <v/>
      </c>
      <c r="L357" s="1" t="str">
        <f>IFERROR(ROUNDUP(8*(F357/VLOOKUP(B357,Table2[],5,0)),0),"")</f>
        <v/>
      </c>
      <c r="M357" s="1" t="str">
        <f>IFERROR(ROUNDUP(8*(G357/VLOOKUP(B357,Table2[],5,0)),0),"")</f>
        <v/>
      </c>
      <c r="N357" s="1" t="str">
        <f>IFERROR(ROUNDUP(8*(H357/VLOOKUP(B357,Table2[],5,0)),0),"")</f>
        <v/>
      </c>
    </row>
    <row r="358" spans="2:14" x14ac:dyDescent="0.25">
      <c r="B358" s="76"/>
      <c r="C358" s="74" t="str">
        <f>IFERROR(VLOOKUP(B358,Table2[],2,0),"")</f>
        <v/>
      </c>
      <c r="D358" s="77"/>
      <c r="I358" s="79" t="str">
        <f t="shared" si="5"/>
        <v/>
      </c>
      <c r="J358" s="84" t="str">
        <f>IFERROR(ROUNDUP(8*(I358/VLOOKUP(B358,Table2[],5,0)),0),"")</f>
        <v/>
      </c>
      <c r="K358" s="1" t="str">
        <f>IFERROR(ROUNDUP(8*(E358/VLOOKUP(B358,Table2[],5,0)),0),"")</f>
        <v/>
      </c>
      <c r="L358" s="1" t="str">
        <f>IFERROR(ROUNDUP(8*(F358/VLOOKUP(B358,Table2[],5,0)),0),"")</f>
        <v/>
      </c>
      <c r="M358" s="1" t="str">
        <f>IFERROR(ROUNDUP(8*(G358/VLOOKUP(B358,Table2[],5,0)),0),"")</f>
        <v/>
      </c>
      <c r="N358" s="1" t="str">
        <f>IFERROR(ROUNDUP(8*(H358/VLOOKUP(B358,Table2[],5,0)),0),"")</f>
        <v/>
      </c>
    </row>
    <row r="359" spans="2:14" x14ac:dyDescent="0.25">
      <c r="B359" s="76"/>
      <c r="C359" s="74" t="str">
        <f>IFERROR(VLOOKUP(B359,Table2[],2,0),"")</f>
        <v/>
      </c>
      <c r="D359" s="77"/>
      <c r="I359" s="79" t="str">
        <f t="shared" si="5"/>
        <v/>
      </c>
      <c r="J359" s="84" t="str">
        <f>IFERROR(ROUNDUP(8*(I359/VLOOKUP(B359,Table2[],5,0)),0),"")</f>
        <v/>
      </c>
      <c r="K359" s="1" t="str">
        <f>IFERROR(ROUNDUP(8*(E359/VLOOKUP(B359,Table2[],5,0)),0),"")</f>
        <v/>
      </c>
      <c r="L359" s="1" t="str">
        <f>IFERROR(ROUNDUP(8*(F359/VLOOKUP(B359,Table2[],5,0)),0),"")</f>
        <v/>
      </c>
      <c r="M359" s="1" t="str">
        <f>IFERROR(ROUNDUP(8*(G359/VLOOKUP(B359,Table2[],5,0)),0),"")</f>
        <v/>
      </c>
      <c r="N359" s="1" t="str">
        <f>IFERROR(ROUNDUP(8*(H359/VLOOKUP(B359,Table2[],5,0)),0),"")</f>
        <v/>
      </c>
    </row>
    <row r="360" spans="2:14" x14ac:dyDescent="0.25">
      <c r="B360" s="76"/>
      <c r="C360" s="74" t="str">
        <f>IFERROR(VLOOKUP(B360,Table2[],2,0),"")</f>
        <v/>
      </c>
      <c r="D360" s="77"/>
      <c r="I360" s="79" t="str">
        <f t="shared" si="5"/>
        <v/>
      </c>
      <c r="J360" s="84" t="str">
        <f>IFERROR(ROUNDUP(8*(I360/VLOOKUP(B360,Table2[],5,0)),0),"")</f>
        <v/>
      </c>
      <c r="K360" s="1" t="str">
        <f>IFERROR(ROUNDUP(8*(E360/VLOOKUP(B360,Table2[],5,0)),0),"")</f>
        <v/>
      </c>
      <c r="L360" s="1" t="str">
        <f>IFERROR(ROUNDUP(8*(F360/VLOOKUP(B360,Table2[],5,0)),0),"")</f>
        <v/>
      </c>
      <c r="M360" s="1" t="str">
        <f>IFERROR(ROUNDUP(8*(G360/VLOOKUP(B360,Table2[],5,0)),0),"")</f>
        <v/>
      </c>
      <c r="N360" s="1" t="str">
        <f>IFERROR(ROUNDUP(8*(H360/VLOOKUP(B360,Table2[],5,0)),0),"")</f>
        <v/>
      </c>
    </row>
    <row r="361" spans="2:14" x14ac:dyDescent="0.25">
      <c r="B361" s="76"/>
      <c r="C361" s="74" t="str">
        <f>IFERROR(VLOOKUP(B361,Table2[],2,0),"")</f>
        <v/>
      </c>
      <c r="D361" s="77"/>
      <c r="I361" s="79" t="str">
        <f t="shared" si="5"/>
        <v/>
      </c>
      <c r="J361" s="84" t="str">
        <f>IFERROR(ROUNDUP(8*(I361/VLOOKUP(B361,Table2[],5,0)),0),"")</f>
        <v/>
      </c>
      <c r="K361" s="1" t="str">
        <f>IFERROR(ROUNDUP(8*(E361/VLOOKUP(B361,Table2[],5,0)),0),"")</f>
        <v/>
      </c>
      <c r="L361" s="1" t="str">
        <f>IFERROR(ROUNDUP(8*(F361/VLOOKUP(B361,Table2[],5,0)),0),"")</f>
        <v/>
      </c>
      <c r="M361" s="1" t="str">
        <f>IFERROR(ROUNDUP(8*(G361/VLOOKUP(B361,Table2[],5,0)),0),"")</f>
        <v/>
      </c>
      <c r="N361" s="1" t="str">
        <f>IFERROR(ROUNDUP(8*(H361/VLOOKUP(B361,Table2[],5,0)),0),"")</f>
        <v/>
      </c>
    </row>
    <row r="362" spans="2:14" x14ac:dyDescent="0.25">
      <c r="B362" s="76"/>
      <c r="C362" s="74" t="str">
        <f>IFERROR(VLOOKUP(B362,Table2[],2,0),"")</f>
        <v/>
      </c>
      <c r="D362" s="77"/>
      <c r="I362" s="79" t="str">
        <f t="shared" si="5"/>
        <v/>
      </c>
      <c r="J362" s="84" t="str">
        <f>IFERROR(ROUNDUP(8*(I362/VLOOKUP(B362,Table2[],5,0)),0),"")</f>
        <v/>
      </c>
      <c r="K362" s="1" t="str">
        <f>IFERROR(ROUNDUP(8*(E362/VLOOKUP(B362,Table2[],5,0)),0),"")</f>
        <v/>
      </c>
      <c r="L362" s="1" t="str">
        <f>IFERROR(ROUNDUP(8*(F362/VLOOKUP(B362,Table2[],5,0)),0),"")</f>
        <v/>
      </c>
      <c r="M362" s="1" t="str">
        <f>IFERROR(ROUNDUP(8*(G362/VLOOKUP(B362,Table2[],5,0)),0),"")</f>
        <v/>
      </c>
      <c r="N362" s="1" t="str">
        <f>IFERROR(ROUNDUP(8*(H362/VLOOKUP(B362,Table2[],5,0)),0),"")</f>
        <v/>
      </c>
    </row>
    <row r="363" spans="2:14" x14ac:dyDescent="0.25">
      <c r="B363" s="76"/>
      <c r="C363" s="74" t="str">
        <f>IFERROR(VLOOKUP(B363,Table2[],2,0),"")</f>
        <v/>
      </c>
      <c r="D363" s="77"/>
      <c r="I363" s="79" t="str">
        <f t="shared" si="5"/>
        <v/>
      </c>
      <c r="J363" s="84" t="str">
        <f>IFERROR(ROUNDUP(8*(I363/VLOOKUP(B363,Table2[],5,0)),0),"")</f>
        <v/>
      </c>
      <c r="K363" s="1" t="str">
        <f>IFERROR(ROUNDUP(8*(E363/VLOOKUP(B363,Table2[],5,0)),0),"")</f>
        <v/>
      </c>
      <c r="L363" s="1" t="str">
        <f>IFERROR(ROUNDUP(8*(F363/VLOOKUP(B363,Table2[],5,0)),0),"")</f>
        <v/>
      </c>
      <c r="M363" s="1" t="str">
        <f>IFERROR(ROUNDUP(8*(G363/VLOOKUP(B363,Table2[],5,0)),0),"")</f>
        <v/>
      </c>
      <c r="N363" s="1" t="str">
        <f>IFERROR(ROUNDUP(8*(H363/VLOOKUP(B363,Table2[],5,0)),0),"")</f>
        <v/>
      </c>
    </row>
    <row r="364" spans="2:14" x14ac:dyDescent="0.25">
      <c r="B364" s="76"/>
      <c r="C364" s="74" t="str">
        <f>IFERROR(VLOOKUP(B364,Table2[],2,0),"")</f>
        <v/>
      </c>
      <c r="D364" s="77"/>
      <c r="I364" s="79" t="str">
        <f t="shared" si="5"/>
        <v/>
      </c>
      <c r="J364" s="84" t="str">
        <f>IFERROR(ROUNDUP(8*(I364/VLOOKUP(B364,Table2[],5,0)),0),"")</f>
        <v/>
      </c>
      <c r="K364" s="1" t="str">
        <f>IFERROR(ROUNDUP(8*(E364/VLOOKUP(B364,Table2[],5,0)),0),"")</f>
        <v/>
      </c>
      <c r="L364" s="1" t="str">
        <f>IFERROR(ROUNDUP(8*(F364/VLOOKUP(B364,Table2[],5,0)),0),"")</f>
        <v/>
      </c>
      <c r="M364" s="1" t="str">
        <f>IFERROR(ROUNDUP(8*(G364/VLOOKUP(B364,Table2[],5,0)),0),"")</f>
        <v/>
      </c>
      <c r="N364" s="1" t="str">
        <f>IFERROR(ROUNDUP(8*(H364/VLOOKUP(B364,Table2[],5,0)),0),"")</f>
        <v/>
      </c>
    </row>
    <row r="365" spans="2:14" x14ac:dyDescent="0.25">
      <c r="B365" s="76"/>
      <c r="C365" s="74" t="str">
        <f>IFERROR(VLOOKUP(B365,Table2[],2,0),"")</f>
        <v/>
      </c>
      <c r="D365" s="77"/>
      <c r="I365" s="79" t="str">
        <f t="shared" si="5"/>
        <v/>
      </c>
      <c r="J365" s="84" t="str">
        <f>IFERROR(ROUNDUP(8*(I365/VLOOKUP(B365,Table2[],5,0)),0),"")</f>
        <v/>
      </c>
      <c r="K365" s="1" t="str">
        <f>IFERROR(ROUNDUP(8*(E365/VLOOKUP(B365,Table2[],5,0)),0),"")</f>
        <v/>
      </c>
      <c r="L365" s="1" t="str">
        <f>IFERROR(ROUNDUP(8*(F365/VLOOKUP(B365,Table2[],5,0)),0),"")</f>
        <v/>
      </c>
      <c r="M365" s="1" t="str">
        <f>IFERROR(ROUNDUP(8*(G365/VLOOKUP(B365,Table2[],5,0)),0),"")</f>
        <v/>
      </c>
      <c r="N365" s="1" t="str">
        <f>IFERROR(ROUNDUP(8*(H365/VLOOKUP(B365,Table2[],5,0)),0),"")</f>
        <v/>
      </c>
    </row>
    <row r="366" spans="2:14" x14ac:dyDescent="0.25">
      <c r="B366" s="76"/>
      <c r="C366" s="74" t="str">
        <f>IFERROR(VLOOKUP(B366,Table2[],2,0),"")</f>
        <v/>
      </c>
      <c r="D366" s="77"/>
      <c r="I366" s="79" t="str">
        <f t="shared" si="5"/>
        <v/>
      </c>
      <c r="J366" s="84" t="str">
        <f>IFERROR(ROUNDUP(8*(I366/VLOOKUP(B366,Table2[],5,0)),0),"")</f>
        <v/>
      </c>
      <c r="K366" s="1" t="str">
        <f>IFERROR(ROUNDUP(8*(E366/VLOOKUP(B366,Table2[],5,0)),0),"")</f>
        <v/>
      </c>
      <c r="L366" s="1" t="str">
        <f>IFERROR(ROUNDUP(8*(F366/VLOOKUP(B366,Table2[],5,0)),0),"")</f>
        <v/>
      </c>
      <c r="M366" s="1" t="str">
        <f>IFERROR(ROUNDUP(8*(G366/VLOOKUP(B366,Table2[],5,0)),0),"")</f>
        <v/>
      </c>
      <c r="N366" s="1" t="str">
        <f>IFERROR(ROUNDUP(8*(H366/VLOOKUP(B366,Table2[],5,0)),0),"")</f>
        <v/>
      </c>
    </row>
    <row r="367" spans="2:14" x14ac:dyDescent="0.25">
      <c r="B367" s="76"/>
      <c r="C367" s="74" t="str">
        <f>IFERROR(VLOOKUP(B367,Table2[],2,0),"")</f>
        <v/>
      </c>
      <c r="D367" s="77"/>
      <c r="I367" s="79" t="str">
        <f t="shared" si="5"/>
        <v/>
      </c>
      <c r="J367" s="84" t="str">
        <f>IFERROR(ROUNDUP(8*(I367/VLOOKUP(B367,Table2[],5,0)),0),"")</f>
        <v/>
      </c>
      <c r="K367" s="1" t="str">
        <f>IFERROR(ROUNDUP(8*(E367/VLOOKUP(B367,Table2[],5,0)),0),"")</f>
        <v/>
      </c>
      <c r="L367" s="1" t="str">
        <f>IFERROR(ROUNDUP(8*(F367/VLOOKUP(B367,Table2[],5,0)),0),"")</f>
        <v/>
      </c>
      <c r="M367" s="1" t="str">
        <f>IFERROR(ROUNDUP(8*(G367/VLOOKUP(B367,Table2[],5,0)),0),"")</f>
        <v/>
      </c>
      <c r="N367" s="1" t="str">
        <f>IFERROR(ROUNDUP(8*(H367/VLOOKUP(B367,Table2[],5,0)),0),"")</f>
        <v/>
      </c>
    </row>
    <row r="368" spans="2:14" x14ac:dyDescent="0.25">
      <c r="B368" s="76"/>
      <c r="C368" s="74" t="str">
        <f>IFERROR(VLOOKUP(B368,Table2[],2,0),"")</f>
        <v/>
      </c>
      <c r="D368" s="77"/>
      <c r="I368" s="79" t="str">
        <f t="shared" si="5"/>
        <v/>
      </c>
      <c r="J368" s="84" t="str">
        <f>IFERROR(ROUNDUP(8*(I368/VLOOKUP(B368,Table2[],5,0)),0),"")</f>
        <v/>
      </c>
      <c r="K368" s="1" t="str">
        <f>IFERROR(ROUNDUP(8*(E368/VLOOKUP(B368,Table2[],5,0)),0),"")</f>
        <v/>
      </c>
      <c r="L368" s="1" t="str">
        <f>IFERROR(ROUNDUP(8*(F368/VLOOKUP(B368,Table2[],5,0)),0),"")</f>
        <v/>
      </c>
      <c r="M368" s="1" t="str">
        <f>IFERROR(ROUNDUP(8*(G368/VLOOKUP(B368,Table2[],5,0)),0),"")</f>
        <v/>
      </c>
      <c r="N368" s="1" t="str">
        <f>IFERROR(ROUNDUP(8*(H368/VLOOKUP(B368,Table2[],5,0)),0),"")</f>
        <v/>
      </c>
    </row>
    <row r="369" spans="2:14" x14ac:dyDescent="0.25">
      <c r="B369" s="76"/>
      <c r="C369" s="74" t="str">
        <f>IFERROR(VLOOKUP(B369,Table2[],2,0),"")</f>
        <v/>
      </c>
      <c r="D369" s="77"/>
      <c r="I369" s="79" t="str">
        <f t="shared" si="5"/>
        <v/>
      </c>
      <c r="J369" s="84" t="str">
        <f>IFERROR(ROUNDUP(8*(I369/VLOOKUP(B369,Table2[],5,0)),0),"")</f>
        <v/>
      </c>
      <c r="K369" s="1" t="str">
        <f>IFERROR(ROUNDUP(8*(E369/VLOOKUP(B369,Table2[],5,0)),0),"")</f>
        <v/>
      </c>
      <c r="L369" s="1" t="str">
        <f>IFERROR(ROUNDUP(8*(F369/VLOOKUP(B369,Table2[],5,0)),0),"")</f>
        <v/>
      </c>
      <c r="M369" s="1" t="str">
        <f>IFERROR(ROUNDUP(8*(G369/VLOOKUP(B369,Table2[],5,0)),0),"")</f>
        <v/>
      </c>
      <c r="N369" s="1" t="str">
        <f>IFERROR(ROUNDUP(8*(H369/VLOOKUP(B369,Table2[],5,0)),0),"")</f>
        <v/>
      </c>
    </row>
    <row r="370" spans="2:14" x14ac:dyDescent="0.25">
      <c r="B370" s="76"/>
      <c r="C370" s="74" t="str">
        <f>IFERROR(VLOOKUP(B370,Table2[],2,0),"")</f>
        <v/>
      </c>
      <c r="D370" s="77"/>
      <c r="I370" s="79" t="str">
        <f t="shared" si="5"/>
        <v/>
      </c>
      <c r="J370" s="84" t="str">
        <f>IFERROR(ROUNDUP(8*(I370/VLOOKUP(B370,Table2[],5,0)),0),"")</f>
        <v/>
      </c>
      <c r="K370" s="1" t="str">
        <f>IFERROR(ROUNDUP(8*(E370/VLOOKUP(B370,Table2[],5,0)),0),"")</f>
        <v/>
      </c>
      <c r="L370" s="1" t="str">
        <f>IFERROR(ROUNDUP(8*(F370/VLOOKUP(B370,Table2[],5,0)),0),"")</f>
        <v/>
      </c>
      <c r="M370" s="1" t="str">
        <f>IFERROR(ROUNDUP(8*(G370/VLOOKUP(B370,Table2[],5,0)),0),"")</f>
        <v/>
      </c>
      <c r="N370" s="1" t="str">
        <f>IFERROR(ROUNDUP(8*(H370/VLOOKUP(B370,Table2[],5,0)),0),"")</f>
        <v/>
      </c>
    </row>
    <row r="371" spans="2:14" x14ac:dyDescent="0.25">
      <c r="B371" s="76"/>
      <c r="C371" s="74" t="str">
        <f>IFERROR(VLOOKUP(B371,Table2[],2,0),"")</f>
        <v/>
      </c>
      <c r="D371" s="77"/>
      <c r="I371" s="79" t="str">
        <f t="shared" si="5"/>
        <v/>
      </c>
      <c r="J371" s="84" t="str">
        <f>IFERROR(ROUNDUP(8*(I371/VLOOKUP(B371,Table2[],5,0)),0),"")</f>
        <v/>
      </c>
      <c r="K371" s="1" t="str">
        <f>IFERROR(ROUNDUP(8*(E371/VLOOKUP(B371,Table2[],5,0)),0),"")</f>
        <v/>
      </c>
      <c r="L371" s="1" t="str">
        <f>IFERROR(ROUNDUP(8*(F371/VLOOKUP(B371,Table2[],5,0)),0),"")</f>
        <v/>
      </c>
      <c r="M371" s="1" t="str">
        <f>IFERROR(ROUNDUP(8*(G371/VLOOKUP(B371,Table2[],5,0)),0),"")</f>
        <v/>
      </c>
      <c r="N371" s="1" t="str">
        <f>IFERROR(ROUNDUP(8*(H371/VLOOKUP(B371,Table2[],5,0)),0),"")</f>
        <v/>
      </c>
    </row>
    <row r="372" spans="2:14" x14ac:dyDescent="0.25">
      <c r="B372" s="76"/>
      <c r="C372" s="74" t="str">
        <f>IFERROR(VLOOKUP(B372,Table2[],2,0),"")</f>
        <v/>
      </c>
      <c r="D372" s="77"/>
      <c r="I372" s="79" t="str">
        <f t="shared" si="5"/>
        <v/>
      </c>
      <c r="J372" s="84" t="str">
        <f>IFERROR(ROUNDUP(8*(I372/VLOOKUP(B372,Table2[],5,0)),0),"")</f>
        <v/>
      </c>
      <c r="K372" s="1" t="str">
        <f>IFERROR(ROUNDUP(8*(E372/VLOOKUP(B372,Table2[],5,0)),0),"")</f>
        <v/>
      </c>
      <c r="L372" s="1" t="str">
        <f>IFERROR(ROUNDUP(8*(F372/VLOOKUP(B372,Table2[],5,0)),0),"")</f>
        <v/>
      </c>
      <c r="M372" s="1" t="str">
        <f>IFERROR(ROUNDUP(8*(G372/VLOOKUP(B372,Table2[],5,0)),0),"")</f>
        <v/>
      </c>
      <c r="N372" s="1" t="str">
        <f>IFERROR(ROUNDUP(8*(H372/VLOOKUP(B372,Table2[],5,0)),0),"")</f>
        <v/>
      </c>
    </row>
    <row r="373" spans="2:14" x14ac:dyDescent="0.25">
      <c r="B373" s="76"/>
      <c r="C373" s="74" t="str">
        <f>IFERROR(VLOOKUP(B373,Table2[],2,0),"")</f>
        <v/>
      </c>
      <c r="D373" s="77"/>
      <c r="I373" s="79" t="str">
        <f t="shared" si="5"/>
        <v/>
      </c>
      <c r="J373" s="84" t="str">
        <f>IFERROR(ROUNDUP(8*(I373/VLOOKUP(B373,Table2[],5,0)),0),"")</f>
        <v/>
      </c>
      <c r="K373" s="1" t="str">
        <f>IFERROR(ROUNDUP(8*(E373/VLOOKUP(B373,Table2[],5,0)),0),"")</f>
        <v/>
      </c>
      <c r="L373" s="1" t="str">
        <f>IFERROR(ROUNDUP(8*(F373/VLOOKUP(B373,Table2[],5,0)),0),"")</f>
        <v/>
      </c>
      <c r="M373" s="1" t="str">
        <f>IFERROR(ROUNDUP(8*(G373/VLOOKUP(B373,Table2[],5,0)),0),"")</f>
        <v/>
      </c>
      <c r="N373" s="1" t="str">
        <f>IFERROR(ROUNDUP(8*(H373/VLOOKUP(B373,Table2[],5,0)),0),"")</f>
        <v/>
      </c>
    </row>
    <row r="374" spans="2:14" x14ac:dyDescent="0.25">
      <c r="B374" s="76"/>
      <c r="C374" s="74" t="str">
        <f>IFERROR(VLOOKUP(B374,Table2[],2,0),"")</f>
        <v/>
      </c>
      <c r="D374" s="77"/>
      <c r="I374" s="79" t="str">
        <f t="shared" si="5"/>
        <v/>
      </c>
      <c r="J374" s="84" t="str">
        <f>IFERROR(ROUNDUP(8*(I374/VLOOKUP(B374,Table2[],5,0)),0),"")</f>
        <v/>
      </c>
      <c r="K374" s="1" t="str">
        <f>IFERROR(ROUNDUP(8*(E374/VLOOKUP(B374,Table2[],5,0)),0),"")</f>
        <v/>
      </c>
      <c r="L374" s="1" t="str">
        <f>IFERROR(ROUNDUP(8*(F374/VLOOKUP(B374,Table2[],5,0)),0),"")</f>
        <v/>
      </c>
      <c r="M374" s="1" t="str">
        <f>IFERROR(ROUNDUP(8*(G374/VLOOKUP(B374,Table2[],5,0)),0),"")</f>
        <v/>
      </c>
      <c r="N374" s="1" t="str">
        <f>IFERROR(ROUNDUP(8*(H374/VLOOKUP(B374,Table2[],5,0)),0),"")</f>
        <v/>
      </c>
    </row>
    <row r="375" spans="2:14" x14ac:dyDescent="0.25">
      <c r="B375" s="76"/>
      <c r="C375" s="74" t="str">
        <f>IFERROR(VLOOKUP(B375,Table2[],2,0),"")</f>
        <v/>
      </c>
      <c r="D375" s="77"/>
      <c r="I375" s="79" t="str">
        <f t="shared" si="5"/>
        <v/>
      </c>
      <c r="J375" s="84" t="str">
        <f>IFERROR(ROUNDUP(8*(I375/VLOOKUP(B375,Table2[],5,0)),0),"")</f>
        <v/>
      </c>
      <c r="K375" s="1" t="str">
        <f>IFERROR(ROUNDUP(8*(E375/VLOOKUP(B375,Table2[],5,0)),0),"")</f>
        <v/>
      </c>
      <c r="L375" s="1" t="str">
        <f>IFERROR(ROUNDUP(8*(F375/VLOOKUP(B375,Table2[],5,0)),0),"")</f>
        <v/>
      </c>
      <c r="M375" s="1" t="str">
        <f>IFERROR(ROUNDUP(8*(G375/VLOOKUP(B375,Table2[],5,0)),0),"")</f>
        <v/>
      </c>
      <c r="N375" s="1" t="str">
        <f>IFERROR(ROUNDUP(8*(H375/VLOOKUP(B375,Table2[],5,0)),0),"")</f>
        <v/>
      </c>
    </row>
    <row r="376" spans="2:14" x14ac:dyDescent="0.25">
      <c r="B376" s="76"/>
      <c r="C376" s="74" t="str">
        <f>IFERROR(VLOOKUP(B376,Table2[],2,0),"")</f>
        <v/>
      </c>
      <c r="D376" s="77"/>
      <c r="I376" s="79" t="str">
        <f t="shared" si="5"/>
        <v/>
      </c>
      <c r="J376" s="84" t="str">
        <f>IFERROR(ROUNDUP(8*(I376/VLOOKUP(B376,Table2[],5,0)),0),"")</f>
        <v/>
      </c>
      <c r="K376" s="1" t="str">
        <f>IFERROR(ROUNDUP(8*(E376/VLOOKUP(B376,Table2[],5,0)),0),"")</f>
        <v/>
      </c>
      <c r="L376" s="1" t="str">
        <f>IFERROR(ROUNDUP(8*(F376/VLOOKUP(B376,Table2[],5,0)),0),"")</f>
        <v/>
      </c>
      <c r="M376" s="1" t="str">
        <f>IFERROR(ROUNDUP(8*(G376/VLOOKUP(B376,Table2[],5,0)),0),"")</f>
        <v/>
      </c>
      <c r="N376" s="1" t="str">
        <f>IFERROR(ROUNDUP(8*(H376/VLOOKUP(B376,Table2[],5,0)),0),"")</f>
        <v/>
      </c>
    </row>
    <row r="377" spans="2:14" x14ac:dyDescent="0.25">
      <c r="B377" s="76"/>
      <c r="C377" s="74" t="str">
        <f>IFERROR(VLOOKUP(B377,Table2[],2,0),"")</f>
        <v/>
      </c>
      <c r="D377" s="77"/>
      <c r="I377" s="79" t="str">
        <f t="shared" si="5"/>
        <v/>
      </c>
      <c r="J377" s="84" t="str">
        <f>IFERROR(ROUNDUP(8*(I377/VLOOKUP(B377,Table2[],5,0)),0),"")</f>
        <v/>
      </c>
      <c r="K377" s="1" t="str">
        <f>IFERROR(ROUNDUP(8*(E377/VLOOKUP(B377,Table2[],5,0)),0),"")</f>
        <v/>
      </c>
      <c r="L377" s="1" t="str">
        <f>IFERROR(ROUNDUP(8*(F377/VLOOKUP(B377,Table2[],5,0)),0),"")</f>
        <v/>
      </c>
      <c r="M377" s="1" t="str">
        <f>IFERROR(ROUNDUP(8*(G377/VLOOKUP(B377,Table2[],5,0)),0),"")</f>
        <v/>
      </c>
      <c r="N377" s="1" t="str">
        <f>IFERROR(ROUNDUP(8*(H377/VLOOKUP(B377,Table2[],5,0)),0),"")</f>
        <v/>
      </c>
    </row>
    <row r="378" spans="2:14" x14ac:dyDescent="0.25">
      <c r="B378" s="76"/>
      <c r="C378" s="74" t="str">
        <f>IFERROR(VLOOKUP(B378,Table2[],2,0),"")</f>
        <v/>
      </c>
      <c r="D378" s="77"/>
      <c r="I378" s="79" t="str">
        <f t="shared" si="5"/>
        <v/>
      </c>
      <c r="J378" s="84" t="str">
        <f>IFERROR(ROUNDUP(8*(I378/VLOOKUP(B378,Table2[],5,0)),0),"")</f>
        <v/>
      </c>
      <c r="K378" s="1" t="str">
        <f>IFERROR(ROUNDUP(8*(E378/VLOOKUP(B378,Table2[],5,0)),0),"")</f>
        <v/>
      </c>
      <c r="L378" s="1" t="str">
        <f>IFERROR(ROUNDUP(8*(F378/VLOOKUP(B378,Table2[],5,0)),0),"")</f>
        <v/>
      </c>
      <c r="M378" s="1" t="str">
        <f>IFERROR(ROUNDUP(8*(G378/VLOOKUP(B378,Table2[],5,0)),0),"")</f>
        <v/>
      </c>
      <c r="N378" s="1" t="str">
        <f>IFERROR(ROUNDUP(8*(H378/VLOOKUP(B378,Table2[],5,0)),0),"")</f>
        <v/>
      </c>
    </row>
    <row r="379" spans="2:14" x14ac:dyDescent="0.25">
      <c r="B379" s="76"/>
      <c r="C379" s="74" t="str">
        <f>IFERROR(VLOOKUP(B379,Table2[],2,0),"")</f>
        <v/>
      </c>
      <c r="D379" s="77"/>
      <c r="I379" s="79" t="str">
        <f t="shared" si="5"/>
        <v/>
      </c>
      <c r="J379" s="84" t="str">
        <f>IFERROR(ROUNDUP(8*(I379/VLOOKUP(B379,Table2[],5,0)),0),"")</f>
        <v/>
      </c>
      <c r="K379" s="1" t="str">
        <f>IFERROR(ROUNDUP(8*(E379/VLOOKUP(B379,Table2[],5,0)),0),"")</f>
        <v/>
      </c>
      <c r="L379" s="1" t="str">
        <f>IFERROR(ROUNDUP(8*(F379/VLOOKUP(B379,Table2[],5,0)),0),"")</f>
        <v/>
      </c>
      <c r="M379" s="1" t="str">
        <f>IFERROR(ROUNDUP(8*(G379/VLOOKUP(B379,Table2[],5,0)),0),"")</f>
        <v/>
      </c>
      <c r="N379" s="1" t="str">
        <f>IFERROR(ROUNDUP(8*(H379/VLOOKUP(B379,Table2[],5,0)),0),"")</f>
        <v/>
      </c>
    </row>
    <row r="380" spans="2:14" x14ac:dyDescent="0.25">
      <c r="B380" s="76"/>
      <c r="C380" s="74" t="str">
        <f>IFERROR(VLOOKUP(B380,Table2[],2,0),"")</f>
        <v/>
      </c>
      <c r="D380" s="77"/>
      <c r="I380" s="79" t="str">
        <f t="shared" si="5"/>
        <v/>
      </c>
      <c r="J380" s="84" t="str">
        <f>IFERROR(ROUNDUP(8*(I380/VLOOKUP(B380,Table2[],5,0)),0),"")</f>
        <v/>
      </c>
      <c r="K380" s="1" t="str">
        <f>IFERROR(ROUNDUP(8*(E380/VLOOKUP(B380,Table2[],5,0)),0),"")</f>
        <v/>
      </c>
      <c r="L380" s="1" t="str">
        <f>IFERROR(ROUNDUP(8*(F380/VLOOKUP(B380,Table2[],5,0)),0),"")</f>
        <v/>
      </c>
      <c r="M380" s="1" t="str">
        <f>IFERROR(ROUNDUP(8*(G380/VLOOKUP(B380,Table2[],5,0)),0),"")</f>
        <v/>
      </c>
      <c r="N380" s="1" t="str">
        <f>IFERROR(ROUNDUP(8*(H380/VLOOKUP(B380,Table2[],5,0)),0),"")</f>
        <v/>
      </c>
    </row>
    <row r="381" spans="2:14" x14ac:dyDescent="0.25">
      <c r="B381" s="76"/>
      <c r="C381" s="74" t="str">
        <f>IFERROR(VLOOKUP(B381,Table2[],2,0),"")</f>
        <v/>
      </c>
      <c r="D381" s="77"/>
      <c r="I381" s="79" t="str">
        <f t="shared" si="5"/>
        <v/>
      </c>
      <c r="J381" s="84" t="str">
        <f>IFERROR(ROUNDUP(8*(I381/VLOOKUP(B381,Table2[],5,0)),0),"")</f>
        <v/>
      </c>
      <c r="K381" s="1" t="str">
        <f>IFERROR(ROUNDUP(8*(E381/VLOOKUP(B381,Table2[],5,0)),0),"")</f>
        <v/>
      </c>
      <c r="L381" s="1" t="str">
        <f>IFERROR(ROUNDUP(8*(F381/VLOOKUP(B381,Table2[],5,0)),0),"")</f>
        <v/>
      </c>
      <c r="M381" s="1" t="str">
        <f>IFERROR(ROUNDUP(8*(G381/VLOOKUP(B381,Table2[],5,0)),0),"")</f>
        <v/>
      </c>
      <c r="N381" s="1" t="str">
        <f>IFERROR(ROUNDUP(8*(H381/VLOOKUP(B381,Table2[],5,0)),0),"")</f>
        <v/>
      </c>
    </row>
    <row r="382" spans="2:14" x14ac:dyDescent="0.25">
      <c r="B382" s="76"/>
      <c r="C382" s="74" t="str">
        <f>IFERROR(VLOOKUP(B382,Table2[],2,0),"")</f>
        <v/>
      </c>
      <c r="D382" s="77"/>
      <c r="I382" s="79" t="str">
        <f t="shared" si="5"/>
        <v/>
      </c>
      <c r="J382" s="84" t="str">
        <f>IFERROR(ROUNDUP(8*(I382/VLOOKUP(B382,Table2[],5,0)),0),"")</f>
        <v/>
      </c>
      <c r="K382" s="1" t="str">
        <f>IFERROR(ROUNDUP(8*(E382/VLOOKUP(B382,Table2[],5,0)),0),"")</f>
        <v/>
      </c>
      <c r="L382" s="1" t="str">
        <f>IFERROR(ROUNDUP(8*(F382/VLOOKUP(B382,Table2[],5,0)),0),"")</f>
        <v/>
      </c>
      <c r="M382" s="1" t="str">
        <f>IFERROR(ROUNDUP(8*(G382/VLOOKUP(B382,Table2[],5,0)),0),"")</f>
        <v/>
      </c>
      <c r="N382" s="1" t="str">
        <f>IFERROR(ROUNDUP(8*(H382/VLOOKUP(B382,Table2[],5,0)),0),"")</f>
        <v/>
      </c>
    </row>
    <row r="383" spans="2:14" x14ac:dyDescent="0.25">
      <c r="B383" s="76"/>
      <c r="C383" s="74" t="str">
        <f>IFERROR(VLOOKUP(B383,Table2[],2,0),"")</f>
        <v/>
      </c>
      <c r="D383" s="77"/>
      <c r="I383" s="79" t="str">
        <f t="shared" si="5"/>
        <v/>
      </c>
      <c r="J383" s="84" t="str">
        <f>IFERROR(ROUNDUP(8*(I383/VLOOKUP(B383,Table2[],5,0)),0),"")</f>
        <v/>
      </c>
      <c r="K383" s="1" t="str">
        <f>IFERROR(ROUNDUP(8*(E383/VLOOKUP(B383,Table2[],5,0)),0),"")</f>
        <v/>
      </c>
      <c r="L383" s="1" t="str">
        <f>IFERROR(ROUNDUP(8*(F383/VLOOKUP(B383,Table2[],5,0)),0),"")</f>
        <v/>
      </c>
      <c r="M383" s="1" t="str">
        <f>IFERROR(ROUNDUP(8*(G383/VLOOKUP(B383,Table2[],5,0)),0),"")</f>
        <v/>
      </c>
      <c r="N383" s="1" t="str">
        <f>IFERROR(ROUNDUP(8*(H383/VLOOKUP(B383,Table2[],5,0)),0),"")</f>
        <v/>
      </c>
    </row>
    <row r="384" spans="2:14" x14ac:dyDescent="0.25">
      <c r="B384" s="76"/>
      <c r="C384" s="74" t="str">
        <f>IFERROR(VLOOKUP(B384,Table2[],2,0),"")</f>
        <v/>
      </c>
      <c r="D384" s="77"/>
      <c r="I384" s="79" t="str">
        <f t="shared" si="5"/>
        <v/>
      </c>
      <c r="J384" s="84" t="str">
        <f>IFERROR(ROUNDUP(8*(I384/VLOOKUP(B384,Table2[],5,0)),0),"")</f>
        <v/>
      </c>
      <c r="K384" s="1" t="str">
        <f>IFERROR(ROUNDUP(8*(E384/VLOOKUP(B384,Table2[],5,0)),0),"")</f>
        <v/>
      </c>
      <c r="L384" s="1" t="str">
        <f>IFERROR(ROUNDUP(8*(F384/VLOOKUP(B384,Table2[],5,0)),0),"")</f>
        <v/>
      </c>
      <c r="M384" s="1" t="str">
        <f>IFERROR(ROUNDUP(8*(G384/VLOOKUP(B384,Table2[],5,0)),0),"")</f>
        <v/>
      </c>
      <c r="N384" s="1" t="str">
        <f>IFERROR(ROUNDUP(8*(H384/VLOOKUP(B384,Table2[],5,0)),0),"")</f>
        <v/>
      </c>
    </row>
    <row r="385" spans="2:14" x14ac:dyDescent="0.25">
      <c r="B385" s="76"/>
      <c r="C385" s="74" t="str">
        <f>IFERROR(VLOOKUP(B385,Table2[],2,0),"")</f>
        <v/>
      </c>
      <c r="D385" s="77"/>
      <c r="I385" s="79" t="str">
        <f t="shared" si="5"/>
        <v/>
      </c>
      <c r="J385" s="84" t="str">
        <f>IFERROR(ROUNDUP(8*(I385/VLOOKUP(B385,Table2[],5,0)),0),"")</f>
        <v/>
      </c>
      <c r="K385" s="1" t="str">
        <f>IFERROR(ROUNDUP(8*(E385/VLOOKUP(B385,Table2[],5,0)),0),"")</f>
        <v/>
      </c>
      <c r="L385" s="1" t="str">
        <f>IFERROR(ROUNDUP(8*(F385/VLOOKUP(B385,Table2[],5,0)),0),"")</f>
        <v/>
      </c>
      <c r="M385" s="1" t="str">
        <f>IFERROR(ROUNDUP(8*(G385/VLOOKUP(B385,Table2[],5,0)),0),"")</f>
        <v/>
      </c>
      <c r="N385" s="1" t="str">
        <f>IFERROR(ROUNDUP(8*(H385/VLOOKUP(B385,Table2[],5,0)),0),"")</f>
        <v/>
      </c>
    </row>
    <row r="386" spans="2:14" x14ac:dyDescent="0.25">
      <c r="B386" s="76"/>
      <c r="C386" s="74" t="str">
        <f>IFERROR(VLOOKUP(B386,Table2[],2,0),"")</f>
        <v/>
      </c>
      <c r="D386" s="77"/>
      <c r="I386" s="79" t="str">
        <f t="shared" si="5"/>
        <v/>
      </c>
      <c r="J386" s="84" t="str">
        <f>IFERROR(ROUNDUP(8*(I386/VLOOKUP(B386,Table2[],5,0)),0),"")</f>
        <v/>
      </c>
      <c r="K386" s="1" t="str">
        <f>IFERROR(ROUNDUP(8*(E386/VLOOKUP(B386,Table2[],5,0)),0),"")</f>
        <v/>
      </c>
      <c r="L386" s="1" t="str">
        <f>IFERROR(ROUNDUP(8*(F386/VLOOKUP(B386,Table2[],5,0)),0),"")</f>
        <v/>
      </c>
      <c r="M386" s="1" t="str">
        <f>IFERROR(ROUNDUP(8*(G386/VLOOKUP(B386,Table2[],5,0)),0),"")</f>
        <v/>
      </c>
      <c r="N386" s="1" t="str">
        <f>IFERROR(ROUNDUP(8*(H386/VLOOKUP(B386,Table2[],5,0)),0),"")</f>
        <v/>
      </c>
    </row>
    <row r="387" spans="2:14" x14ac:dyDescent="0.25">
      <c r="B387" s="76"/>
      <c r="C387" s="74" t="str">
        <f>IFERROR(VLOOKUP(B387,Table2[],2,0),"")</f>
        <v/>
      </c>
      <c r="D387" s="77"/>
      <c r="I387" s="79" t="str">
        <f t="shared" si="5"/>
        <v/>
      </c>
      <c r="J387" s="84" t="str">
        <f>IFERROR(ROUNDUP(8*(I387/VLOOKUP(B387,Table2[],5,0)),0),"")</f>
        <v/>
      </c>
      <c r="K387" s="1" t="str">
        <f>IFERROR(ROUNDUP(8*(E387/VLOOKUP(B387,Table2[],5,0)),0),"")</f>
        <v/>
      </c>
      <c r="L387" s="1" t="str">
        <f>IFERROR(ROUNDUP(8*(F387/VLOOKUP(B387,Table2[],5,0)),0),"")</f>
        <v/>
      </c>
      <c r="M387" s="1" t="str">
        <f>IFERROR(ROUNDUP(8*(G387/VLOOKUP(B387,Table2[],5,0)),0),"")</f>
        <v/>
      </c>
      <c r="N387" s="1" t="str">
        <f>IFERROR(ROUNDUP(8*(H387/VLOOKUP(B387,Table2[],5,0)),0),"")</f>
        <v/>
      </c>
    </row>
    <row r="388" spans="2:14" x14ac:dyDescent="0.25">
      <c r="B388" s="76"/>
      <c r="C388" s="74" t="str">
        <f>IFERROR(VLOOKUP(B388,Table2[],2,0),"")</f>
        <v/>
      </c>
      <c r="D388" s="77"/>
      <c r="I388" s="79" t="str">
        <f t="shared" si="5"/>
        <v/>
      </c>
      <c r="J388" s="84" t="str">
        <f>IFERROR(ROUNDUP(8*(I388/VLOOKUP(B388,Table2[],5,0)),0),"")</f>
        <v/>
      </c>
      <c r="K388" s="1" t="str">
        <f>IFERROR(ROUNDUP(8*(E388/VLOOKUP(B388,Table2[],5,0)),0),"")</f>
        <v/>
      </c>
      <c r="L388" s="1" t="str">
        <f>IFERROR(ROUNDUP(8*(F388/VLOOKUP(B388,Table2[],5,0)),0),"")</f>
        <v/>
      </c>
      <c r="M388" s="1" t="str">
        <f>IFERROR(ROUNDUP(8*(G388/VLOOKUP(B388,Table2[],5,0)),0),"")</f>
        <v/>
      </c>
      <c r="N388" s="1" t="str">
        <f>IFERROR(ROUNDUP(8*(H388/VLOOKUP(B388,Table2[],5,0)),0),"")</f>
        <v/>
      </c>
    </row>
    <row r="389" spans="2:14" x14ac:dyDescent="0.25">
      <c r="B389" s="76"/>
      <c r="C389" s="74" t="str">
        <f>IFERROR(VLOOKUP(B389,Table2[],2,0),"")</f>
        <v/>
      </c>
      <c r="D389" s="77"/>
      <c r="I389" s="79" t="str">
        <f t="shared" si="5"/>
        <v/>
      </c>
      <c r="J389" s="84" t="str">
        <f>IFERROR(ROUNDUP(8*(I389/VLOOKUP(B389,Table2[],5,0)),0),"")</f>
        <v/>
      </c>
      <c r="K389" s="1" t="str">
        <f>IFERROR(ROUNDUP(8*(E389/VLOOKUP(B389,Table2[],5,0)),0),"")</f>
        <v/>
      </c>
      <c r="L389" s="1" t="str">
        <f>IFERROR(ROUNDUP(8*(F389/VLOOKUP(B389,Table2[],5,0)),0),"")</f>
        <v/>
      </c>
      <c r="M389" s="1" t="str">
        <f>IFERROR(ROUNDUP(8*(G389/VLOOKUP(B389,Table2[],5,0)),0),"")</f>
        <v/>
      </c>
      <c r="N389" s="1" t="str">
        <f>IFERROR(ROUNDUP(8*(H389/VLOOKUP(B389,Table2[],5,0)),0),"")</f>
        <v/>
      </c>
    </row>
    <row r="390" spans="2:14" x14ac:dyDescent="0.25">
      <c r="B390" s="76"/>
      <c r="C390" s="74" t="str">
        <f>IFERROR(VLOOKUP(B390,Table2[],2,0),"")</f>
        <v/>
      </c>
      <c r="D390" s="77"/>
      <c r="I390" s="79" t="str">
        <f t="shared" si="5"/>
        <v/>
      </c>
      <c r="J390" s="84" t="str">
        <f>IFERROR(ROUNDUP(8*(I390/VLOOKUP(B390,Table2[],5,0)),0),"")</f>
        <v/>
      </c>
      <c r="K390" s="1" t="str">
        <f>IFERROR(ROUNDUP(8*(E390/VLOOKUP(B390,Table2[],5,0)),0),"")</f>
        <v/>
      </c>
      <c r="L390" s="1" t="str">
        <f>IFERROR(ROUNDUP(8*(F390/VLOOKUP(B390,Table2[],5,0)),0),"")</f>
        <v/>
      </c>
      <c r="M390" s="1" t="str">
        <f>IFERROR(ROUNDUP(8*(G390/VLOOKUP(B390,Table2[],5,0)),0),"")</f>
        <v/>
      </c>
      <c r="N390" s="1" t="str">
        <f>IFERROR(ROUNDUP(8*(H390/VLOOKUP(B390,Table2[],5,0)),0),"")</f>
        <v/>
      </c>
    </row>
    <row r="391" spans="2:14" x14ac:dyDescent="0.25">
      <c r="B391" s="76"/>
      <c r="C391" s="74" t="str">
        <f>IFERROR(VLOOKUP(B391,Table2[],2,0),"")</f>
        <v/>
      </c>
      <c r="D391" s="77"/>
      <c r="I391" s="79" t="str">
        <f t="shared" ref="I391:I454" si="6">IF(B391="","",SUM(E391:H391))</f>
        <v/>
      </c>
      <c r="J391" s="84" t="str">
        <f>IFERROR(ROUNDUP(8*(I391/VLOOKUP(B391,Table2[],5,0)),0),"")</f>
        <v/>
      </c>
      <c r="K391" s="1" t="str">
        <f>IFERROR(ROUNDUP(8*(E391/VLOOKUP(B391,Table2[],5,0)),0),"")</f>
        <v/>
      </c>
      <c r="L391" s="1" t="str">
        <f>IFERROR(ROUNDUP(8*(F391/VLOOKUP(B391,Table2[],5,0)),0),"")</f>
        <v/>
      </c>
      <c r="M391" s="1" t="str">
        <f>IFERROR(ROUNDUP(8*(G391/VLOOKUP(B391,Table2[],5,0)),0),"")</f>
        <v/>
      </c>
      <c r="N391" s="1" t="str">
        <f>IFERROR(ROUNDUP(8*(H391/VLOOKUP(B391,Table2[],5,0)),0),"")</f>
        <v/>
      </c>
    </row>
    <row r="392" spans="2:14" x14ac:dyDescent="0.25">
      <c r="B392" s="76"/>
      <c r="C392" s="74" t="str">
        <f>IFERROR(VLOOKUP(B392,Table2[],2,0),"")</f>
        <v/>
      </c>
      <c r="D392" s="77"/>
      <c r="I392" s="79" t="str">
        <f t="shared" si="6"/>
        <v/>
      </c>
      <c r="J392" s="84" t="str">
        <f>IFERROR(ROUNDUP(8*(I392/VLOOKUP(B392,Table2[],5,0)),0),"")</f>
        <v/>
      </c>
      <c r="K392" s="1" t="str">
        <f>IFERROR(ROUNDUP(8*(E392/VLOOKUP(B392,Table2[],5,0)),0),"")</f>
        <v/>
      </c>
      <c r="L392" s="1" t="str">
        <f>IFERROR(ROUNDUP(8*(F392/VLOOKUP(B392,Table2[],5,0)),0),"")</f>
        <v/>
      </c>
      <c r="M392" s="1" t="str">
        <f>IFERROR(ROUNDUP(8*(G392/VLOOKUP(B392,Table2[],5,0)),0),"")</f>
        <v/>
      </c>
      <c r="N392" s="1" t="str">
        <f>IFERROR(ROUNDUP(8*(H392/VLOOKUP(B392,Table2[],5,0)),0),"")</f>
        <v/>
      </c>
    </row>
    <row r="393" spans="2:14" x14ac:dyDescent="0.25">
      <c r="B393" s="76"/>
      <c r="C393" s="74" t="str">
        <f>IFERROR(VLOOKUP(B393,Table2[],2,0),"")</f>
        <v/>
      </c>
      <c r="D393" s="77"/>
      <c r="I393" s="79" t="str">
        <f t="shared" si="6"/>
        <v/>
      </c>
      <c r="J393" s="84" t="str">
        <f>IFERROR(ROUNDUP(8*(I393/VLOOKUP(B393,Table2[],5,0)),0),"")</f>
        <v/>
      </c>
      <c r="K393" s="1" t="str">
        <f>IFERROR(ROUNDUP(8*(E393/VLOOKUP(B393,Table2[],5,0)),0),"")</f>
        <v/>
      </c>
      <c r="L393" s="1" t="str">
        <f>IFERROR(ROUNDUP(8*(F393/VLOOKUP(B393,Table2[],5,0)),0),"")</f>
        <v/>
      </c>
      <c r="M393" s="1" t="str">
        <f>IFERROR(ROUNDUP(8*(G393/VLOOKUP(B393,Table2[],5,0)),0),"")</f>
        <v/>
      </c>
      <c r="N393" s="1" t="str">
        <f>IFERROR(ROUNDUP(8*(H393/VLOOKUP(B393,Table2[],5,0)),0),"")</f>
        <v/>
      </c>
    </row>
    <row r="394" spans="2:14" x14ac:dyDescent="0.25">
      <c r="B394" s="76"/>
      <c r="C394" s="74" t="str">
        <f>IFERROR(VLOOKUP(B394,Table2[],2,0),"")</f>
        <v/>
      </c>
      <c r="D394" s="77"/>
      <c r="I394" s="79" t="str">
        <f t="shared" si="6"/>
        <v/>
      </c>
      <c r="J394" s="84" t="str">
        <f>IFERROR(ROUNDUP(8*(I394/VLOOKUP(B394,Table2[],5,0)),0),"")</f>
        <v/>
      </c>
      <c r="K394" s="1" t="str">
        <f>IFERROR(ROUNDUP(8*(E394/VLOOKUP(B394,Table2[],5,0)),0),"")</f>
        <v/>
      </c>
      <c r="L394" s="1" t="str">
        <f>IFERROR(ROUNDUP(8*(F394/VLOOKUP(B394,Table2[],5,0)),0),"")</f>
        <v/>
      </c>
      <c r="M394" s="1" t="str">
        <f>IFERROR(ROUNDUP(8*(G394/VLOOKUP(B394,Table2[],5,0)),0),"")</f>
        <v/>
      </c>
      <c r="N394" s="1" t="str">
        <f>IFERROR(ROUNDUP(8*(H394/VLOOKUP(B394,Table2[],5,0)),0),"")</f>
        <v/>
      </c>
    </row>
    <row r="395" spans="2:14" x14ac:dyDescent="0.25">
      <c r="B395" s="76"/>
      <c r="C395" s="74" t="str">
        <f>IFERROR(VLOOKUP(B395,Table2[],2,0),"")</f>
        <v/>
      </c>
      <c r="D395" s="77"/>
      <c r="I395" s="79" t="str">
        <f t="shared" si="6"/>
        <v/>
      </c>
      <c r="J395" s="84" t="str">
        <f>IFERROR(ROUNDUP(8*(I395/VLOOKUP(B395,Table2[],5,0)),0),"")</f>
        <v/>
      </c>
      <c r="K395" s="1" t="str">
        <f>IFERROR(ROUNDUP(8*(E395/VLOOKUP(B395,Table2[],5,0)),0),"")</f>
        <v/>
      </c>
      <c r="L395" s="1" t="str">
        <f>IFERROR(ROUNDUP(8*(F395/VLOOKUP(B395,Table2[],5,0)),0),"")</f>
        <v/>
      </c>
      <c r="M395" s="1" t="str">
        <f>IFERROR(ROUNDUP(8*(G395/VLOOKUP(B395,Table2[],5,0)),0),"")</f>
        <v/>
      </c>
      <c r="N395" s="1" t="str">
        <f>IFERROR(ROUNDUP(8*(H395/VLOOKUP(B395,Table2[],5,0)),0),"")</f>
        <v/>
      </c>
    </row>
    <row r="396" spans="2:14" x14ac:dyDescent="0.25">
      <c r="B396" s="76"/>
      <c r="C396" s="74" t="str">
        <f>IFERROR(VLOOKUP(B396,Table2[],2,0),"")</f>
        <v/>
      </c>
      <c r="D396" s="77"/>
      <c r="I396" s="79" t="str">
        <f t="shared" si="6"/>
        <v/>
      </c>
      <c r="J396" s="84" t="str">
        <f>IFERROR(ROUNDUP(8*(I396/VLOOKUP(B396,Table2[],5,0)),0),"")</f>
        <v/>
      </c>
      <c r="K396" s="1" t="str">
        <f>IFERROR(ROUNDUP(8*(E396/VLOOKUP(B396,Table2[],5,0)),0),"")</f>
        <v/>
      </c>
      <c r="L396" s="1" t="str">
        <f>IFERROR(ROUNDUP(8*(F396/VLOOKUP(B396,Table2[],5,0)),0),"")</f>
        <v/>
      </c>
      <c r="M396" s="1" t="str">
        <f>IFERROR(ROUNDUP(8*(G396/VLOOKUP(B396,Table2[],5,0)),0),"")</f>
        <v/>
      </c>
      <c r="N396" s="1" t="str">
        <f>IFERROR(ROUNDUP(8*(H396/VLOOKUP(B396,Table2[],5,0)),0),"")</f>
        <v/>
      </c>
    </row>
    <row r="397" spans="2:14" x14ac:dyDescent="0.25">
      <c r="B397" s="76"/>
      <c r="C397" s="74" t="str">
        <f>IFERROR(VLOOKUP(B397,Table2[],2,0),"")</f>
        <v/>
      </c>
      <c r="D397" s="77"/>
      <c r="I397" s="79" t="str">
        <f t="shared" si="6"/>
        <v/>
      </c>
      <c r="J397" s="84" t="str">
        <f>IFERROR(ROUNDUP(8*(I397/VLOOKUP(B397,Table2[],5,0)),0),"")</f>
        <v/>
      </c>
      <c r="K397" s="1" t="str">
        <f>IFERROR(ROUNDUP(8*(E397/VLOOKUP(B397,Table2[],5,0)),0),"")</f>
        <v/>
      </c>
      <c r="L397" s="1" t="str">
        <f>IFERROR(ROUNDUP(8*(F397/VLOOKUP(B397,Table2[],5,0)),0),"")</f>
        <v/>
      </c>
      <c r="M397" s="1" t="str">
        <f>IFERROR(ROUNDUP(8*(G397/VLOOKUP(B397,Table2[],5,0)),0),"")</f>
        <v/>
      </c>
      <c r="N397" s="1" t="str">
        <f>IFERROR(ROUNDUP(8*(H397/VLOOKUP(B397,Table2[],5,0)),0),"")</f>
        <v/>
      </c>
    </row>
    <row r="398" spans="2:14" x14ac:dyDescent="0.25">
      <c r="B398" s="76"/>
      <c r="C398" s="74" t="str">
        <f>IFERROR(VLOOKUP(B398,Table2[],2,0),"")</f>
        <v/>
      </c>
      <c r="D398" s="77"/>
      <c r="I398" s="79" t="str">
        <f t="shared" si="6"/>
        <v/>
      </c>
      <c r="J398" s="84" t="str">
        <f>IFERROR(ROUNDUP(8*(I398/VLOOKUP(B398,Table2[],5,0)),0),"")</f>
        <v/>
      </c>
      <c r="K398" s="1" t="str">
        <f>IFERROR(ROUNDUP(8*(E398/VLOOKUP(B398,Table2[],5,0)),0),"")</f>
        <v/>
      </c>
      <c r="L398" s="1" t="str">
        <f>IFERROR(ROUNDUP(8*(F398/VLOOKUP(B398,Table2[],5,0)),0),"")</f>
        <v/>
      </c>
      <c r="M398" s="1" t="str">
        <f>IFERROR(ROUNDUP(8*(G398/VLOOKUP(B398,Table2[],5,0)),0),"")</f>
        <v/>
      </c>
      <c r="N398" s="1" t="str">
        <f>IFERROR(ROUNDUP(8*(H398/VLOOKUP(B398,Table2[],5,0)),0),"")</f>
        <v/>
      </c>
    </row>
    <row r="399" spans="2:14" x14ac:dyDescent="0.25">
      <c r="B399" s="76"/>
      <c r="C399" s="74" t="str">
        <f>IFERROR(VLOOKUP(B399,Table2[],2,0),"")</f>
        <v/>
      </c>
      <c r="D399" s="77"/>
      <c r="I399" s="79" t="str">
        <f t="shared" si="6"/>
        <v/>
      </c>
      <c r="J399" s="84" t="str">
        <f>IFERROR(ROUNDUP(8*(I399/VLOOKUP(B399,Table2[],5,0)),0),"")</f>
        <v/>
      </c>
      <c r="K399" s="1" t="str">
        <f>IFERROR(ROUNDUP(8*(E399/VLOOKUP(B399,Table2[],5,0)),0),"")</f>
        <v/>
      </c>
      <c r="L399" s="1" t="str">
        <f>IFERROR(ROUNDUP(8*(F399/VLOOKUP(B399,Table2[],5,0)),0),"")</f>
        <v/>
      </c>
      <c r="M399" s="1" t="str">
        <f>IFERROR(ROUNDUP(8*(G399/VLOOKUP(B399,Table2[],5,0)),0),"")</f>
        <v/>
      </c>
      <c r="N399" s="1" t="str">
        <f>IFERROR(ROUNDUP(8*(H399/VLOOKUP(B399,Table2[],5,0)),0),"")</f>
        <v/>
      </c>
    </row>
    <row r="400" spans="2:14" x14ac:dyDescent="0.25">
      <c r="B400" s="76"/>
      <c r="C400" s="74" t="str">
        <f>IFERROR(VLOOKUP(B400,Table2[],2,0),"")</f>
        <v/>
      </c>
      <c r="D400" s="77"/>
      <c r="I400" s="79" t="str">
        <f t="shared" si="6"/>
        <v/>
      </c>
      <c r="J400" s="84" t="str">
        <f>IFERROR(ROUNDUP(8*(I400/VLOOKUP(B400,Table2[],5,0)),0),"")</f>
        <v/>
      </c>
      <c r="K400" s="1" t="str">
        <f>IFERROR(ROUNDUP(8*(E400/VLOOKUP(B400,Table2[],5,0)),0),"")</f>
        <v/>
      </c>
      <c r="L400" s="1" t="str">
        <f>IFERROR(ROUNDUP(8*(F400/VLOOKUP(B400,Table2[],5,0)),0),"")</f>
        <v/>
      </c>
      <c r="M400" s="1" t="str">
        <f>IFERROR(ROUNDUP(8*(G400/VLOOKUP(B400,Table2[],5,0)),0),"")</f>
        <v/>
      </c>
      <c r="N400" s="1" t="str">
        <f>IFERROR(ROUNDUP(8*(H400/VLOOKUP(B400,Table2[],5,0)),0),"")</f>
        <v/>
      </c>
    </row>
    <row r="401" spans="2:14" x14ac:dyDescent="0.25">
      <c r="B401" s="76"/>
      <c r="C401" s="74" t="str">
        <f>IFERROR(VLOOKUP(B401,Table2[],2,0),"")</f>
        <v/>
      </c>
      <c r="D401" s="77"/>
      <c r="I401" s="79" t="str">
        <f t="shared" si="6"/>
        <v/>
      </c>
      <c r="J401" s="84" t="str">
        <f>IFERROR(ROUNDUP(8*(I401/VLOOKUP(B401,Table2[],5,0)),0),"")</f>
        <v/>
      </c>
      <c r="K401" s="1" t="str">
        <f>IFERROR(ROUNDUP(8*(E401/VLOOKUP(B401,Table2[],5,0)),0),"")</f>
        <v/>
      </c>
      <c r="L401" s="1" t="str">
        <f>IFERROR(ROUNDUP(8*(F401/VLOOKUP(B401,Table2[],5,0)),0),"")</f>
        <v/>
      </c>
      <c r="M401" s="1" t="str">
        <f>IFERROR(ROUNDUP(8*(G401/VLOOKUP(B401,Table2[],5,0)),0),"")</f>
        <v/>
      </c>
      <c r="N401" s="1" t="str">
        <f>IFERROR(ROUNDUP(8*(H401/VLOOKUP(B401,Table2[],5,0)),0),"")</f>
        <v/>
      </c>
    </row>
    <row r="402" spans="2:14" x14ac:dyDescent="0.25">
      <c r="B402" s="76"/>
      <c r="C402" s="74" t="str">
        <f>IFERROR(VLOOKUP(B402,Table2[],2,0),"")</f>
        <v/>
      </c>
      <c r="D402" s="77"/>
      <c r="I402" s="79" t="str">
        <f t="shared" si="6"/>
        <v/>
      </c>
      <c r="J402" s="84" t="str">
        <f>IFERROR(ROUNDUP(8*(I402/VLOOKUP(B402,Table2[],5,0)),0),"")</f>
        <v/>
      </c>
      <c r="K402" s="1" t="str">
        <f>IFERROR(ROUNDUP(8*(E402/VLOOKUP(B402,Table2[],5,0)),0),"")</f>
        <v/>
      </c>
      <c r="L402" s="1" t="str">
        <f>IFERROR(ROUNDUP(8*(F402/VLOOKUP(B402,Table2[],5,0)),0),"")</f>
        <v/>
      </c>
      <c r="M402" s="1" t="str">
        <f>IFERROR(ROUNDUP(8*(G402/VLOOKUP(B402,Table2[],5,0)),0),"")</f>
        <v/>
      </c>
      <c r="N402" s="1" t="str">
        <f>IFERROR(ROUNDUP(8*(H402/VLOOKUP(B402,Table2[],5,0)),0),"")</f>
        <v/>
      </c>
    </row>
    <row r="403" spans="2:14" x14ac:dyDescent="0.25">
      <c r="B403" s="76"/>
      <c r="C403" s="74" t="str">
        <f>IFERROR(VLOOKUP(B403,Table2[],2,0),"")</f>
        <v/>
      </c>
      <c r="D403" s="77"/>
      <c r="I403" s="79" t="str">
        <f t="shared" si="6"/>
        <v/>
      </c>
      <c r="J403" s="84" t="str">
        <f>IFERROR(ROUNDUP(8*(I403/VLOOKUP(B403,Table2[],5,0)),0),"")</f>
        <v/>
      </c>
      <c r="K403" s="1" t="str">
        <f>IFERROR(ROUNDUP(8*(E403/VLOOKUP(B403,Table2[],5,0)),0),"")</f>
        <v/>
      </c>
      <c r="L403" s="1" t="str">
        <f>IFERROR(ROUNDUP(8*(F403/VLOOKUP(B403,Table2[],5,0)),0),"")</f>
        <v/>
      </c>
      <c r="M403" s="1" t="str">
        <f>IFERROR(ROUNDUP(8*(G403/VLOOKUP(B403,Table2[],5,0)),0),"")</f>
        <v/>
      </c>
      <c r="N403" s="1" t="str">
        <f>IFERROR(ROUNDUP(8*(H403/VLOOKUP(B403,Table2[],5,0)),0),"")</f>
        <v/>
      </c>
    </row>
    <row r="404" spans="2:14" x14ac:dyDescent="0.25">
      <c r="B404" s="76"/>
      <c r="C404" s="74" t="str">
        <f>IFERROR(VLOOKUP(B404,Table2[],2,0),"")</f>
        <v/>
      </c>
      <c r="D404" s="77"/>
      <c r="I404" s="79" t="str">
        <f t="shared" si="6"/>
        <v/>
      </c>
      <c r="J404" s="84" t="str">
        <f>IFERROR(ROUNDUP(8*(I404/VLOOKUP(B404,Table2[],5,0)),0),"")</f>
        <v/>
      </c>
      <c r="K404" s="1" t="str">
        <f>IFERROR(ROUNDUP(8*(E404/VLOOKUP(B404,Table2[],5,0)),0),"")</f>
        <v/>
      </c>
      <c r="L404" s="1" t="str">
        <f>IFERROR(ROUNDUP(8*(F404/VLOOKUP(B404,Table2[],5,0)),0),"")</f>
        <v/>
      </c>
      <c r="M404" s="1" t="str">
        <f>IFERROR(ROUNDUP(8*(G404/VLOOKUP(B404,Table2[],5,0)),0),"")</f>
        <v/>
      </c>
      <c r="N404" s="1" t="str">
        <f>IFERROR(ROUNDUP(8*(H404/VLOOKUP(B404,Table2[],5,0)),0),"")</f>
        <v/>
      </c>
    </row>
    <row r="405" spans="2:14" x14ac:dyDescent="0.25">
      <c r="B405" s="76"/>
      <c r="C405" s="74" t="str">
        <f>IFERROR(VLOOKUP(B405,Table2[],2,0),"")</f>
        <v/>
      </c>
      <c r="D405" s="77"/>
      <c r="I405" s="79" t="str">
        <f t="shared" si="6"/>
        <v/>
      </c>
      <c r="J405" s="84" t="str">
        <f>IFERROR(ROUNDUP(8*(I405/VLOOKUP(B405,Table2[],5,0)),0),"")</f>
        <v/>
      </c>
      <c r="K405" s="1" t="str">
        <f>IFERROR(ROUNDUP(8*(E405/VLOOKUP(B405,Table2[],5,0)),0),"")</f>
        <v/>
      </c>
      <c r="L405" s="1" t="str">
        <f>IFERROR(ROUNDUP(8*(F405/VLOOKUP(B405,Table2[],5,0)),0),"")</f>
        <v/>
      </c>
      <c r="M405" s="1" t="str">
        <f>IFERROR(ROUNDUP(8*(G405/VLOOKUP(B405,Table2[],5,0)),0),"")</f>
        <v/>
      </c>
      <c r="N405" s="1" t="str">
        <f>IFERROR(ROUNDUP(8*(H405/VLOOKUP(B405,Table2[],5,0)),0),"")</f>
        <v/>
      </c>
    </row>
    <row r="406" spans="2:14" x14ac:dyDescent="0.25">
      <c r="B406" s="76"/>
      <c r="C406" s="74" t="str">
        <f>IFERROR(VLOOKUP(B406,Table2[],2,0),"")</f>
        <v/>
      </c>
      <c r="D406" s="77"/>
      <c r="I406" s="79" t="str">
        <f t="shared" si="6"/>
        <v/>
      </c>
      <c r="J406" s="84" t="str">
        <f>IFERROR(ROUNDUP(8*(I406/VLOOKUP(B406,Table2[],5,0)),0),"")</f>
        <v/>
      </c>
      <c r="K406" s="1" t="str">
        <f>IFERROR(ROUNDUP(8*(E406/VLOOKUP(B406,Table2[],5,0)),0),"")</f>
        <v/>
      </c>
      <c r="L406" s="1" t="str">
        <f>IFERROR(ROUNDUP(8*(F406/VLOOKUP(B406,Table2[],5,0)),0),"")</f>
        <v/>
      </c>
      <c r="M406" s="1" t="str">
        <f>IFERROR(ROUNDUP(8*(G406/VLOOKUP(B406,Table2[],5,0)),0),"")</f>
        <v/>
      </c>
      <c r="N406" s="1" t="str">
        <f>IFERROR(ROUNDUP(8*(H406/VLOOKUP(B406,Table2[],5,0)),0),"")</f>
        <v/>
      </c>
    </row>
    <row r="407" spans="2:14" x14ac:dyDescent="0.25">
      <c r="B407" s="76"/>
      <c r="C407" s="74" t="str">
        <f>IFERROR(VLOOKUP(B407,Table2[],2,0),"")</f>
        <v/>
      </c>
      <c r="D407" s="77"/>
      <c r="I407" s="79" t="str">
        <f t="shared" si="6"/>
        <v/>
      </c>
      <c r="J407" s="84" t="str">
        <f>IFERROR(ROUNDUP(8*(I407/VLOOKUP(B407,Table2[],5,0)),0),"")</f>
        <v/>
      </c>
      <c r="K407" s="1" t="str">
        <f>IFERROR(ROUNDUP(8*(E407/VLOOKUP(B407,Table2[],5,0)),0),"")</f>
        <v/>
      </c>
      <c r="L407" s="1" t="str">
        <f>IFERROR(ROUNDUP(8*(F407/VLOOKUP(B407,Table2[],5,0)),0),"")</f>
        <v/>
      </c>
      <c r="M407" s="1" t="str">
        <f>IFERROR(ROUNDUP(8*(G407/VLOOKUP(B407,Table2[],5,0)),0),"")</f>
        <v/>
      </c>
      <c r="N407" s="1" t="str">
        <f>IFERROR(ROUNDUP(8*(H407/VLOOKUP(B407,Table2[],5,0)),0),"")</f>
        <v/>
      </c>
    </row>
    <row r="408" spans="2:14" x14ac:dyDescent="0.25">
      <c r="B408" s="76"/>
      <c r="C408" s="74" t="str">
        <f>IFERROR(VLOOKUP(B408,Table2[],2,0),"")</f>
        <v/>
      </c>
      <c r="D408" s="77"/>
      <c r="I408" s="79" t="str">
        <f t="shared" si="6"/>
        <v/>
      </c>
      <c r="J408" s="84" t="str">
        <f>IFERROR(ROUNDUP(8*(I408/VLOOKUP(B408,Table2[],5,0)),0),"")</f>
        <v/>
      </c>
      <c r="K408" s="1" t="str">
        <f>IFERROR(ROUNDUP(8*(E408/VLOOKUP(B408,Table2[],5,0)),0),"")</f>
        <v/>
      </c>
      <c r="L408" s="1" t="str">
        <f>IFERROR(ROUNDUP(8*(F408/VLOOKUP(B408,Table2[],5,0)),0),"")</f>
        <v/>
      </c>
      <c r="M408" s="1" t="str">
        <f>IFERROR(ROUNDUP(8*(G408/VLOOKUP(B408,Table2[],5,0)),0),"")</f>
        <v/>
      </c>
      <c r="N408" s="1" t="str">
        <f>IFERROR(ROUNDUP(8*(H408/VLOOKUP(B408,Table2[],5,0)),0),"")</f>
        <v/>
      </c>
    </row>
    <row r="409" spans="2:14" x14ac:dyDescent="0.25">
      <c r="B409" s="76"/>
      <c r="C409" s="74" t="str">
        <f>IFERROR(VLOOKUP(B409,Table2[],2,0),"")</f>
        <v/>
      </c>
      <c r="D409" s="77"/>
      <c r="I409" s="79" t="str">
        <f t="shared" si="6"/>
        <v/>
      </c>
      <c r="J409" s="84" t="str">
        <f>IFERROR(ROUNDUP(8*(I409/VLOOKUP(B409,Table2[],5,0)),0),"")</f>
        <v/>
      </c>
      <c r="K409" s="1" t="str">
        <f>IFERROR(ROUNDUP(8*(E409/VLOOKUP(B409,Table2[],5,0)),0),"")</f>
        <v/>
      </c>
      <c r="L409" s="1" t="str">
        <f>IFERROR(ROUNDUP(8*(F409/VLOOKUP(B409,Table2[],5,0)),0),"")</f>
        <v/>
      </c>
      <c r="M409" s="1" t="str">
        <f>IFERROR(ROUNDUP(8*(G409/VLOOKUP(B409,Table2[],5,0)),0),"")</f>
        <v/>
      </c>
      <c r="N409" s="1" t="str">
        <f>IFERROR(ROUNDUP(8*(H409/VLOOKUP(B409,Table2[],5,0)),0),"")</f>
        <v/>
      </c>
    </row>
    <row r="410" spans="2:14" x14ac:dyDescent="0.25">
      <c r="B410" s="76"/>
      <c r="C410" s="74" t="str">
        <f>IFERROR(VLOOKUP(B410,Table2[],2,0),"")</f>
        <v/>
      </c>
      <c r="D410" s="77"/>
      <c r="I410" s="79" t="str">
        <f t="shared" si="6"/>
        <v/>
      </c>
      <c r="J410" s="84" t="str">
        <f>IFERROR(ROUNDUP(8*(I410/VLOOKUP(B410,Table2[],5,0)),0),"")</f>
        <v/>
      </c>
      <c r="K410" s="1" t="str">
        <f>IFERROR(ROUNDUP(8*(E410/VLOOKUP(B410,Table2[],5,0)),0),"")</f>
        <v/>
      </c>
      <c r="L410" s="1" t="str">
        <f>IFERROR(ROUNDUP(8*(F410/VLOOKUP(B410,Table2[],5,0)),0),"")</f>
        <v/>
      </c>
      <c r="M410" s="1" t="str">
        <f>IFERROR(ROUNDUP(8*(G410/VLOOKUP(B410,Table2[],5,0)),0),"")</f>
        <v/>
      </c>
      <c r="N410" s="1" t="str">
        <f>IFERROR(ROUNDUP(8*(H410/VLOOKUP(B410,Table2[],5,0)),0),"")</f>
        <v/>
      </c>
    </row>
    <row r="411" spans="2:14" x14ac:dyDescent="0.25">
      <c r="B411" s="76"/>
      <c r="C411" s="74" t="str">
        <f>IFERROR(VLOOKUP(B411,Table2[],2,0),"")</f>
        <v/>
      </c>
      <c r="D411" s="77"/>
      <c r="I411" s="79" t="str">
        <f t="shared" si="6"/>
        <v/>
      </c>
      <c r="J411" s="84" t="str">
        <f>IFERROR(ROUNDUP(8*(I411/VLOOKUP(B411,Table2[],5,0)),0),"")</f>
        <v/>
      </c>
      <c r="K411" s="1" t="str">
        <f>IFERROR(ROUNDUP(8*(E411/VLOOKUP(B411,Table2[],5,0)),0),"")</f>
        <v/>
      </c>
      <c r="L411" s="1" t="str">
        <f>IFERROR(ROUNDUP(8*(F411/VLOOKUP(B411,Table2[],5,0)),0),"")</f>
        <v/>
      </c>
      <c r="M411" s="1" t="str">
        <f>IFERROR(ROUNDUP(8*(G411/VLOOKUP(B411,Table2[],5,0)),0),"")</f>
        <v/>
      </c>
      <c r="N411" s="1" t="str">
        <f>IFERROR(ROUNDUP(8*(H411/VLOOKUP(B411,Table2[],5,0)),0),"")</f>
        <v/>
      </c>
    </row>
    <row r="412" spans="2:14" x14ac:dyDescent="0.25">
      <c r="B412" s="76"/>
      <c r="C412" s="74" t="str">
        <f>IFERROR(VLOOKUP(B412,Table2[],2,0),"")</f>
        <v/>
      </c>
      <c r="D412" s="77"/>
      <c r="I412" s="79" t="str">
        <f t="shared" si="6"/>
        <v/>
      </c>
      <c r="J412" s="84" t="str">
        <f>IFERROR(ROUNDUP(8*(I412/VLOOKUP(B412,Table2[],5,0)),0),"")</f>
        <v/>
      </c>
      <c r="K412" s="1" t="str">
        <f>IFERROR(ROUNDUP(8*(E412/VLOOKUP(B412,Table2[],5,0)),0),"")</f>
        <v/>
      </c>
      <c r="L412" s="1" t="str">
        <f>IFERROR(ROUNDUP(8*(F412/VLOOKUP(B412,Table2[],5,0)),0),"")</f>
        <v/>
      </c>
      <c r="M412" s="1" t="str">
        <f>IFERROR(ROUNDUP(8*(G412/VLOOKUP(B412,Table2[],5,0)),0),"")</f>
        <v/>
      </c>
      <c r="N412" s="1" t="str">
        <f>IFERROR(ROUNDUP(8*(H412/VLOOKUP(B412,Table2[],5,0)),0),"")</f>
        <v/>
      </c>
    </row>
    <row r="413" spans="2:14" x14ac:dyDescent="0.25">
      <c r="B413" s="76"/>
      <c r="C413" s="74" t="str">
        <f>IFERROR(VLOOKUP(B413,Table2[],2,0),"")</f>
        <v/>
      </c>
      <c r="D413" s="77"/>
      <c r="I413" s="79" t="str">
        <f t="shared" si="6"/>
        <v/>
      </c>
      <c r="J413" s="84" t="str">
        <f>IFERROR(ROUNDUP(8*(I413/VLOOKUP(B413,Table2[],5,0)),0),"")</f>
        <v/>
      </c>
      <c r="K413" s="1" t="str">
        <f>IFERROR(ROUNDUP(8*(E413/VLOOKUP(B413,Table2[],5,0)),0),"")</f>
        <v/>
      </c>
      <c r="L413" s="1" t="str">
        <f>IFERROR(ROUNDUP(8*(F413/VLOOKUP(B413,Table2[],5,0)),0),"")</f>
        <v/>
      </c>
      <c r="M413" s="1" t="str">
        <f>IFERROR(ROUNDUP(8*(G413/VLOOKUP(B413,Table2[],5,0)),0),"")</f>
        <v/>
      </c>
      <c r="N413" s="1" t="str">
        <f>IFERROR(ROUNDUP(8*(H413/VLOOKUP(B413,Table2[],5,0)),0),"")</f>
        <v/>
      </c>
    </row>
    <row r="414" spans="2:14" x14ac:dyDescent="0.25">
      <c r="B414" s="76"/>
      <c r="C414" s="74" t="str">
        <f>IFERROR(VLOOKUP(B414,Table2[],2,0),"")</f>
        <v/>
      </c>
      <c r="D414" s="77"/>
      <c r="I414" s="79" t="str">
        <f t="shared" si="6"/>
        <v/>
      </c>
      <c r="J414" s="84" t="str">
        <f>IFERROR(ROUNDUP(8*(I414/VLOOKUP(B414,Table2[],5,0)),0),"")</f>
        <v/>
      </c>
      <c r="K414" s="1" t="str">
        <f>IFERROR(ROUNDUP(8*(E414/VLOOKUP(B414,Table2[],5,0)),0),"")</f>
        <v/>
      </c>
      <c r="L414" s="1" t="str">
        <f>IFERROR(ROUNDUP(8*(F414/VLOOKUP(B414,Table2[],5,0)),0),"")</f>
        <v/>
      </c>
      <c r="M414" s="1" t="str">
        <f>IFERROR(ROUNDUP(8*(G414/VLOOKUP(B414,Table2[],5,0)),0),"")</f>
        <v/>
      </c>
      <c r="N414" s="1" t="str">
        <f>IFERROR(ROUNDUP(8*(H414/VLOOKUP(B414,Table2[],5,0)),0),"")</f>
        <v/>
      </c>
    </row>
    <row r="415" spans="2:14" x14ac:dyDescent="0.25">
      <c r="B415" s="76"/>
      <c r="C415" s="74" t="str">
        <f>IFERROR(VLOOKUP(B415,Table2[],2,0),"")</f>
        <v/>
      </c>
      <c r="D415" s="77"/>
      <c r="I415" s="79" t="str">
        <f t="shared" si="6"/>
        <v/>
      </c>
      <c r="J415" s="84" t="str">
        <f>IFERROR(ROUNDUP(8*(I415/VLOOKUP(B415,Table2[],5,0)),0),"")</f>
        <v/>
      </c>
      <c r="K415" s="1" t="str">
        <f>IFERROR(ROUNDUP(8*(E415/VLOOKUP(B415,Table2[],5,0)),0),"")</f>
        <v/>
      </c>
      <c r="L415" s="1" t="str">
        <f>IFERROR(ROUNDUP(8*(F415/VLOOKUP(B415,Table2[],5,0)),0),"")</f>
        <v/>
      </c>
      <c r="M415" s="1" t="str">
        <f>IFERROR(ROUNDUP(8*(G415/VLOOKUP(B415,Table2[],5,0)),0),"")</f>
        <v/>
      </c>
      <c r="N415" s="1" t="str">
        <f>IFERROR(ROUNDUP(8*(H415/VLOOKUP(B415,Table2[],5,0)),0),"")</f>
        <v/>
      </c>
    </row>
    <row r="416" spans="2:14" x14ac:dyDescent="0.25">
      <c r="B416" s="76"/>
      <c r="C416" s="74" t="str">
        <f>IFERROR(VLOOKUP(B416,Table2[],2,0),"")</f>
        <v/>
      </c>
      <c r="D416" s="77"/>
      <c r="I416" s="79" t="str">
        <f t="shared" si="6"/>
        <v/>
      </c>
      <c r="J416" s="84" t="str">
        <f>IFERROR(ROUNDUP(8*(I416/VLOOKUP(B416,Table2[],5,0)),0),"")</f>
        <v/>
      </c>
      <c r="K416" s="1" t="str">
        <f>IFERROR(ROUNDUP(8*(E416/VLOOKUP(B416,Table2[],5,0)),0),"")</f>
        <v/>
      </c>
      <c r="L416" s="1" t="str">
        <f>IFERROR(ROUNDUP(8*(F416/VLOOKUP(B416,Table2[],5,0)),0),"")</f>
        <v/>
      </c>
      <c r="M416" s="1" t="str">
        <f>IFERROR(ROUNDUP(8*(G416/VLOOKUP(B416,Table2[],5,0)),0),"")</f>
        <v/>
      </c>
      <c r="N416" s="1" t="str">
        <f>IFERROR(ROUNDUP(8*(H416/VLOOKUP(B416,Table2[],5,0)),0),"")</f>
        <v/>
      </c>
    </row>
    <row r="417" spans="2:14" x14ac:dyDescent="0.25">
      <c r="B417" s="76"/>
      <c r="C417" s="74" t="str">
        <f>IFERROR(VLOOKUP(B417,Table2[],2,0),"")</f>
        <v/>
      </c>
      <c r="D417" s="77"/>
      <c r="I417" s="79" t="str">
        <f t="shared" si="6"/>
        <v/>
      </c>
      <c r="J417" s="84" t="str">
        <f>IFERROR(ROUNDUP(8*(I417/VLOOKUP(B417,Table2[],5,0)),0),"")</f>
        <v/>
      </c>
      <c r="K417" s="1" t="str">
        <f>IFERROR(ROUNDUP(8*(E417/VLOOKUP(B417,Table2[],5,0)),0),"")</f>
        <v/>
      </c>
      <c r="L417" s="1" t="str">
        <f>IFERROR(ROUNDUP(8*(F417/VLOOKUP(B417,Table2[],5,0)),0),"")</f>
        <v/>
      </c>
      <c r="M417" s="1" t="str">
        <f>IFERROR(ROUNDUP(8*(G417/VLOOKUP(B417,Table2[],5,0)),0),"")</f>
        <v/>
      </c>
      <c r="N417" s="1" t="str">
        <f>IFERROR(ROUNDUP(8*(H417/VLOOKUP(B417,Table2[],5,0)),0),"")</f>
        <v/>
      </c>
    </row>
    <row r="418" spans="2:14" x14ac:dyDescent="0.25">
      <c r="B418" s="76"/>
      <c r="C418" s="74" t="str">
        <f>IFERROR(VLOOKUP(B418,Table2[],2,0),"")</f>
        <v/>
      </c>
      <c r="D418" s="77"/>
      <c r="I418" s="79" t="str">
        <f t="shared" si="6"/>
        <v/>
      </c>
      <c r="J418" s="84" t="str">
        <f>IFERROR(ROUNDUP(8*(I418/VLOOKUP(B418,Table2[],5,0)),0),"")</f>
        <v/>
      </c>
      <c r="K418" s="1" t="str">
        <f>IFERROR(ROUNDUP(8*(E418/VLOOKUP(B418,Table2[],5,0)),0),"")</f>
        <v/>
      </c>
      <c r="L418" s="1" t="str">
        <f>IFERROR(ROUNDUP(8*(F418/VLOOKUP(B418,Table2[],5,0)),0),"")</f>
        <v/>
      </c>
      <c r="M418" s="1" t="str">
        <f>IFERROR(ROUNDUP(8*(G418/VLOOKUP(B418,Table2[],5,0)),0),"")</f>
        <v/>
      </c>
      <c r="N418" s="1" t="str">
        <f>IFERROR(ROUNDUP(8*(H418/VLOOKUP(B418,Table2[],5,0)),0),"")</f>
        <v/>
      </c>
    </row>
    <row r="419" spans="2:14" x14ac:dyDescent="0.25">
      <c r="B419" s="76"/>
      <c r="C419" s="74" t="str">
        <f>IFERROR(VLOOKUP(B419,Table2[],2,0),"")</f>
        <v/>
      </c>
      <c r="D419" s="77"/>
      <c r="I419" s="79" t="str">
        <f t="shared" si="6"/>
        <v/>
      </c>
      <c r="J419" s="84" t="str">
        <f>IFERROR(ROUNDUP(8*(I419/VLOOKUP(B419,Table2[],5,0)),0),"")</f>
        <v/>
      </c>
      <c r="K419" s="1" t="str">
        <f>IFERROR(ROUNDUP(8*(E419/VLOOKUP(B419,Table2[],5,0)),0),"")</f>
        <v/>
      </c>
      <c r="L419" s="1" t="str">
        <f>IFERROR(ROUNDUP(8*(F419/VLOOKUP(B419,Table2[],5,0)),0),"")</f>
        <v/>
      </c>
      <c r="M419" s="1" t="str">
        <f>IFERROR(ROUNDUP(8*(G419/VLOOKUP(B419,Table2[],5,0)),0),"")</f>
        <v/>
      </c>
      <c r="N419" s="1" t="str">
        <f>IFERROR(ROUNDUP(8*(H419/VLOOKUP(B419,Table2[],5,0)),0),"")</f>
        <v/>
      </c>
    </row>
    <row r="420" spans="2:14" x14ac:dyDescent="0.25">
      <c r="B420" s="76"/>
      <c r="C420" s="74" t="str">
        <f>IFERROR(VLOOKUP(B420,Table2[],2,0),"")</f>
        <v/>
      </c>
      <c r="D420" s="77"/>
      <c r="I420" s="79" t="str">
        <f t="shared" si="6"/>
        <v/>
      </c>
      <c r="J420" s="84" t="str">
        <f>IFERROR(ROUNDUP(8*(I420/VLOOKUP(B420,Table2[],5,0)),0),"")</f>
        <v/>
      </c>
      <c r="K420" s="1" t="str">
        <f>IFERROR(ROUNDUP(8*(E420/VLOOKUP(B420,Table2[],5,0)),0),"")</f>
        <v/>
      </c>
      <c r="L420" s="1" t="str">
        <f>IFERROR(ROUNDUP(8*(F420/VLOOKUP(B420,Table2[],5,0)),0),"")</f>
        <v/>
      </c>
      <c r="M420" s="1" t="str">
        <f>IFERROR(ROUNDUP(8*(G420/VLOOKUP(B420,Table2[],5,0)),0),"")</f>
        <v/>
      </c>
      <c r="N420" s="1" t="str">
        <f>IFERROR(ROUNDUP(8*(H420/VLOOKUP(B420,Table2[],5,0)),0),"")</f>
        <v/>
      </c>
    </row>
    <row r="421" spans="2:14" x14ac:dyDescent="0.25">
      <c r="B421" s="76"/>
      <c r="C421" s="74" t="str">
        <f>IFERROR(VLOOKUP(B421,Table2[],2,0),"")</f>
        <v/>
      </c>
      <c r="D421" s="77"/>
      <c r="I421" s="79" t="str">
        <f t="shared" si="6"/>
        <v/>
      </c>
      <c r="J421" s="84" t="str">
        <f>IFERROR(ROUNDUP(8*(I421/VLOOKUP(B421,Table2[],5,0)),0),"")</f>
        <v/>
      </c>
      <c r="K421" s="1" t="str">
        <f>IFERROR(ROUNDUP(8*(E421/VLOOKUP(B421,Table2[],5,0)),0),"")</f>
        <v/>
      </c>
      <c r="L421" s="1" t="str">
        <f>IFERROR(ROUNDUP(8*(F421/VLOOKUP(B421,Table2[],5,0)),0),"")</f>
        <v/>
      </c>
      <c r="M421" s="1" t="str">
        <f>IFERROR(ROUNDUP(8*(G421/VLOOKUP(B421,Table2[],5,0)),0),"")</f>
        <v/>
      </c>
      <c r="N421" s="1" t="str">
        <f>IFERROR(ROUNDUP(8*(H421/VLOOKUP(B421,Table2[],5,0)),0),"")</f>
        <v/>
      </c>
    </row>
    <row r="422" spans="2:14" x14ac:dyDescent="0.25">
      <c r="B422" s="76"/>
      <c r="C422" s="74" t="str">
        <f>IFERROR(VLOOKUP(B422,Table2[],2,0),"")</f>
        <v/>
      </c>
      <c r="D422" s="77"/>
      <c r="I422" s="79" t="str">
        <f t="shared" si="6"/>
        <v/>
      </c>
      <c r="J422" s="84" t="str">
        <f>IFERROR(ROUNDUP(8*(I422/VLOOKUP(B422,Table2[],5,0)),0),"")</f>
        <v/>
      </c>
      <c r="K422" s="1" t="str">
        <f>IFERROR(ROUNDUP(8*(E422/VLOOKUP(B422,Table2[],5,0)),0),"")</f>
        <v/>
      </c>
      <c r="L422" s="1" t="str">
        <f>IFERROR(ROUNDUP(8*(F422/VLOOKUP(B422,Table2[],5,0)),0),"")</f>
        <v/>
      </c>
      <c r="M422" s="1" t="str">
        <f>IFERROR(ROUNDUP(8*(G422/VLOOKUP(B422,Table2[],5,0)),0),"")</f>
        <v/>
      </c>
      <c r="N422" s="1" t="str">
        <f>IFERROR(ROUNDUP(8*(H422/VLOOKUP(B422,Table2[],5,0)),0),"")</f>
        <v/>
      </c>
    </row>
    <row r="423" spans="2:14" x14ac:dyDescent="0.25">
      <c r="B423" s="76"/>
      <c r="C423" s="74" t="str">
        <f>IFERROR(VLOOKUP(B423,Table2[],2,0),"")</f>
        <v/>
      </c>
      <c r="D423" s="77"/>
      <c r="I423" s="79" t="str">
        <f t="shared" si="6"/>
        <v/>
      </c>
      <c r="J423" s="84" t="str">
        <f>IFERROR(ROUNDUP(8*(I423/VLOOKUP(B423,Table2[],5,0)),0),"")</f>
        <v/>
      </c>
      <c r="K423" s="1" t="str">
        <f>IFERROR(ROUNDUP(8*(E423/VLOOKUP(B423,Table2[],5,0)),0),"")</f>
        <v/>
      </c>
      <c r="L423" s="1" t="str">
        <f>IFERROR(ROUNDUP(8*(F423/VLOOKUP(B423,Table2[],5,0)),0),"")</f>
        <v/>
      </c>
      <c r="M423" s="1" t="str">
        <f>IFERROR(ROUNDUP(8*(G423/VLOOKUP(B423,Table2[],5,0)),0),"")</f>
        <v/>
      </c>
      <c r="N423" s="1" t="str">
        <f>IFERROR(ROUNDUP(8*(H423/VLOOKUP(B423,Table2[],5,0)),0),"")</f>
        <v/>
      </c>
    </row>
    <row r="424" spans="2:14" x14ac:dyDescent="0.25">
      <c r="B424" s="76"/>
      <c r="C424" s="74" t="str">
        <f>IFERROR(VLOOKUP(B424,Table2[],2,0),"")</f>
        <v/>
      </c>
      <c r="D424" s="77"/>
      <c r="I424" s="79" t="str">
        <f t="shared" si="6"/>
        <v/>
      </c>
      <c r="J424" s="84" t="str">
        <f>IFERROR(ROUNDUP(8*(I424/VLOOKUP(B424,Table2[],5,0)),0),"")</f>
        <v/>
      </c>
      <c r="K424" s="1" t="str">
        <f>IFERROR(ROUNDUP(8*(E424/VLOOKUP(B424,Table2[],5,0)),0),"")</f>
        <v/>
      </c>
      <c r="L424" s="1" t="str">
        <f>IFERROR(ROUNDUP(8*(F424/VLOOKUP(B424,Table2[],5,0)),0),"")</f>
        <v/>
      </c>
      <c r="M424" s="1" t="str">
        <f>IFERROR(ROUNDUP(8*(G424/VLOOKUP(B424,Table2[],5,0)),0),"")</f>
        <v/>
      </c>
      <c r="N424" s="1" t="str">
        <f>IFERROR(ROUNDUP(8*(H424/VLOOKUP(B424,Table2[],5,0)),0),"")</f>
        <v/>
      </c>
    </row>
    <row r="425" spans="2:14" x14ac:dyDescent="0.25">
      <c r="B425" s="76"/>
      <c r="C425" s="74" t="str">
        <f>IFERROR(VLOOKUP(B425,Table2[],2,0),"")</f>
        <v/>
      </c>
      <c r="D425" s="77"/>
      <c r="I425" s="79" t="str">
        <f t="shared" si="6"/>
        <v/>
      </c>
      <c r="J425" s="84" t="str">
        <f>IFERROR(ROUNDUP(8*(I425/VLOOKUP(B425,Table2[],5,0)),0),"")</f>
        <v/>
      </c>
      <c r="K425" s="1" t="str">
        <f>IFERROR(ROUNDUP(8*(E425/VLOOKUP(B425,Table2[],5,0)),0),"")</f>
        <v/>
      </c>
      <c r="L425" s="1" t="str">
        <f>IFERROR(ROUNDUP(8*(F425/VLOOKUP(B425,Table2[],5,0)),0),"")</f>
        <v/>
      </c>
      <c r="M425" s="1" t="str">
        <f>IFERROR(ROUNDUP(8*(G425/VLOOKUP(B425,Table2[],5,0)),0),"")</f>
        <v/>
      </c>
      <c r="N425" s="1" t="str">
        <f>IFERROR(ROUNDUP(8*(H425/VLOOKUP(B425,Table2[],5,0)),0),"")</f>
        <v/>
      </c>
    </row>
    <row r="426" spans="2:14" x14ac:dyDescent="0.25">
      <c r="B426" s="76"/>
      <c r="C426" s="74" t="str">
        <f>IFERROR(VLOOKUP(B426,Table2[],2,0),"")</f>
        <v/>
      </c>
      <c r="D426" s="77"/>
      <c r="I426" s="79" t="str">
        <f t="shared" si="6"/>
        <v/>
      </c>
      <c r="J426" s="84" t="str">
        <f>IFERROR(ROUNDUP(8*(I426/VLOOKUP(B426,Table2[],5,0)),0),"")</f>
        <v/>
      </c>
      <c r="K426" s="1" t="str">
        <f>IFERROR(ROUNDUP(8*(E426/VLOOKUP(B426,Table2[],5,0)),0),"")</f>
        <v/>
      </c>
      <c r="L426" s="1" t="str">
        <f>IFERROR(ROUNDUP(8*(F426/VLOOKUP(B426,Table2[],5,0)),0),"")</f>
        <v/>
      </c>
      <c r="M426" s="1" t="str">
        <f>IFERROR(ROUNDUP(8*(G426/VLOOKUP(B426,Table2[],5,0)),0),"")</f>
        <v/>
      </c>
      <c r="N426" s="1" t="str">
        <f>IFERROR(ROUNDUP(8*(H426/VLOOKUP(B426,Table2[],5,0)),0),"")</f>
        <v/>
      </c>
    </row>
    <row r="427" spans="2:14" x14ac:dyDescent="0.25">
      <c r="B427" s="76"/>
      <c r="C427" s="74" t="str">
        <f>IFERROR(VLOOKUP(B427,Table2[],2,0),"")</f>
        <v/>
      </c>
      <c r="D427" s="77"/>
      <c r="I427" s="79" t="str">
        <f t="shared" si="6"/>
        <v/>
      </c>
      <c r="J427" s="84" t="str">
        <f>IFERROR(ROUNDUP(8*(I427/VLOOKUP(B427,Table2[],5,0)),0),"")</f>
        <v/>
      </c>
      <c r="K427" s="1" t="str">
        <f>IFERROR(ROUNDUP(8*(E427/VLOOKUP(B427,Table2[],5,0)),0),"")</f>
        <v/>
      </c>
      <c r="L427" s="1" t="str">
        <f>IFERROR(ROUNDUP(8*(F427/VLOOKUP(B427,Table2[],5,0)),0),"")</f>
        <v/>
      </c>
      <c r="M427" s="1" t="str">
        <f>IFERROR(ROUNDUP(8*(G427/VLOOKUP(B427,Table2[],5,0)),0),"")</f>
        <v/>
      </c>
      <c r="N427" s="1" t="str">
        <f>IFERROR(ROUNDUP(8*(H427/VLOOKUP(B427,Table2[],5,0)),0),"")</f>
        <v/>
      </c>
    </row>
    <row r="428" spans="2:14" x14ac:dyDescent="0.25">
      <c r="B428" s="76"/>
      <c r="C428" s="74" t="str">
        <f>IFERROR(VLOOKUP(B428,Table2[],2,0),"")</f>
        <v/>
      </c>
      <c r="D428" s="77"/>
      <c r="I428" s="79" t="str">
        <f t="shared" si="6"/>
        <v/>
      </c>
      <c r="J428" s="84" t="str">
        <f>IFERROR(ROUNDUP(8*(I428/VLOOKUP(B428,Table2[],5,0)),0),"")</f>
        <v/>
      </c>
      <c r="K428" s="1" t="str">
        <f>IFERROR(ROUNDUP(8*(E428/VLOOKUP(B428,Table2[],5,0)),0),"")</f>
        <v/>
      </c>
      <c r="L428" s="1" t="str">
        <f>IFERROR(ROUNDUP(8*(F428/VLOOKUP(B428,Table2[],5,0)),0),"")</f>
        <v/>
      </c>
      <c r="M428" s="1" t="str">
        <f>IFERROR(ROUNDUP(8*(G428/VLOOKUP(B428,Table2[],5,0)),0),"")</f>
        <v/>
      </c>
      <c r="N428" s="1" t="str">
        <f>IFERROR(ROUNDUP(8*(H428/VLOOKUP(B428,Table2[],5,0)),0),"")</f>
        <v/>
      </c>
    </row>
    <row r="429" spans="2:14" x14ac:dyDescent="0.25">
      <c r="B429" s="76"/>
      <c r="C429" s="74" t="str">
        <f>IFERROR(VLOOKUP(B429,Table2[],2,0),"")</f>
        <v/>
      </c>
      <c r="D429" s="77"/>
      <c r="I429" s="79" t="str">
        <f t="shared" si="6"/>
        <v/>
      </c>
      <c r="J429" s="84" t="str">
        <f>IFERROR(ROUNDUP(8*(I429/VLOOKUP(B429,Table2[],5,0)),0),"")</f>
        <v/>
      </c>
      <c r="K429" s="1" t="str">
        <f>IFERROR(ROUNDUP(8*(E429/VLOOKUP(B429,Table2[],5,0)),0),"")</f>
        <v/>
      </c>
      <c r="L429" s="1" t="str">
        <f>IFERROR(ROUNDUP(8*(F429/VLOOKUP(B429,Table2[],5,0)),0),"")</f>
        <v/>
      </c>
      <c r="M429" s="1" t="str">
        <f>IFERROR(ROUNDUP(8*(G429/VLOOKUP(B429,Table2[],5,0)),0),"")</f>
        <v/>
      </c>
      <c r="N429" s="1" t="str">
        <f>IFERROR(ROUNDUP(8*(H429/VLOOKUP(B429,Table2[],5,0)),0),"")</f>
        <v/>
      </c>
    </row>
    <row r="430" spans="2:14" x14ac:dyDescent="0.25">
      <c r="B430" s="76"/>
      <c r="C430" s="74" t="str">
        <f>IFERROR(VLOOKUP(B430,Table2[],2,0),"")</f>
        <v/>
      </c>
      <c r="D430" s="77"/>
      <c r="I430" s="79" t="str">
        <f t="shared" si="6"/>
        <v/>
      </c>
      <c r="J430" s="84" t="str">
        <f>IFERROR(ROUNDUP(8*(I430/VLOOKUP(B430,Table2[],5,0)),0),"")</f>
        <v/>
      </c>
      <c r="K430" s="1" t="str">
        <f>IFERROR(ROUNDUP(8*(E430/VLOOKUP(B430,Table2[],5,0)),0),"")</f>
        <v/>
      </c>
      <c r="L430" s="1" t="str">
        <f>IFERROR(ROUNDUP(8*(F430/VLOOKUP(B430,Table2[],5,0)),0),"")</f>
        <v/>
      </c>
      <c r="M430" s="1" t="str">
        <f>IFERROR(ROUNDUP(8*(G430/VLOOKUP(B430,Table2[],5,0)),0),"")</f>
        <v/>
      </c>
      <c r="N430" s="1" t="str">
        <f>IFERROR(ROUNDUP(8*(H430/VLOOKUP(B430,Table2[],5,0)),0),"")</f>
        <v/>
      </c>
    </row>
    <row r="431" spans="2:14" x14ac:dyDescent="0.25">
      <c r="B431" s="76"/>
      <c r="C431" s="74" t="str">
        <f>IFERROR(VLOOKUP(B431,Table2[],2,0),"")</f>
        <v/>
      </c>
      <c r="D431" s="77"/>
      <c r="I431" s="79" t="str">
        <f t="shared" si="6"/>
        <v/>
      </c>
      <c r="J431" s="84" t="str">
        <f>IFERROR(ROUNDUP(8*(I431/VLOOKUP(B431,Table2[],5,0)),0),"")</f>
        <v/>
      </c>
      <c r="K431" s="1" t="str">
        <f>IFERROR(ROUNDUP(8*(E431/VLOOKUP(B431,Table2[],5,0)),0),"")</f>
        <v/>
      </c>
      <c r="L431" s="1" t="str">
        <f>IFERROR(ROUNDUP(8*(F431/VLOOKUP(B431,Table2[],5,0)),0),"")</f>
        <v/>
      </c>
      <c r="M431" s="1" t="str">
        <f>IFERROR(ROUNDUP(8*(G431/VLOOKUP(B431,Table2[],5,0)),0),"")</f>
        <v/>
      </c>
      <c r="N431" s="1" t="str">
        <f>IFERROR(ROUNDUP(8*(H431/VLOOKUP(B431,Table2[],5,0)),0),"")</f>
        <v/>
      </c>
    </row>
    <row r="432" spans="2:14" x14ac:dyDescent="0.25">
      <c r="B432" s="76"/>
      <c r="C432" s="74" t="str">
        <f>IFERROR(VLOOKUP(B432,Table2[],2,0),"")</f>
        <v/>
      </c>
      <c r="D432" s="77"/>
      <c r="I432" s="79" t="str">
        <f t="shared" si="6"/>
        <v/>
      </c>
      <c r="J432" s="84" t="str">
        <f>IFERROR(ROUNDUP(8*(I432/VLOOKUP(B432,Table2[],5,0)),0),"")</f>
        <v/>
      </c>
      <c r="K432" s="1" t="str">
        <f>IFERROR(ROUNDUP(8*(E432/VLOOKUP(B432,Table2[],5,0)),0),"")</f>
        <v/>
      </c>
      <c r="L432" s="1" t="str">
        <f>IFERROR(ROUNDUP(8*(F432/VLOOKUP(B432,Table2[],5,0)),0),"")</f>
        <v/>
      </c>
      <c r="M432" s="1" t="str">
        <f>IFERROR(ROUNDUP(8*(G432/VLOOKUP(B432,Table2[],5,0)),0),"")</f>
        <v/>
      </c>
      <c r="N432" s="1" t="str">
        <f>IFERROR(ROUNDUP(8*(H432/VLOOKUP(B432,Table2[],5,0)),0),"")</f>
        <v/>
      </c>
    </row>
    <row r="433" spans="2:14" x14ac:dyDescent="0.25">
      <c r="B433" s="76"/>
      <c r="C433" s="74" t="str">
        <f>IFERROR(VLOOKUP(B433,Table2[],2,0),"")</f>
        <v/>
      </c>
      <c r="D433" s="77"/>
      <c r="I433" s="79" t="str">
        <f t="shared" si="6"/>
        <v/>
      </c>
      <c r="J433" s="84" t="str">
        <f>IFERROR(ROUNDUP(8*(I433/VLOOKUP(B433,Table2[],5,0)),0),"")</f>
        <v/>
      </c>
      <c r="K433" s="1" t="str">
        <f>IFERROR(ROUNDUP(8*(E433/VLOOKUP(B433,Table2[],5,0)),0),"")</f>
        <v/>
      </c>
      <c r="L433" s="1" t="str">
        <f>IFERROR(ROUNDUP(8*(F433/VLOOKUP(B433,Table2[],5,0)),0),"")</f>
        <v/>
      </c>
      <c r="M433" s="1" t="str">
        <f>IFERROR(ROUNDUP(8*(G433/VLOOKUP(B433,Table2[],5,0)),0),"")</f>
        <v/>
      </c>
      <c r="N433" s="1" t="str">
        <f>IFERROR(ROUNDUP(8*(H433/VLOOKUP(B433,Table2[],5,0)),0),"")</f>
        <v/>
      </c>
    </row>
    <row r="434" spans="2:14" x14ac:dyDescent="0.25">
      <c r="B434" s="76"/>
      <c r="C434" s="74" t="str">
        <f>IFERROR(VLOOKUP(B434,Table2[],2,0),"")</f>
        <v/>
      </c>
      <c r="D434" s="77"/>
      <c r="I434" s="79" t="str">
        <f t="shared" si="6"/>
        <v/>
      </c>
      <c r="J434" s="84" t="str">
        <f>IFERROR(ROUNDUP(8*(I434/VLOOKUP(B434,Table2[],5,0)),0),"")</f>
        <v/>
      </c>
      <c r="K434" s="1" t="str">
        <f>IFERROR(ROUNDUP(8*(E434/VLOOKUP(B434,Table2[],5,0)),0),"")</f>
        <v/>
      </c>
      <c r="L434" s="1" t="str">
        <f>IFERROR(ROUNDUP(8*(F434/VLOOKUP(B434,Table2[],5,0)),0),"")</f>
        <v/>
      </c>
      <c r="M434" s="1" t="str">
        <f>IFERROR(ROUNDUP(8*(G434/VLOOKUP(B434,Table2[],5,0)),0),"")</f>
        <v/>
      </c>
      <c r="N434" s="1" t="str">
        <f>IFERROR(ROUNDUP(8*(H434/VLOOKUP(B434,Table2[],5,0)),0),"")</f>
        <v/>
      </c>
    </row>
    <row r="435" spans="2:14" x14ac:dyDescent="0.25">
      <c r="B435" s="76"/>
      <c r="C435" s="74" t="str">
        <f>IFERROR(VLOOKUP(B435,Table2[],2,0),"")</f>
        <v/>
      </c>
      <c r="D435" s="77"/>
      <c r="I435" s="79" t="str">
        <f t="shared" si="6"/>
        <v/>
      </c>
      <c r="J435" s="84" t="str">
        <f>IFERROR(ROUNDUP(8*(I435/VLOOKUP(B435,Table2[],5,0)),0),"")</f>
        <v/>
      </c>
      <c r="K435" s="1" t="str">
        <f>IFERROR(ROUNDUP(8*(E435/VLOOKUP(B435,Table2[],5,0)),0),"")</f>
        <v/>
      </c>
      <c r="L435" s="1" t="str">
        <f>IFERROR(ROUNDUP(8*(F435/VLOOKUP(B435,Table2[],5,0)),0),"")</f>
        <v/>
      </c>
      <c r="M435" s="1" t="str">
        <f>IFERROR(ROUNDUP(8*(G435/VLOOKUP(B435,Table2[],5,0)),0),"")</f>
        <v/>
      </c>
      <c r="N435" s="1" t="str">
        <f>IFERROR(ROUNDUP(8*(H435/VLOOKUP(B435,Table2[],5,0)),0),"")</f>
        <v/>
      </c>
    </row>
    <row r="436" spans="2:14" x14ac:dyDescent="0.25">
      <c r="B436" s="76"/>
      <c r="C436" s="74" t="str">
        <f>IFERROR(VLOOKUP(B436,Table2[],2,0),"")</f>
        <v/>
      </c>
      <c r="D436" s="77"/>
      <c r="I436" s="79" t="str">
        <f t="shared" si="6"/>
        <v/>
      </c>
      <c r="J436" s="84" t="str">
        <f>IFERROR(ROUNDUP(8*(I436/VLOOKUP(B436,Table2[],5,0)),0),"")</f>
        <v/>
      </c>
      <c r="K436" s="1" t="str">
        <f>IFERROR(ROUNDUP(8*(E436/VLOOKUP(B436,Table2[],5,0)),0),"")</f>
        <v/>
      </c>
      <c r="L436" s="1" t="str">
        <f>IFERROR(ROUNDUP(8*(F436/VLOOKUP(B436,Table2[],5,0)),0),"")</f>
        <v/>
      </c>
      <c r="M436" s="1" t="str">
        <f>IFERROR(ROUNDUP(8*(G436/VLOOKUP(B436,Table2[],5,0)),0),"")</f>
        <v/>
      </c>
      <c r="N436" s="1" t="str">
        <f>IFERROR(ROUNDUP(8*(H436/VLOOKUP(B436,Table2[],5,0)),0),"")</f>
        <v/>
      </c>
    </row>
    <row r="437" spans="2:14" x14ac:dyDescent="0.25">
      <c r="B437" s="76"/>
      <c r="C437" s="74" t="str">
        <f>IFERROR(VLOOKUP(B437,Table2[],2,0),"")</f>
        <v/>
      </c>
      <c r="D437" s="77"/>
      <c r="I437" s="79" t="str">
        <f t="shared" si="6"/>
        <v/>
      </c>
      <c r="J437" s="84" t="str">
        <f>IFERROR(ROUNDUP(8*(I437/VLOOKUP(B437,Table2[],5,0)),0),"")</f>
        <v/>
      </c>
      <c r="K437" s="1" t="str">
        <f>IFERROR(ROUNDUP(8*(E437/VLOOKUP(B437,Table2[],5,0)),0),"")</f>
        <v/>
      </c>
      <c r="L437" s="1" t="str">
        <f>IFERROR(ROUNDUP(8*(F437/VLOOKUP(B437,Table2[],5,0)),0),"")</f>
        <v/>
      </c>
      <c r="M437" s="1" t="str">
        <f>IFERROR(ROUNDUP(8*(G437/VLOOKUP(B437,Table2[],5,0)),0),"")</f>
        <v/>
      </c>
      <c r="N437" s="1" t="str">
        <f>IFERROR(ROUNDUP(8*(H437/VLOOKUP(B437,Table2[],5,0)),0),"")</f>
        <v/>
      </c>
    </row>
    <row r="438" spans="2:14" x14ac:dyDescent="0.25">
      <c r="B438" s="76"/>
      <c r="C438" s="74" t="str">
        <f>IFERROR(VLOOKUP(B438,Table2[],2,0),"")</f>
        <v/>
      </c>
      <c r="D438" s="77"/>
      <c r="I438" s="79" t="str">
        <f t="shared" si="6"/>
        <v/>
      </c>
      <c r="J438" s="84" t="str">
        <f>IFERROR(ROUNDUP(8*(I438/VLOOKUP(B438,Table2[],5,0)),0),"")</f>
        <v/>
      </c>
      <c r="K438" s="1" t="str">
        <f>IFERROR(ROUNDUP(8*(E438/VLOOKUP(B438,Table2[],5,0)),0),"")</f>
        <v/>
      </c>
      <c r="L438" s="1" t="str">
        <f>IFERROR(ROUNDUP(8*(F438/VLOOKUP(B438,Table2[],5,0)),0),"")</f>
        <v/>
      </c>
      <c r="M438" s="1" t="str">
        <f>IFERROR(ROUNDUP(8*(G438/VLOOKUP(B438,Table2[],5,0)),0),"")</f>
        <v/>
      </c>
      <c r="N438" s="1" t="str">
        <f>IFERROR(ROUNDUP(8*(H438/VLOOKUP(B438,Table2[],5,0)),0),"")</f>
        <v/>
      </c>
    </row>
    <row r="439" spans="2:14" x14ac:dyDescent="0.25">
      <c r="B439" s="76"/>
      <c r="C439" s="74" t="str">
        <f>IFERROR(VLOOKUP(B439,Table2[],2,0),"")</f>
        <v/>
      </c>
      <c r="D439" s="77"/>
      <c r="I439" s="79" t="str">
        <f t="shared" si="6"/>
        <v/>
      </c>
      <c r="J439" s="84" t="str">
        <f>IFERROR(ROUNDUP(8*(I439/VLOOKUP(B439,Table2[],5,0)),0),"")</f>
        <v/>
      </c>
      <c r="K439" s="1" t="str">
        <f>IFERROR(ROUNDUP(8*(E439/VLOOKUP(B439,Table2[],5,0)),0),"")</f>
        <v/>
      </c>
      <c r="L439" s="1" t="str">
        <f>IFERROR(ROUNDUP(8*(F439/VLOOKUP(B439,Table2[],5,0)),0),"")</f>
        <v/>
      </c>
      <c r="M439" s="1" t="str">
        <f>IFERROR(ROUNDUP(8*(G439/VLOOKUP(B439,Table2[],5,0)),0),"")</f>
        <v/>
      </c>
      <c r="N439" s="1" t="str">
        <f>IFERROR(ROUNDUP(8*(H439/VLOOKUP(B439,Table2[],5,0)),0),"")</f>
        <v/>
      </c>
    </row>
    <row r="440" spans="2:14" x14ac:dyDescent="0.25">
      <c r="B440" s="76"/>
      <c r="C440" s="74" t="str">
        <f>IFERROR(VLOOKUP(B440,Table2[],2,0),"")</f>
        <v/>
      </c>
      <c r="D440" s="77"/>
      <c r="I440" s="79" t="str">
        <f t="shared" si="6"/>
        <v/>
      </c>
      <c r="J440" s="84" t="str">
        <f>IFERROR(ROUNDUP(8*(I440/VLOOKUP(B440,Table2[],5,0)),0),"")</f>
        <v/>
      </c>
      <c r="K440" s="1" t="str">
        <f>IFERROR(ROUNDUP(8*(E440/VLOOKUP(B440,Table2[],5,0)),0),"")</f>
        <v/>
      </c>
      <c r="L440" s="1" t="str">
        <f>IFERROR(ROUNDUP(8*(F440/VLOOKUP(B440,Table2[],5,0)),0),"")</f>
        <v/>
      </c>
      <c r="M440" s="1" t="str">
        <f>IFERROR(ROUNDUP(8*(G440/VLOOKUP(B440,Table2[],5,0)),0),"")</f>
        <v/>
      </c>
      <c r="N440" s="1" t="str">
        <f>IFERROR(ROUNDUP(8*(H440/VLOOKUP(B440,Table2[],5,0)),0),"")</f>
        <v/>
      </c>
    </row>
    <row r="441" spans="2:14" x14ac:dyDescent="0.25">
      <c r="B441" s="76"/>
      <c r="C441" s="74" t="str">
        <f>IFERROR(VLOOKUP(B441,Table2[],2,0),"")</f>
        <v/>
      </c>
      <c r="D441" s="77"/>
      <c r="I441" s="79" t="str">
        <f t="shared" si="6"/>
        <v/>
      </c>
      <c r="J441" s="84" t="str">
        <f>IFERROR(ROUNDUP(8*(I441/VLOOKUP(B441,Table2[],5,0)),0),"")</f>
        <v/>
      </c>
      <c r="K441" s="1" t="str">
        <f>IFERROR(ROUNDUP(8*(E441/VLOOKUP(B441,Table2[],5,0)),0),"")</f>
        <v/>
      </c>
      <c r="L441" s="1" t="str">
        <f>IFERROR(ROUNDUP(8*(F441/VLOOKUP(B441,Table2[],5,0)),0),"")</f>
        <v/>
      </c>
      <c r="M441" s="1" t="str">
        <f>IFERROR(ROUNDUP(8*(G441/VLOOKUP(B441,Table2[],5,0)),0),"")</f>
        <v/>
      </c>
      <c r="N441" s="1" t="str">
        <f>IFERROR(ROUNDUP(8*(H441/VLOOKUP(B441,Table2[],5,0)),0),"")</f>
        <v/>
      </c>
    </row>
    <row r="442" spans="2:14" x14ac:dyDescent="0.25">
      <c r="B442" s="76"/>
      <c r="C442" s="74" t="str">
        <f>IFERROR(VLOOKUP(B442,Table2[],2,0),"")</f>
        <v/>
      </c>
      <c r="D442" s="77"/>
      <c r="I442" s="79" t="str">
        <f t="shared" si="6"/>
        <v/>
      </c>
      <c r="J442" s="84" t="str">
        <f>IFERROR(ROUNDUP(8*(I442/VLOOKUP(B442,Table2[],5,0)),0),"")</f>
        <v/>
      </c>
      <c r="K442" s="1" t="str">
        <f>IFERROR(ROUNDUP(8*(E442/VLOOKUP(B442,Table2[],5,0)),0),"")</f>
        <v/>
      </c>
      <c r="L442" s="1" t="str">
        <f>IFERROR(ROUNDUP(8*(F442/VLOOKUP(B442,Table2[],5,0)),0),"")</f>
        <v/>
      </c>
      <c r="M442" s="1" t="str">
        <f>IFERROR(ROUNDUP(8*(G442/VLOOKUP(B442,Table2[],5,0)),0),"")</f>
        <v/>
      </c>
      <c r="N442" s="1" t="str">
        <f>IFERROR(ROUNDUP(8*(H442/VLOOKUP(B442,Table2[],5,0)),0),"")</f>
        <v/>
      </c>
    </row>
    <row r="443" spans="2:14" x14ac:dyDescent="0.25">
      <c r="B443" s="76"/>
      <c r="C443" s="74" t="str">
        <f>IFERROR(VLOOKUP(B443,Table2[],2,0),"")</f>
        <v/>
      </c>
      <c r="D443" s="77"/>
      <c r="I443" s="79" t="str">
        <f t="shared" si="6"/>
        <v/>
      </c>
      <c r="J443" s="84" t="str">
        <f>IFERROR(ROUNDUP(8*(I443/VLOOKUP(B443,Table2[],5,0)),0),"")</f>
        <v/>
      </c>
      <c r="K443" s="1" t="str">
        <f>IFERROR(ROUNDUP(8*(E443/VLOOKUP(B443,Table2[],5,0)),0),"")</f>
        <v/>
      </c>
      <c r="L443" s="1" t="str">
        <f>IFERROR(ROUNDUP(8*(F443/VLOOKUP(B443,Table2[],5,0)),0),"")</f>
        <v/>
      </c>
      <c r="M443" s="1" t="str">
        <f>IFERROR(ROUNDUP(8*(G443/VLOOKUP(B443,Table2[],5,0)),0),"")</f>
        <v/>
      </c>
      <c r="N443" s="1" t="str">
        <f>IFERROR(ROUNDUP(8*(H443/VLOOKUP(B443,Table2[],5,0)),0),"")</f>
        <v/>
      </c>
    </row>
    <row r="444" spans="2:14" x14ac:dyDescent="0.25">
      <c r="B444" s="76"/>
      <c r="C444" s="74" t="str">
        <f>IFERROR(VLOOKUP(B444,Table2[],2,0),"")</f>
        <v/>
      </c>
      <c r="D444" s="77"/>
      <c r="I444" s="79" t="str">
        <f t="shared" si="6"/>
        <v/>
      </c>
      <c r="J444" s="84" t="str">
        <f>IFERROR(ROUNDUP(8*(I444/VLOOKUP(B444,Table2[],5,0)),0),"")</f>
        <v/>
      </c>
      <c r="K444" s="1" t="str">
        <f>IFERROR(ROUNDUP(8*(E444/VLOOKUP(B444,Table2[],5,0)),0),"")</f>
        <v/>
      </c>
      <c r="L444" s="1" t="str">
        <f>IFERROR(ROUNDUP(8*(F444/VLOOKUP(B444,Table2[],5,0)),0),"")</f>
        <v/>
      </c>
      <c r="M444" s="1" t="str">
        <f>IFERROR(ROUNDUP(8*(G444/VLOOKUP(B444,Table2[],5,0)),0),"")</f>
        <v/>
      </c>
      <c r="N444" s="1" t="str">
        <f>IFERROR(ROUNDUP(8*(H444/VLOOKUP(B444,Table2[],5,0)),0),"")</f>
        <v/>
      </c>
    </row>
    <row r="445" spans="2:14" x14ac:dyDescent="0.25">
      <c r="B445" s="76"/>
      <c r="C445" s="74" t="str">
        <f>IFERROR(VLOOKUP(B445,Table2[],2,0),"")</f>
        <v/>
      </c>
      <c r="D445" s="77"/>
      <c r="I445" s="79" t="str">
        <f t="shared" si="6"/>
        <v/>
      </c>
      <c r="J445" s="84" t="str">
        <f>IFERROR(ROUNDUP(8*(I445/VLOOKUP(B445,Table2[],5,0)),0),"")</f>
        <v/>
      </c>
      <c r="K445" s="1" t="str">
        <f>IFERROR(ROUNDUP(8*(E445/VLOOKUP(B445,Table2[],5,0)),0),"")</f>
        <v/>
      </c>
      <c r="L445" s="1" t="str">
        <f>IFERROR(ROUNDUP(8*(F445/VLOOKUP(B445,Table2[],5,0)),0),"")</f>
        <v/>
      </c>
      <c r="M445" s="1" t="str">
        <f>IFERROR(ROUNDUP(8*(G445/VLOOKUP(B445,Table2[],5,0)),0),"")</f>
        <v/>
      </c>
      <c r="N445" s="1" t="str">
        <f>IFERROR(ROUNDUP(8*(H445/VLOOKUP(B445,Table2[],5,0)),0),"")</f>
        <v/>
      </c>
    </row>
    <row r="446" spans="2:14" x14ac:dyDescent="0.25">
      <c r="B446" s="76"/>
      <c r="C446" s="74" t="str">
        <f>IFERROR(VLOOKUP(B446,Table2[],2,0),"")</f>
        <v/>
      </c>
      <c r="D446" s="77"/>
      <c r="I446" s="79" t="str">
        <f t="shared" si="6"/>
        <v/>
      </c>
      <c r="J446" s="84" t="str">
        <f>IFERROR(ROUNDUP(8*(I446/VLOOKUP(B446,Table2[],5,0)),0),"")</f>
        <v/>
      </c>
      <c r="K446" s="1" t="str">
        <f>IFERROR(ROUNDUP(8*(E446/VLOOKUP(B446,Table2[],5,0)),0),"")</f>
        <v/>
      </c>
      <c r="L446" s="1" t="str">
        <f>IFERROR(ROUNDUP(8*(F446/VLOOKUP(B446,Table2[],5,0)),0),"")</f>
        <v/>
      </c>
      <c r="M446" s="1" t="str">
        <f>IFERROR(ROUNDUP(8*(G446/VLOOKUP(B446,Table2[],5,0)),0),"")</f>
        <v/>
      </c>
      <c r="N446" s="1" t="str">
        <f>IFERROR(ROUNDUP(8*(H446/VLOOKUP(B446,Table2[],5,0)),0),"")</f>
        <v/>
      </c>
    </row>
    <row r="447" spans="2:14" x14ac:dyDescent="0.25">
      <c r="B447" s="76"/>
      <c r="C447" s="74" t="str">
        <f>IFERROR(VLOOKUP(B447,Table2[],2,0),"")</f>
        <v/>
      </c>
      <c r="D447" s="77"/>
      <c r="I447" s="79" t="str">
        <f t="shared" si="6"/>
        <v/>
      </c>
      <c r="J447" s="84" t="str">
        <f>IFERROR(ROUNDUP(8*(I447/VLOOKUP(B447,Table2[],5,0)),0),"")</f>
        <v/>
      </c>
      <c r="K447" s="1" t="str">
        <f>IFERROR(ROUNDUP(8*(E447/VLOOKUP(B447,Table2[],5,0)),0),"")</f>
        <v/>
      </c>
      <c r="L447" s="1" t="str">
        <f>IFERROR(ROUNDUP(8*(F447/VLOOKUP(B447,Table2[],5,0)),0),"")</f>
        <v/>
      </c>
      <c r="M447" s="1" t="str">
        <f>IFERROR(ROUNDUP(8*(G447/VLOOKUP(B447,Table2[],5,0)),0),"")</f>
        <v/>
      </c>
      <c r="N447" s="1" t="str">
        <f>IFERROR(ROUNDUP(8*(H447/VLOOKUP(B447,Table2[],5,0)),0),"")</f>
        <v/>
      </c>
    </row>
    <row r="448" spans="2:14" x14ac:dyDescent="0.25">
      <c r="B448" s="76"/>
      <c r="C448" s="74" t="str">
        <f>IFERROR(VLOOKUP(B448,Table2[],2,0),"")</f>
        <v/>
      </c>
      <c r="D448" s="77"/>
      <c r="I448" s="79" t="str">
        <f t="shared" si="6"/>
        <v/>
      </c>
      <c r="J448" s="84" t="str">
        <f>IFERROR(ROUNDUP(8*(I448/VLOOKUP(B448,Table2[],5,0)),0),"")</f>
        <v/>
      </c>
      <c r="K448" s="1" t="str">
        <f>IFERROR(ROUNDUP(8*(E448/VLOOKUP(B448,Table2[],5,0)),0),"")</f>
        <v/>
      </c>
      <c r="L448" s="1" t="str">
        <f>IFERROR(ROUNDUP(8*(F448/VLOOKUP(B448,Table2[],5,0)),0),"")</f>
        <v/>
      </c>
      <c r="M448" s="1" t="str">
        <f>IFERROR(ROUNDUP(8*(G448/VLOOKUP(B448,Table2[],5,0)),0),"")</f>
        <v/>
      </c>
      <c r="N448" s="1" t="str">
        <f>IFERROR(ROUNDUP(8*(H448/VLOOKUP(B448,Table2[],5,0)),0),"")</f>
        <v/>
      </c>
    </row>
    <row r="449" spans="2:14" x14ac:dyDescent="0.25">
      <c r="B449" s="76"/>
      <c r="C449" s="74" t="str">
        <f>IFERROR(VLOOKUP(B449,Table2[],2,0),"")</f>
        <v/>
      </c>
      <c r="D449" s="77"/>
      <c r="I449" s="79" t="str">
        <f t="shared" si="6"/>
        <v/>
      </c>
      <c r="J449" s="84" t="str">
        <f>IFERROR(ROUNDUP(8*(I449/VLOOKUP(B449,Table2[],5,0)),0),"")</f>
        <v/>
      </c>
      <c r="K449" s="1" t="str">
        <f>IFERROR(ROUNDUP(8*(E449/VLOOKUP(B449,Table2[],5,0)),0),"")</f>
        <v/>
      </c>
      <c r="L449" s="1" t="str">
        <f>IFERROR(ROUNDUP(8*(F449/VLOOKUP(B449,Table2[],5,0)),0),"")</f>
        <v/>
      </c>
      <c r="M449" s="1" t="str">
        <f>IFERROR(ROUNDUP(8*(G449/VLOOKUP(B449,Table2[],5,0)),0),"")</f>
        <v/>
      </c>
      <c r="N449" s="1" t="str">
        <f>IFERROR(ROUNDUP(8*(H449/VLOOKUP(B449,Table2[],5,0)),0),"")</f>
        <v/>
      </c>
    </row>
    <row r="450" spans="2:14" x14ac:dyDescent="0.25">
      <c r="B450" s="76"/>
      <c r="C450" s="74" t="str">
        <f>IFERROR(VLOOKUP(B450,Table2[],2,0),"")</f>
        <v/>
      </c>
      <c r="D450" s="77"/>
      <c r="I450" s="79" t="str">
        <f t="shared" si="6"/>
        <v/>
      </c>
      <c r="J450" s="84" t="str">
        <f>IFERROR(ROUNDUP(8*(I450/VLOOKUP(B450,Table2[],5,0)),0),"")</f>
        <v/>
      </c>
      <c r="K450" s="1" t="str">
        <f>IFERROR(ROUNDUP(8*(E450/VLOOKUP(B450,Table2[],5,0)),0),"")</f>
        <v/>
      </c>
      <c r="L450" s="1" t="str">
        <f>IFERROR(ROUNDUP(8*(F450/VLOOKUP(B450,Table2[],5,0)),0),"")</f>
        <v/>
      </c>
      <c r="M450" s="1" t="str">
        <f>IFERROR(ROUNDUP(8*(G450/VLOOKUP(B450,Table2[],5,0)),0),"")</f>
        <v/>
      </c>
      <c r="N450" s="1" t="str">
        <f>IFERROR(ROUNDUP(8*(H450/VLOOKUP(B450,Table2[],5,0)),0),"")</f>
        <v/>
      </c>
    </row>
    <row r="451" spans="2:14" x14ac:dyDescent="0.25">
      <c r="B451" s="76"/>
      <c r="C451" s="74" t="str">
        <f>IFERROR(VLOOKUP(B451,Table2[],2,0),"")</f>
        <v/>
      </c>
      <c r="D451" s="77"/>
      <c r="I451" s="79" t="str">
        <f t="shared" si="6"/>
        <v/>
      </c>
      <c r="J451" s="84" t="str">
        <f>IFERROR(ROUNDUP(8*(I451/VLOOKUP(B451,Table2[],5,0)),0),"")</f>
        <v/>
      </c>
      <c r="K451" s="1" t="str">
        <f>IFERROR(ROUNDUP(8*(E451/VLOOKUP(B451,Table2[],5,0)),0),"")</f>
        <v/>
      </c>
      <c r="L451" s="1" t="str">
        <f>IFERROR(ROUNDUP(8*(F451/VLOOKUP(B451,Table2[],5,0)),0),"")</f>
        <v/>
      </c>
      <c r="M451" s="1" t="str">
        <f>IFERROR(ROUNDUP(8*(G451/VLOOKUP(B451,Table2[],5,0)),0),"")</f>
        <v/>
      </c>
      <c r="N451" s="1" t="str">
        <f>IFERROR(ROUNDUP(8*(H451/VLOOKUP(B451,Table2[],5,0)),0),"")</f>
        <v/>
      </c>
    </row>
    <row r="452" spans="2:14" x14ac:dyDescent="0.25">
      <c r="B452" s="76"/>
      <c r="C452" s="74" t="str">
        <f>IFERROR(VLOOKUP(B452,Table2[],2,0),"")</f>
        <v/>
      </c>
      <c r="D452" s="77"/>
      <c r="I452" s="79" t="str">
        <f t="shared" si="6"/>
        <v/>
      </c>
      <c r="J452" s="84" t="str">
        <f>IFERROR(ROUNDUP(8*(I452/VLOOKUP(B452,Table2[],5,0)),0),"")</f>
        <v/>
      </c>
      <c r="K452" s="1" t="str">
        <f>IFERROR(ROUNDUP(8*(E452/VLOOKUP(B452,Table2[],5,0)),0),"")</f>
        <v/>
      </c>
      <c r="L452" s="1" t="str">
        <f>IFERROR(ROUNDUP(8*(F452/VLOOKUP(B452,Table2[],5,0)),0),"")</f>
        <v/>
      </c>
      <c r="M452" s="1" t="str">
        <f>IFERROR(ROUNDUP(8*(G452/VLOOKUP(B452,Table2[],5,0)),0),"")</f>
        <v/>
      </c>
      <c r="N452" s="1" t="str">
        <f>IFERROR(ROUNDUP(8*(H452/VLOOKUP(B452,Table2[],5,0)),0),"")</f>
        <v/>
      </c>
    </row>
    <row r="453" spans="2:14" x14ac:dyDescent="0.25">
      <c r="B453" s="76"/>
      <c r="C453" s="74" t="str">
        <f>IFERROR(VLOOKUP(B453,Table2[],2,0),"")</f>
        <v/>
      </c>
      <c r="D453" s="77"/>
      <c r="I453" s="79" t="str">
        <f t="shared" si="6"/>
        <v/>
      </c>
      <c r="J453" s="84" t="str">
        <f>IFERROR(ROUNDUP(8*(I453/VLOOKUP(B453,Table2[],5,0)),0),"")</f>
        <v/>
      </c>
      <c r="K453" s="1" t="str">
        <f>IFERROR(ROUNDUP(8*(E453/VLOOKUP(B453,Table2[],5,0)),0),"")</f>
        <v/>
      </c>
      <c r="L453" s="1" t="str">
        <f>IFERROR(ROUNDUP(8*(F453/VLOOKUP(B453,Table2[],5,0)),0),"")</f>
        <v/>
      </c>
      <c r="M453" s="1" t="str">
        <f>IFERROR(ROUNDUP(8*(G453/VLOOKUP(B453,Table2[],5,0)),0),"")</f>
        <v/>
      </c>
      <c r="N453" s="1" t="str">
        <f>IFERROR(ROUNDUP(8*(H453/VLOOKUP(B453,Table2[],5,0)),0),"")</f>
        <v/>
      </c>
    </row>
    <row r="454" spans="2:14" x14ac:dyDescent="0.25">
      <c r="B454" s="76"/>
      <c r="C454" s="74" t="str">
        <f>IFERROR(VLOOKUP(B454,Table2[],2,0),"")</f>
        <v/>
      </c>
      <c r="D454" s="77"/>
      <c r="I454" s="79" t="str">
        <f t="shared" si="6"/>
        <v/>
      </c>
      <c r="J454" s="84" t="str">
        <f>IFERROR(ROUNDUP(8*(I454/VLOOKUP(B454,Table2[],5,0)),0),"")</f>
        <v/>
      </c>
      <c r="K454" s="1" t="str">
        <f>IFERROR(ROUNDUP(8*(E454/VLOOKUP(B454,Table2[],5,0)),0),"")</f>
        <v/>
      </c>
      <c r="L454" s="1" t="str">
        <f>IFERROR(ROUNDUP(8*(F454/VLOOKUP(B454,Table2[],5,0)),0),"")</f>
        <v/>
      </c>
      <c r="M454" s="1" t="str">
        <f>IFERROR(ROUNDUP(8*(G454/VLOOKUP(B454,Table2[],5,0)),0),"")</f>
        <v/>
      </c>
      <c r="N454" s="1" t="str">
        <f>IFERROR(ROUNDUP(8*(H454/VLOOKUP(B454,Table2[],5,0)),0),"")</f>
        <v/>
      </c>
    </row>
    <row r="455" spans="2:14" x14ac:dyDescent="0.25">
      <c r="B455" s="76"/>
      <c r="C455" s="74" t="str">
        <f>IFERROR(VLOOKUP(B455,Table2[],2,0),"")</f>
        <v/>
      </c>
      <c r="D455" s="77"/>
      <c r="I455" s="79" t="str">
        <f t="shared" ref="I455:I500" si="7">IF(B455="","",SUM(E455:H455))</f>
        <v/>
      </c>
      <c r="J455" s="84" t="str">
        <f>IFERROR(ROUNDUP(8*(I455/VLOOKUP(B455,Table2[],5,0)),0),"")</f>
        <v/>
      </c>
      <c r="K455" s="1" t="str">
        <f>IFERROR(ROUNDUP(8*(E455/VLOOKUP(B455,Table2[],5,0)),0),"")</f>
        <v/>
      </c>
      <c r="L455" s="1" t="str">
        <f>IFERROR(ROUNDUP(8*(F455/VLOOKUP(B455,Table2[],5,0)),0),"")</f>
        <v/>
      </c>
      <c r="M455" s="1" t="str">
        <f>IFERROR(ROUNDUP(8*(G455/VLOOKUP(B455,Table2[],5,0)),0),"")</f>
        <v/>
      </c>
      <c r="N455" s="1" t="str">
        <f>IFERROR(ROUNDUP(8*(H455/VLOOKUP(B455,Table2[],5,0)),0),"")</f>
        <v/>
      </c>
    </row>
    <row r="456" spans="2:14" x14ac:dyDescent="0.25">
      <c r="B456" s="76"/>
      <c r="C456" s="74" t="str">
        <f>IFERROR(VLOOKUP(B456,Table2[],2,0),"")</f>
        <v/>
      </c>
      <c r="D456" s="77"/>
      <c r="I456" s="79" t="str">
        <f t="shared" si="7"/>
        <v/>
      </c>
      <c r="J456" s="84" t="str">
        <f>IFERROR(ROUNDUP(8*(I456/VLOOKUP(B456,Table2[],5,0)),0),"")</f>
        <v/>
      </c>
      <c r="K456" s="1" t="str">
        <f>IFERROR(ROUNDUP(8*(E456/VLOOKUP(B456,Table2[],5,0)),0),"")</f>
        <v/>
      </c>
      <c r="L456" s="1" t="str">
        <f>IFERROR(ROUNDUP(8*(F456/VLOOKUP(B456,Table2[],5,0)),0),"")</f>
        <v/>
      </c>
      <c r="M456" s="1" t="str">
        <f>IFERROR(ROUNDUP(8*(G456/VLOOKUP(B456,Table2[],5,0)),0),"")</f>
        <v/>
      </c>
      <c r="N456" s="1" t="str">
        <f>IFERROR(ROUNDUP(8*(H456/VLOOKUP(B456,Table2[],5,0)),0),"")</f>
        <v/>
      </c>
    </row>
    <row r="457" spans="2:14" x14ac:dyDescent="0.25">
      <c r="B457" s="76"/>
      <c r="C457" s="74" t="str">
        <f>IFERROR(VLOOKUP(B457,Table2[],2,0),"")</f>
        <v/>
      </c>
      <c r="D457" s="77"/>
      <c r="I457" s="79" t="str">
        <f t="shared" si="7"/>
        <v/>
      </c>
      <c r="J457" s="84" t="str">
        <f>IFERROR(ROUNDUP(8*(I457/VLOOKUP(B457,Table2[],5,0)),0),"")</f>
        <v/>
      </c>
      <c r="K457" s="1" t="str">
        <f>IFERROR(ROUNDUP(8*(E457/VLOOKUP(B457,Table2[],5,0)),0),"")</f>
        <v/>
      </c>
      <c r="L457" s="1" t="str">
        <f>IFERROR(ROUNDUP(8*(F457/VLOOKUP(B457,Table2[],5,0)),0),"")</f>
        <v/>
      </c>
      <c r="M457" s="1" t="str">
        <f>IFERROR(ROUNDUP(8*(G457/VLOOKUP(B457,Table2[],5,0)),0),"")</f>
        <v/>
      </c>
      <c r="N457" s="1" t="str">
        <f>IFERROR(ROUNDUP(8*(H457/VLOOKUP(B457,Table2[],5,0)),0),"")</f>
        <v/>
      </c>
    </row>
    <row r="458" spans="2:14" x14ac:dyDescent="0.25">
      <c r="B458" s="76"/>
      <c r="C458" s="74" t="str">
        <f>IFERROR(VLOOKUP(B458,Table2[],2,0),"")</f>
        <v/>
      </c>
      <c r="D458" s="77"/>
      <c r="I458" s="79" t="str">
        <f t="shared" si="7"/>
        <v/>
      </c>
      <c r="J458" s="84" t="str">
        <f>IFERROR(ROUNDUP(8*(I458/VLOOKUP(B458,Table2[],5,0)),0),"")</f>
        <v/>
      </c>
      <c r="K458" s="1" t="str">
        <f>IFERROR(ROUNDUP(8*(E458/VLOOKUP(B458,Table2[],5,0)),0),"")</f>
        <v/>
      </c>
      <c r="L458" s="1" t="str">
        <f>IFERROR(ROUNDUP(8*(F458/VLOOKUP(B458,Table2[],5,0)),0),"")</f>
        <v/>
      </c>
      <c r="M458" s="1" t="str">
        <f>IFERROR(ROUNDUP(8*(G458/VLOOKUP(B458,Table2[],5,0)),0),"")</f>
        <v/>
      </c>
      <c r="N458" s="1" t="str">
        <f>IFERROR(ROUNDUP(8*(H458/VLOOKUP(B458,Table2[],5,0)),0),"")</f>
        <v/>
      </c>
    </row>
    <row r="459" spans="2:14" x14ac:dyDescent="0.25">
      <c r="B459" s="76"/>
      <c r="C459" s="74" t="str">
        <f>IFERROR(VLOOKUP(B459,Table2[],2,0),"")</f>
        <v/>
      </c>
      <c r="D459" s="77"/>
      <c r="I459" s="79" t="str">
        <f t="shared" si="7"/>
        <v/>
      </c>
      <c r="J459" s="84" t="str">
        <f>IFERROR(ROUNDUP(8*(I459/VLOOKUP(B459,Table2[],5,0)),0),"")</f>
        <v/>
      </c>
      <c r="K459" s="1" t="str">
        <f>IFERROR(ROUNDUP(8*(E459/VLOOKUP(B459,Table2[],5,0)),0),"")</f>
        <v/>
      </c>
      <c r="L459" s="1" t="str">
        <f>IFERROR(ROUNDUP(8*(F459/VLOOKUP(B459,Table2[],5,0)),0),"")</f>
        <v/>
      </c>
      <c r="M459" s="1" t="str">
        <f>IFERROR(ROUNDUP(8*(G459/VLOOKUP(B459,Table2[],5,0)),0),"")</f>
        <v/>
      </c>
      <c r="N459" s="1" t="str">
        <f>IFERROR(ROUNDUP(8*(H459/VLOOKUP(B459,Table2[],5,0)),0),"")</f>
        <v/>
      </c>
    </row>
    <row r="460" spans="2:14" x14ac:dyDescent="0.25">
      <c r="B460" s="76"/>
      <c r="C460" s="74" t="str">
        <f>IFERROR(VLOOKUP(B460,Table2[],2,0),"")</f>
        <v/>
      </c>
      <c r="D460" s="77"/>
      <c r="I460" s="79" t="str">
        <f t="shared" si="7"/>
        <v/>
      </c>
      <c r="J460" s="84" t="str">
        <f>IFERROR(ROUNDUP(8*(I460/VLOOKUP(B460,Table2[],5,0)),0),"")</f>
        <v/>
      </c>
      <c r="K460" s="1" t="str">
        <f>IFERROR(ROUNDUP(8*(E460/VLOOKUP(B460,Table2[],5,0)),0),"")</f>
        <v/>
      </c>
      <c r="L460" s="1" t="str">
        <f>IFERROR(ROUNDUP(8*(F460/VLOOKUP(B460,Table2[],5,0)),0),"")</f>
        <v/>
      </c>
      <c r="M460" s="1" t="str">
        <f>IFERROR(ROUNDUP(8*(G460/VLOOKUP(B460,Table2[],5,0)),0),"")</f>
        <v/>
      </c>
      <c r="N460" s="1" t="str">
        <f>IFERROR(ROUNDUP(8*(H460/VLOOKUP(B460,Table2[],5,0)),0),"")</f>
        <v/>
      </c>
    </row>
    <row r="461" spans="2:14" x14ac:dyDescent="0.25">
      <c r="B461" s="76"/>
      <c r="C461" s="74" t="str">
        <f>IFERROR(VLOOKUP(B461,Table2[],2,0),"")</f>
        <v/>
      </c>
      <c r="D461" s="77"/>
      <c r="I461" s="79" t="str">
        <f t="shared" si="7"/>
        <v/>
      </c>
      <c r="J461" s="84" t="str">
        <f>IFERROR(ROUNDUP(8*(I461/VLOOKUP(B461,Table2[],5,0)),0),"")</f>
        <v/>
      </c>
      <c r="K461" s="1" t="str">
        <f>IFERROR(ROUNDUP(8*(E461/VLOOKUP(B461,Table2[],5,0)),0),"")</f>
        <v/>
      </c>
      <c r="L461" s="1" t="str">
        <f>IFERROR(ROUNDUP(8*(F461/VLOOKUP(B461,Table2[],5,0)),0),"")</f>
        <v/>
      </c>
      <c r="M461" s="1" t="str">
        <f>IFERROR(ROUNDUP(8*(G461/VLOOKUP(B461,Table2[],5,0)),0),"")</f>
        <v/>
      </c>
      <c r="N461" s="1" t="str">
        <f>IFERROR(ROUNDUP(8*(H461/VLOOKUP(B461,Table2[],5,0)),0),"")</f>
        <v/>
      </c>
    </row>
    <row r="462" spans="2:14" x14ac:dyDescent="0.25">
      <c r="B462" s="76"/>
      <c r="C462" s="74" t="str">
        <f>IFERROR(VLOOKUP(B462,Table2[],2,0),"")</f>
        <v/>
      </c>
      <c r="D462" s="77"/>
      <c r="I462" s="79" t="str">
        <f t="shared" si="7"/>
        <v/>
      </c>
      <c r="J462" s="84" t="str">
        <f>IFERROR(ROUNDUP(8*(I462/VLOOKUP(B462,Table2[],5,0)),0),"")</f>
        <v/>
      </c>
      <c r="K462" s="1" t="str">
        <f>IFERROR(ROUNDUP(8*(E462/VLOOKUP(B462,Table2[],5,0)),0),"")</f>
        <v/>
      </c>
      <c r="L462" s="1" t="str">
        <f>IFERROR(ROUNDUP(8*(F462/VLOOKUP(B462,Table2[],5,0)),0),"")</f>
        <v/>
      </c>
      <c r="M462" s="1" t="str">
        <f>IFERROR(ROUNDUP(8*(G462/VLOOKUP(B462,Table2[],5,0)),0),"")</f>
        <v/>
      </c>
      <c r="N462" s="1" t="str">
        <f>IFERROR(ROUNDUP(8*(H462/VLOOKUP(B462,Table2[],5,0)),0),"")</f>
        <v/>
      </c>
    </row>
    <row r="463" spans="2:14" x14ac:dyDescent="0.25">
      <c r="B463" s="76"/>
      <c r="C463" s="74" t="str">
        <f>IFERROR(VLOOKUP(B463,Table2[],2,0),"")</f>
        <v/>
      </c>
      <c r="D463" s="77"/>
      <c r="I463" s="79" t="str">
        <f t="shared" si="7"/>
        <v/>
      </c>
      <c r="J463" s="84" t="str">
        <f>IFERROR(ROUNDUP(8*(I463/VLOOKUP(B463,Table2[],5,0)),0),"")</f>
        <v/>
      </c>
      <c r="K463" s="1" t="str">
        <f>IFERROR(ROUNDUP(8*(E463/VLOOKUP(B463,Table2[],5,0)),0),"")</f>
        <v/>
      </c>
      <c r="L463" s="1" t="str">
        <f>IFERROR(ROUNDUP(8*(F463/VLOOKUP(B463,Table2[],5,0)),0),"")</f>
        <v/>
      </c>
      <c r="M463" s="1" t="str">
        <f>IFERROR(ROUNDUP(8*(G463/VLOOKUP(B463,Table2[],5,0)),0),"")</f>
        <v/>
      </c>
      <c r="N463" s="1" t="str">
        <f>IFERROR(ROUNDUP(8*(H463/VLOOKUP(B463,Table2[],5,0)),0),"")</f>
        <v/>
      </c>
    </row>
    <row r="464" spans="2:14" x14ac:dyDescent="0.25">
      <c r="B464" s="76"/>
      <c r="C464" s="74" t="str">
        <f>IFERROR(VLOOKUP(B464,Table2[],2,0),"")</f>
        <v/>
      </c>
      <c r="D464" s="77"/>
      <c r="I464" s="79" t="str">
        <f t="shared" si="7"/>
        <v/>
      </c>
      <c r="J464" s="84" t="str">
        <f>IFERROR(ROUNDUP(8*(I464/VLOOKUP(B464,Table2[],5,0)),0),"")</f>
        <v/>
      </c>
      <c r="K464" s="1" t="str">
        <f>IFERROR(ROUNDUP(8*(E464/VLOOKUP(B464,Table2[],5,0)),0),"")</f>
        <v/>
      </c>
      <c r="L464" s="1" t="str">
        <f>IFERROR(ROUNDUP(8*(F464/VLOOKUP(B464,Table2[],5,0)),0),"")</f>
        <v/>
      </c>
      <c r="M464" s="1" t="str">
        <f>IFERROR(ROUNDUP(8*(G464/VLOOKUP(B464,Table2[],5,0)),0),"")</f>
        <v/>
      </c>
      <c r="N464" s="1" t="str">
        <f>IFERROR(ROUNDUP(8*(H464/VLOOKUP(B464,Table2[],5,0)),0),"")</f>
        <v/>
      </c>
    </row>
    <row r="465" spans="2:14" x14ac:dyDescent="0.25">
      <c r="B465" s="76"/>
      <c r="C465" s="74" t="str">
        <f>IFERROR(VLOOKUP(B465,Table2[],2,0),"")</f>
        <v/>
      </c>
      <c r="D465" s="77"/>
      <c r="I465" s="79" t="str">
        <f t="shared" si="7"/>
        <v/>
      </c>
      <c r="J465" s="84" t="str">
        <f>IFERROR(ROUNDUP(8*(I465/VLOOKUP(B465,Table2[],5,0)),0),"")</f>
        <v/>
      </c>
      <c r="K465" s="1" t="str">
        <f>IFERROR(ROUNDUP(8*(E465/VLOOKUP(B465,Table2[],5,0)),0),"")</f>
        <v/>
      </c>
      <c r="L465" s="1" t="str">
        <f>IFERROR(ROUNDUP(8*(F465/VLOOKUP(B465,Table2[],5,0)),0),"")</f>
        <v/>
      </c>
      <c r="M465" s="1" t="str">
        <f>IFERROR(ROUNDUP(8*(G465/VLOOKUP(B465,Table2[],5,0)),0),"")</f>
        <v/>
      </c>
      <c r="N465" s="1" t="str">
        <f>IFERROR(ROUNDUP(8*(H465/VLOOKUP(B465,Table2[],5,0)),0),"")</f>
        <v/>
      </c>
    </row>
    <row r="466" spans="2:14" x14ac:dyDescent="0.25">
      <c r="B466" s="76"/>
      <c r="C466" s="74" t="str">
        <f>IFERROR(VLOOKUP(B466,Table2[],2,0),"")</f>
        <v/>
      </c>
      <c r="D466" s="77"/>
      <c r="I466" s="79" t="str">
        <f t="shared" si="7"/>
        <v/>
      </c>
      <c r="J466" s="84" t="str">
        <f>IFERROR(ROUNDUP(8*(I466/VLOOKUP(B466,Table2[],5,0)),0),"")</f>
        <v/>
      </c>
      <c r="K466" s="1" t="str">
        <f>IFERROR(ROUNDUP(8*(E466/VLOOKUP(B466,Table2[],5,0)),0),"")</f>
        <v/>
      </c>
      <c r="L466" s="1" t="str">
        <f>IFERROR(ROUNDUP(8*(F466/VLOOKUP(B466,Table2[],5,0)),0),"")</f>
        <v/>
      </c>
      <c r="M466" s="1" t="str">
        <f>IFERROR(ROUNDUP(8*(G466/VLOOKUP(B466,Table2[],5,0)),0),"")</f>
        <v/>
      </c>
      <c r="N466" s="1" t="str">
        <f>IFERROR(ROUNDUP(8*(H466/VLOOKUP(B466,Table2[],5,0)),0),"")</f>
        <v/>
      </c>
    </row>
    <row r="467" spans="2:14" x14ac:dyDescent="0.25">
      <c r="B467" s="76"/>
      <c r="C467" s="74" t="str">
        <f>IFERROR(VLOOKUP(B467,Table2[],2,0),"")</f>
        <v/>
      </c>
      <c r="D467" s="77"/>
      <c r="I467" s="79" t="str">
        <f t="shared" si="7"/>
        <v/>
      </c>
      <c r="J467" s="84" t="str">
        <f>IFERROR(ROUNDUP(8*(I467/VLOOKUP(B467,Table2[],5,0)),0),"")</f>
        <v/>
      </c>
      <c r="K467" s="1" t="str">
        <f>IFERROR(ROUNDUP(8*(E467/VLOOKUP(B467,Table2[],5,0)),0),"")</f>
        <v/>
      </c>
      <c r="L467" s="1" t="str">
        <f>IFERROR(ROUNDUP(8*(F467/VLOOKUP(B467,Table2[],5,0)),0),"")</f>
        <v/>
      </c>
      <c r="M467" s="1" t="str">
        <f>IFERROR(ROUNDUP(8*(G467/VLOOKUP(B467,Table2[],5,0)),0),"")</f>
        <v/>
      </c>
      <c r="N467" s="1" t="str">
        <f>IFERROR(ROUNDUP(8*(H467/VLOOKUP(B467,Table2[],5,0)),0),"")</f>
        <v/>
      </c>
    </row>
    <row r="468" spans="2:14" x14ac:dyDescent="0.25">
      <c r="B468" s="76"/>
      <c r="C468" s="74" t="str">
        <f>IFERROR(VLOOKUP(B468,Table2[],2,0),"")</f>
        <v/>
      </c>
      <c r="D468" s="77"/>
      <c r="I468" s="79" t="str">
        <f t="shared" si="7"/>
        <v/>
      </c>
      <c r="J468" s="84" t="str">
        <f>IFERROR(ROUNDUP(8*(I468/VLOOKUP(B468,Table2[],5,0)),0),"")</f>
        <v/>
      </c>
      <c r="K468" s="1" t="str">
        <f>IFERROR(ROUNDUP(8*(E468/VLOOKUP(B468,Table2[],5,0)),0),"")</f>
        <v/>
      </c>
      <c r="L468" s="1" t="str">
        <f>IFERROR(ROUNDUP(8*(F468/VLOOKUP(B468,Table2[],5,0)),0),"")</f>
        <v/>
      </c>
      <c r="M468" s="1" t="str">
        <f>IFERROR(ROUNDUP(8*(G468/VLOOKUP(B468,Table2[],5,0)),0),"")</f>
        <v/>
      </c>
      <c r="N468" s="1" t="str">
        <f>IFERROR(ROUNDUP(8*(H468/VLOOKUP(B468,Table2[],5,0)),0),"")</f>
        <v/>
      </c>
    </row>
    <row r="469" spans="2:14" x14ac:dyDescent="0.25">
      <c r="B469" s="76"/>
      <c r="C469" s="74" t="str">
        <f>IFERROR(VLOOKUP(B469,Table2[],2,0),"")</f>
        <v/>
      </c>
      <c r="D469" s="77"/>
      <c r="I469" s="79" t="str">
        <f t="shared" si="7"/>
        <v/>
      </c>
      <c r="J469" s="84" t="str">
        <f>IFERROR(ROUNDUP(8*(I469/VLOOKUP(B469,Table2[],5,0)),0),"")</f>
        <v/>
      </c>
      <c r="K469" s="1" t="str">
        <f>IFERROR(ROUNDUP(8*(E469/VLOOKUP(B469,Table2[],5,0)),0),"")</f>
        <v/>
      </c>
      <c r="L469" s="1" t="str">
        <f>IFERROR(ROUNDUP(8*(F469/VLOOKUP(B469,Table2[],5,0)),0),"")</f>
        <v/>
      </c>
      <c r="M469" s="1" t="str">
        <f>IFERROR(ROUNDUP(8*(G469/VLOOKUP(B469,Table2[],5,0)),0),"")</f>
        <v/>
      </c>
      <c r="N469" s="1" t="str">
        <f>IFERROR(ROUNDUP(8*(H469/VLOOKUP(B469,Table2[],5,0)),0),"")</f>
        <v/>
      </c>
    </row>
    <row r="470" spans="2:14" x14ac:dyDescent="0.25">
      <c r="B470" s="76"/>
      <c r="C470" s="74" t="str">
        <f>IFERROR(VLOOKUP(B470,Table2[],2,0),"")</f>
        <v/>
      </c>
      <c r="D470" s="77"/>
      <c r="I470" s="79" t="str">
        <f t="shared" si="7"/>
        <v/>
      </c>
      <c r="J470" s="84" t="str">
        <f>IFERROR(ROUNDUP(8*(I470/VLOOKUP(B470,Table2[],5,0)),0),"")</f>
        <v/>
      </c>
      <c r="K470" s="1" t="str">
        <f>IFERROR(ROUNDUP(8*(E470/VLOOKUP(B470,Table2[],5,0)),0),"")</f>
        <v/>
      </c>
      <c r="L470" s="1" t="str">
        <f>IFERROR(ROUNDUP(8*(F470/VLOOKUP(B470,Table2[],5,0)),0),"")</f>
        <v/>
      </c>
      <c r="M470" s="1" t="str">
        <f>IFERROR(ROUNDUP(8*(G470/VLOOKUP(B470,Table2[],5,0)),0),"")</f>
        <v/>
      </c>
      <c r="N470" s="1" t="str">
        <f>IFERROR(ROUNDUP(8*(H470/VLOOKUP(B470,Table2[],5,0)),0),"")</f>
        <v/>
      </c>
    </row>
    <row r="471" spans="2:14" x14ac:dyDescent="0.25">
      <c r="B471" s="76"/>
      <c r="C471" s="74" t="str">
        <f>IFERROR(VLOOKUP(B471,Table2[],2,0),"")</f>
        <v/>
      </c>
      <c r="D471" s="77"/>
      <c r="I471" s="79" t="str">
        <f t="shared" si="7"/>
        <v/>
      </c>
      <c r="J471" s="84" t="str">
        <f>IFERROR(ROUNDUP(8*(I471/VLOOKUP(B471,Table2[],5,0)),0),"")</f>
        <v/>
      </c>
      <c r="K471" s="1" t="str">
        <f>IFERROR(ROUNDUP(8*(E471/VLOOKUP(B471,Table2[],5,0)),0),"")</f>
        <v/>
      </c>
      <c r="L471" s="1" t="str">
        <f>IFERROR(ROUNDUP(8*(F471/VLOOKUP(B471,Table2[],5,0)),0),"")</f>
        <v/>
      </c>
      <c r="M471" s="1" t="str">
        <f>IFERROR(ROUNDUP(8*(G471/VLOOKUP(B471,Table2[],5,0)),0),"")</f>
        <v/>
      </c>
      <c r="N471" s="1" t="str">
        <f>IFERROR(ROUNDUP(8*(H471/VLOOKUP(B471,Table2[],5,0)),0),"")</f>
        <v/>
      </c>
    </row>
    <row r="472" spans="2:14" x14ac:dyDescent="0.25">
      <c r="B472" s="76"/>
      <c r="C472" s="74" t="str">
        <f>IFERROR(VLOOKUP(B472,Table2[],2,0),"")</f>
        <v/>
      </c>
      <c r="D472" s="77"/>
      <c r="I472" s="79" t="str">
        <f t="shared" si="7"/>
        <v/>
      </c>
      <c r="J472" s="84" t="str">
        <f>IFERROR(ROUNDUP(8*(I472/VLOOKUP(B472,Table2[],5,0)),0),"")</f>
        <v/>
      </c>
      <c r="K472" s="1" t="str">
        <f>IFERROR(ROUNDUP(8*(E472/VLOOKUP(B472,Table2[],5,0)),0),"")</f>
        <v/>
      </c>
      <c r="L472" s="1" t="str">
        <f>IFERROR(ROUNDUP(8*(F472/VLOOKUP(B472,Table2[],5,0)),0),"")</f>
        <v/>
      </c>
      <c r="M472" s="1" t="str">
        <f>IFERROR(ROUNDUP(8*(G472/VLOOKUP(B472,Table2[],5,0)),0),"")</f>
        <v/>
      </c>
      <c r="N472" s="1" t="str">
        <f>IFERROR(ROUNDUP(8*(H472/VLOOKUP(B472,Table2[],5,0)),0),"")</f>
        <v/>
      </c>
    </row>
    <row r="473" spans="2:14" x14ac:dyDescent="0.25">
      <c r="B473" s="76"/>
      <c r="C473" s="74" t="str">
        <f>IFERROR(VLOOKUP(B473,Table2[],2,0),"")</f>
        <v/>
      </c>
      <c r="D473" s="77"/>
      <c r="I473" s="79" t="str">
        <f t="shared" si="7"/>
        <v/>
      </c>
      <c r="J473" s="84" t="str">
        <f>IFERROR(ROUNDUP(8*(I473/VLOOKUP(B473,Table2[],5,0)),0),"")</f>
        <v/>
      </c>
      <c r="K473" s="1" t="str">
        <f>IFERROR(ROUNDUP(8*(E473/VLOOKUP(B473,Table2[],5,0)),0),"")</f>
        <v/>
      </c>
      <c r="L473" s="1" t="str">
        <f>IFERROR(ROUNDUP(8*(F473/VLOOKUP(B473,Table2[],5,0)),0),"")</f>
        <v/>
      </c>
      <c r="M473" s="1" t="str">
        <f>IFERROR(ROUNDUP(8*(G473/VLOOKUP(B473,Table2[],5,0)),0),"")</f>
        <v/>
      </c>
      <c r="N473" s="1" t="str">
        <f>IFERROR(ROUNDUP(8*(H473/VLOOKUP(B473,Table2[],5,0)),0),"")</f>
        <v/>
      </c>
    </row>
    <row r="474" spans="2:14" x14ac:dyDescent="0.25">
      <c r="B474" s="76"/>
      <c r="C474" s="74" t="str">
        <f>IFERROR(VLOOKUP(B474,Table2[],2,0),"")</f>
        <v/>
      </c>
      <c r="D474" s="77"/>
      <c r="I474" s="79" t="str">
        <f t="shared" si="7"/>
        <v/>
      </c>
      <c r="J474" s="84" t="str">
        <f>IFERROR(ROUNDUP(8*(I474/VLOOKUP(B474,Table2[],5,0)),0),"")</f>
        <v/>
      </c>
      <c r="K474" s="1" t="str">
        <f>IFERROR(ROUNDUP(8*(E474/VLOOKUP(B474,Table2[],5,0)),0),"")</f>
        <v/>
      </c>
      <c r="L474" s="1" t="str">
        <f>IFERROR(ROUNDUP(8*(F474/VLOOKUP(B474,Table2[],5,0)),0),"")</f>
        <v/>
      </c>
      <c r="M474" s="1" t="str">
        <f>IFERROR(ROUNDUP(8*(G474/VLOOKUP(B474,Table2[],5,0)),0),"")</f>
        <v/>
      </c>
      <c r="N474" s="1" t="str">
        <f>IFERROR(ROUNDUP(8*(H474/VLOOKUP(B474,Table2[],5,0)),0),"")</f>
        <v/>
      </c>
    </row>
    <row r="475" spans="2:14" x14ac:dyDescent="0.25">
      <c r="B475" s="76"/>
      <c r="C475" s="74" t="str">
        <f>IFERROR(VLOOKUP(B475,Table2[],2,0),"")</f>
        <v/>
      </c>
      <c r="D475" s="77"/>
      <c r="I475" s="79" t="str">
        <f t="shared" si="7"/>
        <v/>
      </c>
      <c r="J475" s="84" t="str">
        <f>IFERROR(ROUNDUP(8*(I475/VLOOKUP(B475,Table2[],5,0)),0),"")</f>
        <v/>
      </c>
      <c r="K475" s="1" t="str">
        <f>IFERROR(ROUNDUP(8*(E475/VLOOKUP(B475,Table2[],5,0)),0),"")</f>
        <v/>
      </c>
      <c r="L475" s="1" t="str">
        <f>IFERROR(ROUNDUP(8*(F475/VLOOKUP(B475,Table2[],5,0)),0),"")</f>
        <v/>
      </c>
      <c r="M475" s="1" t="str">
        <f>IFERROR(ROUNDUP(8*(G475/VLOOKUP(B475,Table2[],5,0)),0),"")</f>
        <v/>
      </c>
      <c r="N475" s="1" t="str">
        <f>IFERROR(ROUNDUP(8*(H475/VLOOKUP(B475,Table2[],5,0)),0),"")</f>
        <v/>
      </c>
    </row>
    <row r="476" spans="2:14" x14ac:dyDescent="0.25">
      <c r="B476" s="76"/>
      <c r="C476" s="74" t="str">
        <f>IFERROR(VLOOKUP(B476,Table2[],2,0),"")</f>
        <v/>
      </c>
      <c r="D476" s="77"/>
      <c r="I476" s="79" t="str">
        <f t="shared" si="7"/>
        <v/>
      </c>
      <c r="J476" s="84" t="str">
        <f>IFERROR(ROUNDUP(8*(I476/VLOOKUP(B476,Table2[],5,0)),0),"")</f>
        <v/>
      </c>
      <c r="K476" s="1" t="str">
        <f>IFERROR(ROUNDUP(8*(E476/VLOOKUP(B476,Table2[],5,0)),0),"")</f>
        <v/>
      </c>
      <c r="L476" s="1" t="str">
        <f>IFERROR(ROUNDUP(8*(F476/VLOOKUP(B476,Table2[],5,0)),0),"")</f>
        <v/>
      </c>
      <c r="M476" s="1" t="str">
        <f>IFERROR(ROUNDUP(8*(G476/VLOOKUP(B476,Table2[],5,0)),0),"")</f>
        <v/>
      </c>
      <c r="N476" s="1" t="str">
        <f>IFERROR(ROUNDUP(8*(H476/VLOOKUP(B476,Table2[],5,0)),0),"")</f>
        <v/>
      </c>
    </row>
    <row r="477" spans="2:14" x14ac:dyDescent="0.25">
      <c r="B477" s="76"/>
      <c r="C477" s="74" t="str">
        <f>IFERROR(VLOOKUP(B477,Table2[],2,0),"")</f>
        <v/>
      </c>
      <c r="D477" s="77"/>
      <c r="I477" s="79" t="str">
        <f t="shared" si="7"/>
        <v/>
      </c>
      <c r="J477" s="84" t="str">
        <f>IFERROR(ROUNDUP(8*(I477/VLOOKUP(B477,Table2[],5,0)),0),"")</f>
        <v/>
      </c>
      <c r="K477" s="1" t="str">
        <f>IFERROR(ROUNDUP(8*(E477/VLOOKUP(B477,Table2[],5,0)),0),"")</f>
        <v/>
      </c>
      <c r="L477" s="1" t="str">
        <f>IFERROR(ROUNDUP(8*(F477/VLOOKUP(B477,Table2[],5,0)),0),"")</f>
        <v/>
      </c>
      <c r="M477" s="1" t="str">
        <f>IFERROR(ROUNDUP(8*(G477/VLOOKUP(B477,Table2[],5,0)),0),"")</f>
        <v/>
      </c>
      <c r="N477" s="1" t="str">
        <f>IFERROR(ROUNDUP(8*(H477/VLOOKUP(B477,Table2[],5,0)),0),"")</f>
        <v/>
      </c>
    </row>
    <row r="478" spans="2:14" x14ac:dyDescent="0.25">
      <c r="B478" s="76"/>
      <c r="C478" s="74" t="str">
        <f>IFERROR(VLOOKUP(B478,Table2[],2,0),"")</f>
        <v/>
      </c>
      <c r="D478" s="77"/>
      <c r="I478" s="79" t="str">
        <f t="shared" si="7"/>
        <v/>
      </c>
      <c r="J478" s="84" t="str">
        <f>IFERROR(ROUNDUP(8*(I478/VLOOKUP(B478,Table2[],5,0)),0),"")</f>
        <v/>
      </c>
      <c r="K478" s="1" t="str">
        <f>IFERROR(ROUNDUP(8*(E478/VLOOKUP(B478,Table2[],5,0)),0),"")</f>
        <v/>
      </c>
      <c r="L478" s="1" t="str">
        <f>IFERROR(ROUNDUP(8*(F478/VLOOKUP(B478,Table2[],5,0)),0),"")</f>
        <v/>
      </c>
      <c r="M478" s="1" t="str">
        <f>IFERROR(ROUNDUP(8*(G478/VLOOKUP(B478,Table2[],5,0)),0),"")</f>
        <v/>
      </c>
      <c r="N478" s="1" t="str">
        <f>IFERROR(ROUNDUP(8*(H478/VLOOKUP(B478,Table2[],5,0)),0),"")</f>
        <v/>
      </c>
    </row>
    <row r="479" spans="2:14" x14ac:dyDescent="0.25">
      <c r="B479" s="76"/>
      <c r="C479" s="74" t="str">
        <f>IFERROR(VLOOKUP(B479,Table2[],2,0),"")</f>
        <v/>
      </c>
      <c r="D479" s="77"/>
      <c r="I479" s="79" t="str">
        <f t="shared" si="7"/>
        <v/>
      </c>
      <c r="J479" s="84" t="str">
        <f>IFERROR(ROUNDUP(8*(I479/VLOOKUP(B479,Table2[],5,0)),0),"")</f>
        <v/>
      </c>
      <c r="K479" s="1" t="str">
        <f>IFERROR(ROUNDUP(8*(E479/VLOOKUP(B479,Table2[],5,0)),0),"")</f>
        <v/>
      </c>
      <c r="L479" s="1" t="str">
        <f>IFERROR(ROUNDUP(8*(F479/VLOOKUP(B479,Table2[],5,0)),0),"")</f>
        <v/>
      </c>
      <c r="M479" s="1" t="str">
        <f>IFERROR(ROUNDUP(8*(G479/VLOOKUP(B479,Table2[],5,0)),0),"")</f>
        <v/>
      </c>
      <c r="N479" s="1" t="str">
        <f>IFERROR(ROUNDUP(8*(H479/VLOOKUP(B479,Table2[],5,0)),0),"")</f>
        <v/>
      </c>
    </row>
    <row r="480" spans="2:14" x14ac:dyDescent="0.25">
      <c r="B480" s="76"/>
      <c r="C480" s="74" t="str">
        <f>IFERROR(VLOOKUP(B480,Table2[],2,0),"")</f>
        <v/>
      </c>
      <c r="D480" s="77"/>
      <c r="I480" s="79" t="str">
        <f t="shared" si="7"/>
        <v/>
      </c>
      <c r="J480" s="84" t="str">
        <f>IFERROR(ROUNDUP(8*(I480/VLOOKUP(B480,Table2[],5,0)),0),"")</f>
        <v/>
      </c>
      <c r="K480" s="1" t="str">
        <f>IFERROR(ROUNDUP(8*(E480/VLOOKUP(B480,Table2[],5,0)),0),"")</f>
        <v/>
      </c>
      <c r="L480" s="1" t="str">
        <f>IFERROR(ROUNDUP(8*(F480/VLOOKUP(B480,Table2[],5,0)),0),"")</f>
        <v/>
      </c>
      <c r="M480" s="1" t="str">
        <f>IFERROR(ROUNDUP(8*(G480/VLOOKUP(B480,Table2[],5,0)),0),"")</f>
        <v/>
      </c>
      <c r="N480" s="1" t="str">
        <f>IFERROR(ROUNDUP(8*(H480/VLOOKUP(B480,Table2[],5,0)),0),"")</f>
        <v/>
      </c>
    </row>
    <row r="481" spans="2:14" x14ac:dyDescent="0.25">
      <c r="B481" s="76"/>
      <c r="C481" s="74" t="str">
        <f>IFERROR(VLOOKUP(B481,Table2[],2,0),"")</f>
        <v/>
      </c>
      <c r="D481" s="77"/>
      <c r="I481" s="79" t="str">
        <f t="shared" si="7"/>
        <v/>
      </c>
      <c r="J481" s="84" t="str">
        <f>IFERROR(ROUNDUP(8*(I481/VLOOKUP(B481,Table2[],5,0)),0),"")</f>
        <v/>
      </c>
      <c r="K481" s="1" t="str">
        <f>IFERROR(ROUNDUP(8*(E481/VLOOKUP(B481,Table2[],5,0)),0),"")</f>
        <v/>
      </c>
      <c r="L481" s="1" t="str">
        <f>IFERROR(ROUNDUP(8*(F481/VLOOKUP(B481,Table2[],5,0)),0),"")</f>
        <v/>
      </c>
      <c r="M481" s="1" t="str">
        <f>IFERROR(ROUNDUP(8*(G481/VLOOKUP(B481,Table2[],5,0)),0),"")</f>
        <v/>
      </c>
      <c r="N481" s="1" t="str">
        <f>IFERROR(ROUNDUP(8*(H481/VLOOKUP(B481,Table2[],5,0)),0),"")</f>
        <v/>
      </c>
    </row>
    <row r="482" spans="2:14" x14ac:dyDescent="0.25">
      <c r="B482" s="76"/>
      <c r="C482" s="74" t="str">
        <f>IFERROR(VLOOKUP(B482,Table2[],2,0),"")</f>
        <v/>
      </c>
      <c r="D482" s="77"/>
      <c r="I482" s="79" t="str">
        <f t="shared" si="7"/>
        <v/>
      </c>
      <c r="J482" s="84" t="str">
        <f>IFERROR(ROUNDUP(8*(I482/VLOOKUP(B482,Table2[],5,0)),0),"")</f>
        <v/>
      </c>
      <c r="K482" s="1" t="str">
        <f>IFERROR(ROUNDUP(8*(E482/VLOOKUP(B482,Table2[],5,0)),0),"")</f>
        <v/>
      </c>
      <c r="L482" s="1" t="str">
        <f>IFERROR(ROUNDUP(8*(F482/VLOOKUP(B482,Table2[],5,0)),0),"")</f>
        <v/>
      </c>
      <c r="M482" s="1" t="str">
        <f>IFERROR(ROUNDUP(8*(G482/VLOOKUP(B482,Table2[],5,0)),0),"")</f>
        <v/>
      </c>
      <c r="N482" s="1" t="str">
        <f>IFERROR(ROUNDUP(8*(H482/VLOOKUP(B482,Table2[],5,0)),0),"")</f>
        <v/>
      </c>
    </row>
    <row r="483" spans="2:14" x14ac:dyDescent="0.25">
      <c r="B483" s="76"/>
      <c r="C483" s="74" t="str">
        <f>IFERROR(VLOOKUP(B483,Table2[],2,0),"")</f>
        <v/>
      </c>
      <c r="D483" s="77"/>
      <c r="I483" s="79" t="str">
        <f t="shared" si="7"/>
        <v/>
      </c>
      <c r="J483" s="84" t="str">
        <f>IFERROR(ROUNDUP(8*(I483/VLOOKUP(B483,Table2[],5,0)),0),"")</f>
        <v/>
      </c>
      <c r="K483" s="1" t="str">
        <f>IFERROR(ROUNDUP(8*(E483/VLOOKUP(B483,Table2[],5,0)),0),"")</f>
        <v/>
      </c>
      <c r="L483" s="1" t="str">
        <f>IFERROR(ROUNDUP(8*(F483/VLOOKUP(B483,Table2[],5,0)),0),"")</f>
        <v/>
      </c>
      <c r="M483" s="1" t="str">
        <f>IFERROR(ROUNDUP(8*(G483/VLOOKUP(B483,Table2[],5,0)),0),"")</f>
        <v/>
      </c>
      <c r="N483" s="1" t="str">
        <f>IFERROR(ROUNDUP(8*(H483/VLOOKUP(B483,Table2[],5,0)),0),"")</f>
        <v/>
      </c>
    </row>
    <row r="484" spans="2:14" x14ac:dyDescent="0.25">
      <c r="B484" s="76"/>
      <c r="C484" s="74" t="str">
        <f>IFERROR(VLOOKUP(B484,Table2[],2,0),"")</f>
        <v/>
      </c>
      <c r="D484" s="77"/>
      <c r="I484" s="79" t="str">
        <f t="shared" si="7"/>
        <v/>
      </c>
      <c r="J484" s="84" t="str">
        <f>IFERROR(ROUNDUP(8*(I484/VLOOKUP(B484,Table2[],5,0)),0),"")</f>
        <v/>
      </c>
      <c r="K484" s="1" t="str">
        <f>IFERROR(ROUNDUP(8*(E484/VLOOKUP(B484,Table2[],5,0)),0),"")</f>
        <v/>
      </c>
      <c r="L484" s="1" t="str">
        <f>IFERROR(ROUNDUP(8*(F484/VLOOKUP(B484,Table2[],5,0)),0),"")</f>
        <v/>
      </c>
      <c r="M484" s="1" t="str">
        <f>IFERROR(ROUNDUP(8*(G484/VLOOKUP(B484,Table2[],5,0)),0),"")</f>
        <v/>
      </c>
      <c r="N484" s="1" t="str">
        <f>IFERROR(ROUNDUP(8*(H484/VLOOKUP(B484,Table2[],5,0)),0),"")</f>
        <v/>
      </c>
    </row>
    <row r="485" spans="2:14" x14ac:dyDescent="0.25">
      <c r="B485" s="76"/>
      <c r="C485" s="74" t="str">
        <f>IFERROR(VLOOKUP(B485,Table2[],2,0),"")</f>
        <v/>
      </c>
      <c r="D485" s="77"/>
      <c r="I485" s="79" t="str">
        <f t="shared" si="7"/>
        <v/>
      </c>
      <c r="J485" s="84" t="str">
        <f>IFERROR(ROUNDUP(8*(I485/VLOOKUP(B485,Table2[],5,0)),0),"")</f>
        <v/>
      </c>
      <c r="K485" s="1" t="str">
        <f>IFERROR(ROUNDUP(8*(E485/VLOOKUP(B485,Table2[],5,0)),0),"")</f>
        <v/>
      </c>
      <c r="L485" s="1" t="str">
        <f>IFERROR(ROUNDUP(8*(F485/VLOOKUP(B485,Table2[],5,0)),0),"")</f>
        <v/>
      </c>
      <c r="M485" s="1" t="str">
        <f>IFERROR(ROUNDUP(8*(G485/VLOOKUP(B485,Table2[],5,0)),0),"")</f>
        <v/>
      </c>
      <c r="N485" s="1" t="str">
        <f>IFERROR(ROUNDUP(8*(H485/VLOOKUP(B485,Table2[],5,0)),0),"")</f>
        <v/>
      </c>
    </row>
    <row r="486" spans="2:14" x14ac:dyDescent="0.25">
      <c r="B486" s="76"/>
      <c r="C486" s="74" t="str">
        <f>IFERROR(VLOOKUP(B486,Table2[],2,0),"")</f>
        <v/>
      </c>
      <c r="D486" s="77"/>
      <c r="I486" s="79" t="str">
        <f t="shared" si="7"/>
        <v/>
      </c>
      <c r="J486" s="84" t="str">
        <f>IFERROR(ROUNDUP(8*(I486/VLOOKUP(B486,Table2[],5,0)),0),"")</f>
        <v/>
      </c>
      <c r="K486" s="1" t="str">
        <f>IFERROR(ROUNDUP(8*(E486/VLOOKUP(B486,Table2[],5,0)),0),"")</f>
        <v/>
      </c>
      <c r="L486" s="1" t="str">
        <f>IFERROR(ROUNDUP(8*(F486/VLOOKUP(B486,Table2[],5,0)),0),"")</f>
        <v/>
      </c>
      <c r="M486" s="1" t="str">
        <f>IFERROR(ROUNDUP(8*(G486/VLOOKUP(B486,Table2[],5,0)),0),"")</f>
        <v/>
      </c>
      <c r="N486" s="1" t="str">
        <f>IFERROR(ROUNDUP(8*(H486/VLOOKUP(B486,Table2[],5,0)),0),"")</f>
        <v/>
      </c>
    </row>
    <row r="487" spans="2:14" x14ac:dyDescent="0.25">
      <c r="B487" s="76"/>
      <c r="C487" s="74" t="str">
        <f>IFERROR(VLOOKUP(B487,Table2[],2,0),"")</f>
        <v/>
      </c>
      <c r="D487" s="77"/>
      <c r="I487" s="79" t="str">
        <f t="shared" si="7"/>
        <v/>
      </c>
      <c r="J487" s="84" t="str">
        <f>IFERROR(ROUNDUP(8*(I487/VLOOKUP(B487,Table2[],5,0)),0),"")</f>
        <v/>
      </c>
      <c r="K487" s="1" t="str">
        <f>IFERROR(ROUNDUP(8*(E487/VLOOKUP(B487,Table2[],5,0)),0),"")</f>
        <v/>
      </c>
      <c r="L487" s="1" t="str">
        <f>IFERROR(ROUNDUP(8*(F487/VLOOKUP(B487,Table2[],5,0)),0),"")</f>
        <v/>
      </c>
      <c r="M487" s="1" t="str">
        <f>IFERROR(ROUNDUP(8*(G487/VLOOKUP(B487,Table2[],5,0)),0),"")</f>
        <v/>
      </c>
      <c r="N487" s="1" t="str">
        <f>IFERROR(ROUNDUP(8*(H487/VLOOKUP(B487,Table2[],5,0)),0),"")</f>
        <v/>
      </c>
    </row>
    <row r="488" spans="2:14" x14ac:dyDescent="0.25">
      <c r="B488" s="76"/>
      <c r="C488" s="74" t="str">
        <f>IFERROR(VLOOKUP(B488,Table2[],2,0),"")</f>
        <v/>
      </c>
      <c r="D488" s="77"/>
      <c r="I488" s="79" t="str">
        <f t="shared" si="7"/>
        <v/>
      </c>
      <c r="J488" s="84" t="str">
        <f>IFERROR(ROUNDUP(8*(I488/VLOOKUP(B488,Table2[],5,0)),0),"")</f>
        <v/>
      </c>
      <c r="K488" s="1" t="str">
        <f>IFERROR(ROUNDUP(8*(E488/VLOOKUP(B488,Table2[],5,0)),0),"")</f>
        <v/>
      </c>
      <c r="L488" s="1" t="str">
        <f>IFERROR(ROUNDUP(8*(F488/VLOOKUP(B488,Table2[],5,0)),0),"")</f>
        <v/>
      </c>
      <c r="M488" s="1" t="str">
        <f>IFERROR(ROUNDUP(8*(G488/VLOOKUP(B488,Table2[],5,0)),0),"")</f>
        <v/>
      </c>
      <c r="N488" s="1" t="str">
        <f>IFERROR(ROUNDUP(8*(H488/VLOOKUP(B488,Table2[],5,0)),0),"")</f>
        <v/>
      </c>
    </row>
    <row r="489" spans="2:14" x14ac:dyDescent="0.25">
      <c r="B489" s="76"/>
      <c r="C489" s="74" t="str">
        <f>IFERROR(VLOOKUP(B489,Table2[],2,0),"")</f>
        <v/>
      </c>
      <c r="D489" s="77"/>
      <c r="I489" s="79" t="str">
        <f t="shared" si="7"/>
        <v/>
      </c>
      <c r="J489" s="84" t="str">
        <f>IFERROR(ROUNDUP(8*(I489/VLOOKUP(B489,Table2[],5,0)),0),"")</f>
        <v/>
      </c>
      <c r="K489" s="1" t="str">
        <f>IFERROR(ROUNDUP(8*(E489/VLOOKUP(B489,Table2[],5,0)),0),"")</f>
        <v/>
      </c>
      <c r="L489" s="1" t="str">
        <f>IFERROR(ROUNDUP(8*(F489/VLOOKUP(B489,Table2[],5,0)),0),"")</f>
        <v/>
      </c>
      <c r="M489" s="1" t="str">
        <f>IFERROR(ROUNDUP(8*(G489/VLOOKUP(B489,Table2[],5,0)),0),"")</f>
        <v/>
      </c>
      <c r="N489" s="1" t="str">
        <f>IFERROR(ROUNDUP(8*(H489/VLOOKUP(B489,Table2[],5,0)),0),"")</f>
        <v/>
      </c>
    </row>
    <row r="490" spans="2:14" x14ac:dyDescent="0.25">
      <c r="B490" s="76"/>
      <c r="C490" s="74" t="str">
        <f>IFERROR(VLOOKUP(B490,Table2[],2,0),"")</f>
        <v/>
      </c>
      <c r="D490" s="77"/>
      <c r="I490" s="79" t="str">
        <f t="shared" si="7"/>
        <v/>
      </c>
      <c r="J490" s="84" t="str">
        <f>IFERROR(ROUNDUP(8*(I490/VLOOKUP(B490,Table2[],5,0)),0),"")</f>
        <v/>
      </c>
      <c r="K490" s="1" t="str">
        <f>IFERROR(ROUNDUP(8*(E490/VLOOKUP(B490,Table2[],5,0)),0),"")</f>
        <v/>
      </c>
      <c r="L490" s="1" t="str">
        <f>IFERROR(ROUNDUP(8*(F490/VLOOKUP(B490,Table2[],5,0)),0),"")</f>
        <v/>
      </c>
      <c r="M490" s="1" t="str">
        <f>IFERROR(ROUNDUP(8*(G490/VLOOKUP(B490,Table2[],5,0)),0),"")</f>
        <v/>
      </c>
      <c r="N490" s="1" t="str">
        <f>IFERROR(ROUNDUP(8*(H490/VLOOKUP(B490,Table2[],5,0)),0),"")</f>
        <v/>
      </c>
    </row>
    <row r="491" spans="2:14" x14ac:dyDescent="0.25">
      <c r="B491" s="76"/>
      <c r="C491" s="74" t="str">
        <f>IFERROR(VLOOKUP(B491,Table2[],2,0),"")</f>
        <v/>
      </c>
      <c r="D491" s="77"/>
      <c r="I491" s="79" t="str">
        <f t="shared" si="7"/>
        <v/>
      </c>
      <c r="J491" s="84" t="str">
        <f>IFERROR(ROUNDUP(8*(I491/VLOOKUP(B491,Table2[],5,0)),0),"")</f>
        <v/>
      </c>
      <c r="K491" s="1" t="str">
        <f>IFERROR(ROUNDUP(8*(E491/VLOOKUP(B491,Table2[],5,0)),0),"")</f>
        <v/>
      </c>
      <c r="L491" s="1" t="str">
        <f>IFERROR(ROUNDUP(8*(F491/VLOOKUP(B491,Table2[],5,0)),0),"")</f>
        <v/>
      </c>
      <c r="M491" s="1" t="str">
        <f>IFERROR(ROUNDUP(8*(G491/VLOOKUP(B491,Table2[],5,0)),0),"")</f>
        <v/>
      </c>
      <c r="N491" s="1" t="str">
        <f>IFERROR(ROUNDUP(8*(H491/VLOOKUP(B491,Table2[],5,0)),0),"")</f>
        <v/>
      </c>
    </row>
    <row r="492" spans="2:14" x14ac:dyDescent="0.25">
      <c r="B492" s="76"/>
      <c r="C492" s="74" t="str">
        <f>IFERROR(VLOOKUP(B492,Table2[],2,0),"")</f>
        <v/>
      </c>
      <c r="D492" s="77"/>
      <c r="I492" s="79" t="str">
        <f t="shared" si="7"/>
        <v/>
      </c>
      <c r="J492" s="84" t="str">
        <f>IFERROR(ROUNDUP(8*(I492/VLOOKUP(B492,Table2[],5,0)),0),"")</f>
        <v/>
      </c>
      <c r="K492" s="1" t="str">
        <f>IFERROR(ROUNDUP(8*(E492/VLOOKUP(B492,Table2[],5,0)),0),"")</f>
        <v/>
      </c>
      <c r="L492" s="1" t="str">
        <f>IFERROR(ROUNDUP(8*(F492/VLOOKUP(B492,Table2[],5,0)),0),"")</f>
        <v/>
      </c>
      <c r="M492" s="1" t="str">
        <f>IFERROR(ROUNDUP(8*(G492/VLOOKUP(B492,Table2[],5,0)),0),"")</f>
        <v/>
      </c>
      <c r="N492" s="1" t="str">
        <f>IFERROR(ROUNDUP(8*(H492/VLOOKUP(B492,Table2[],5,0)),0),"")</f>
        <v/>
      </c>
    </row>
    <row r="493" spans="2:14" x14ac:dyDescent="0.25">
      <c r="B493" s="76"/>
      <c r="C493" s="74" t="str">
        <f>IFERROR(VLOOKUP(B493,Table2[],2,0),"")</f>
        <v/>
      </c>
      <c r="D493" s="77"/>
      <c r="I493" s="79" t="str">
        <f t="shared" si="7"/>
        <v/>
      </c>
      <c r="J493" s="84" t="str">
        <f>IFERROR(ROUNDUP(8*(I493/VLOOKUP(B493,Table2[],5,0)),0),"")</f>
        <v/>
      </c>
      <c r="K493" s="1" t="str">
        <f>IFERROR(ROUNDUP(8*(E493/VLOOKUP(B493,Table2[],5,0)),0),"")</f>
        <v/>
      </c>
      <c r="L493" s="1" t="str">
        <f>IFERROR(ROUNDUP(8*(F493/VLOOKUP(B493,Table2[],5,0)),0),"")</f>
        <v/>
      </c>
      <c r="M493" s="1" t="str">
        <f>IFERROR(ROUNDUP(8*(G493/VLOOKUP(B493,Table2[],5,0)),0),"")</f>
        <v/>
      </c>
      <c r="N493" s="1" t="str">
        <f>IFERROR(ROUNDUP(8*(H493/VLOOKUP(B493,Table2[],5,0)),0),"")</f>
        <v/>
      </c>
    </row>
    <row r="494" spans="2:14" x14ac:dyDescent="0.25">
      <c r="B494" s="76"/>
      <c r="C494" s="74" t="str">
        <f>IFERROR(VLOOKUP(B494,Table2[],2,0),"")</f>
        <v/>
      </c>
      <c r="D494" s="77"/>
      <c r="I494" s="79" t="str">
        <f t="shared" si="7"/>
        <v/>
      </c>
      <c r="J494" s="84" t="str">
        <f>IFERROR(ROUNDUP(8*(I494/VLOOKUP(B494,Table2[],5,0)),0),"")</f>
        <v/>
      </c>
      <c r="K494" s="1" t="str">
        <f>IFERROR(ROUNDUP(8*(E494/VLOOKUP(B494,Table2[],5,0)),0),"")</f>
        <v/>
      </c>
      <c r="L494" s="1" t="str">
        <f>IFERROR(ROUNDUP(8*(F494/VLOOKUP(B494,Table2[],5,0)),0),"")</f>
        <v/>
      </c>
      <c r="M494" s="1" t="str">
        <f>IFERROR(ROUNDUP(8*(G494/VLOOKUP(B494,Table2[],5,0)),0),"")</f>
        <v/>
      </c>
      <c r="N494" s="1" t="str">
        <f>IFERROR(ROUNDUP(8*(H494/VLOOKUP(B494,Table2[],5,0)),0),"")</f>
        <v/>
      </c>
    </row>
    <row r="495" spans="2:14" x14ac:dyDescent="0.25">
      <c r="B495" s="76"/>
      <c r="C495" s="74" t="str">
        <f>IFERROR(VLOOKUP(B495,Table2[],2,0),"")</f>
        <v/>
      </c>
      <c r="D495" s="77"/>
      <c r="I495" s="79" t="str">
        <f t="shared" si="7"/>
        <v/>
      </c>
      <c r="J495" s="84" t="str">
        <f>IFERROR(ROUNDUP(8*(I495/VLOOKUP(B495,Table2[],5,0)),0),"")</f>
        <v/>
      </c>
      <c r="K495" s="1" t="str">
        <f>IFERROR(ROUNDUP(8*(E495/VLOOKUP(B495,Table2[],5,0)),0),"")</f>
        <v/>
      </c>
      <c r="L495" s="1" t="str">
        <f>IFERROR(ROUNDUP(8*(F495/VLOOKUP(B495,Table2[],5,0)),0),"")</f>
        <v/>
      </c>
      <c r="M495" s="1" t="str">
        <f>IFERROR(ROUNDUP(8*(G495/VLOOKUP(B495,Table2[],5,0)),0),"")</f>
        <v/>
      </c>
      <c r="N495" s="1" t="str">
        <f>IFERROR(ROUNDUP(8*(H495/VLOOKUP(B495,Table2[],5,0)),0),"")</f>
        <v/>
      </c>
    </row>
    <row r="496" spans="2:14" x14ac:dyDescent="0.25">
      <c r="B496" s="76"/>
      <c r="C496" s="74" t="str">
        <f>IFERROR(VLOOKUP(B496,Table2[],2,0),"")</f>
        <v/>
      </c>
      <c r="D496" s="77"/>
      <c r="I496" s="79" t="str">
        <f t="shared" si="7"/>
        <v/>
      </c>
      <c r="J496" s="84" t="str">
        <f>IFERROR(ROUNDUP(8*(I496/VLOOKUP(B496,Table2[],5,0)),0),"")</f>
        <v/>
      </c>
      <c r="K496" s="1" t="str">
        <f>IFERROR(ROUNDUP(8*(E496/VLOOKUP(B496,Table2[],5,0)),0),"")</f>
        <v/>
      </c>
      <c r="L496" s="1" t="str">
        <f>IFERROR(ROUNDUP(8*(F496/VLOOKUP(B496,Table2[],5,0)),0),"")</f>
        <v/>
      </c>
      <c r="M496" s="1" t="str">
        <f>IFERROR(ROUNDUP(8*(G496/VLOOKUP(B496,Table2[],5,0)),0),"")</f>
        <v/>
      </c>
      <c r="N496" s="1" t="str">
        <f>IFERROR(ROUNDUP(8*(H496/VLOOKUP(B496,Table2[],5,0)),0),"")</f>
        <v/>
      </c>
    </row>
    <row r="497" spans="2:14" x14ac:dyDescent="0.25">
      <c r="B497" s="76"/>
      <c r="C497" s="74" t="str">
        <f>IFERROR(VLOOKUP(B497,Table2[],2,0),"")</f>
        <v/>
      </c>
      <c r="D497" s="77"/>
      <c r="I497" s="79" t="str">
        <f t="shared" si="7"/>
        <v/>
      </c>
      <c r="J497" s="84" t="str">
        <f>IFERROR(ROUNDUP(8*(I497/VLOOKUP(B497,Table2[],5,0)),0),"")</f>
        <v/>
      </c>
      <c r="K497" s="1" t="str">
        <f>IFERROR(ROUNDUP(8*(E497/VLOOKUP(B497,Table2[],5,0)),0),"")</f>
        <v/>
      </c>
      <c r="L497" s="1" t="str">
        <f>IFERROR(ROUNDUP(8*(F497/VLOOKUP(B497,Table2[],5,0)),0),"")</f>
        <v/>
      </c>
      <c r="M497" s="1" t="str">
        <f>IFERROR(ROUNDUP(8*(G497/VLOOKUP(B497,Table2[],5,0)),0),"")</f>
        <v/>
      </c>
      <c r="N497" s="1" t="str">
        <f>IFERROR(ROUNDUP(8*(H497/VLOOKUP(B497,Table2[],5,0)),0),"")</f>
        <v/>
      </c>
    </row>
    <row r="498" spans="2:14" x14ac:dyDescent="0.25">
      <c r="B498" s="76"/>
      <c r="C498" s="74" t="str">
        <f>IFERROR(VLOOKUP(B498,Table2[],2,0),"")</f>
        <v/>
      </c>
      <c r="D498" s="77"/>
      <c r="I498" s="79" t="str">
        <f t="shared" si="7"/>
        <v/>
      </c>
      <c r="J498" s="84" t="str">
        <f>IFERROR(ROUNDUP(8*(I498/VLOOKUP(B498,Table2[],5,0)),0),"")</f>
        <v/>
      </c>
      <c r="K498" s="1" t="str">
        <f>IFERROR(ROUNDUP(8*(E498/VLOOKUP(B498,Table2[],5,0)),0),"")</f>
        <v/>
      </c>
      <c r="L498" s="1" t="str">
        <f>IFERROR(ROUNDUP(8*(F498/VLOOKUP(B498,Table2[],5,0)),0),"")</f>
        <v/>
      </c>
      <c r="M498" s="1" t="str">
        <f>IFERROR(ROUNDUP(8*(G498/VLOOKUP(B498,Table2[],5,0)),0),"")</f>
        <v/>
      </c>
      <c r="N498" s="1" t="str">
        <f>IFERROR(ROUNDUP(8*(H498/VLOOKUP(B498,Table2[],5,0)),0),"")</f>
        <v/>
      </c>
    </row>
    <row r="499" spans="2:14" x14ac:dyDescent="0.25">
      <c r="B499" s="76"/>
      <c r="C499" s="74" t="str">
        <f>IFERROR(VLOOKUP(B499,Table2[],2,0),"")</f>
        <v/>
      </c>
      <c r="D499" s="77"/>
      <c r="I499" s="79" t="str">
        <f t="shared" si="7"/>
        <v/>
      </c>
      <c r="J499" s="84" t="str">
        <f>IFERROR(ROUNDUP(8*(I499/VLOOKUP(B499,Table2[],5,0)),0),"")</f>
        <v/>
      </c>
      <c r="K499" s="1" t="str">
        <f>IFERROR(ROUNDUP(8*(E499/VLOOKUP(B499,Table2[],5,0)),0),"")</f>
        <v/>
      </c>
      <c r="L499" s="1" t="str">
        <f>IFERROR(ROUNDUP(8*(F499/VLOOKUP(B499,Table2[],5,0)),0),"")</f>
        <v/>
      </c>
      <c r="M499" s="1" t="str">
        <f>IFERROR(ROUNDUP(8*(G499/VLOOKUP(B499,Table2[],5,0)),0),"")</f>
        <v/>
      </c>
      <c r="N499" s="1" t="str">
        <f>IFERROR(ROUNDUP(8*(H499/VLOOKUP(B499,Table2[],5,0)),0),"")</f>
        <v/>
      </c>
    </row>
    <row r="500" spans="2:14" x14ac:dyDescent="0.25">
      <c r="B500" s="76"/>
      <c r="C500" s="74" t="str">
        <f>IFERROR(VLOOKUP(B500,Table2[],2,0),"")</f>
        <v/>
      </c>
      <c r="D500" s="77"/>
      <c r="I500" s="79" t="str">
        <f t="shared" si="7"/>
        <v/>
      </c>
      <c r="J500" s="84" t="str">
        <f>IFERROR(ROUNDUP(8*(I500/VLOOKUP(B500,Table2[],5,0)),0),"")</f>
        <v/>
      </c>
      <c r="K500" s="1" t="str">
        <f>IFERROR(ROUNDUP(8*(E500/VLOOKUP(B500,Table2[],5,0)),0),"")</f>
        <v/>
      </c>
      <c r="L500" s="1" t="str">
        <f>IFERROR(ROUNDUP(8*(F500/VLOOKUP(B500,Table2[],5,0)),0),"")</f>
        <v/>
      </c>
      <c r="M500" s="1" t="str">
        <f>IFERROR(ROUNDUP(8*(G500/VLOOKUP(B500,Table2[],5,0)),0),"")</f>
        <v/>
      </c>
      <c r="N500" s="1" t="str">
        <f>IFERROR(ROUNDUP(8*(H500/VLOOKUP(B500,Table2[],5,0)),0),"")</f>
        <v/>
      </c>
    </row>
    <row r="503" spans="2:14" x14ac:dyDescent="0.25">
      <c r="C503" s="73"/>
    </row>
    <row r="504" spans="2:14" x14ac:dyDescent="0.25">
      <c r="C504" s="73"/>
    </row>
    <row r="505" spans="2:14" x14ac:dyDescent="0.25">
      <c r="C505" s="73"/>
    </row>
  </sheetData>
  <autoFilter ref="B4:C500" xr:uid="{00000000-0009-0000-0000-000003000000}"/>
  <mergeCells count="9">
    <mergeCell ref="N4:N5"/>
    <mergeCell ref="J4:J5"/>
    <mergeCell ref="D4:D5"/>
    <mergeCell ref="I4:I5"/>
    <mergeCell ref="B4:B5"/>
    <mergeCell ref="C4:C5"/>
    <mergeCell ref="K4:K5"/>
    <mergeCell ref="L4:L5"/>
    <mergeCell ref="M4:M5"/>
  </mergeCells>
  <conditionalFormatting sqref="D6:D500">
    <cfRule type="expression" dxfId="0" priority="1">
      <formula>D6&gt;0</formula>
    </cfRule>
  </conditionalFormatting>
  <pageMargins left="0.7" right="0.7" top="0.75" bottom="0.75" header="0.3" footer="0.3"/>
  <pageSetup orientation="portrait" r:id="rId1"/>
  <ignoredErrors>
    <ignoredError sqref="I6:I494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Weekly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1343025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9" tint="-0.249977111117893"/>
  </sheetPr>
  <dimension ref="B1:R645"/>
  <sheetViews>
    <sheetView zoomScale="90" zoomScaleNormal="90" workbookViewId="0">
      <selection activeCell="B74" sqref="B74"/>
    </sheetView>
  </sheetViews>
  <sheetFormatPr defaultRowHeight="12.75" x14ac:dyDescent="0.25"/>
  <cols>
    <col min="1" max="1" width="9.140625" style="34"/>
    <col min="2" max="2" width="20.85546875" style="28" bestFit="1" customWidth="1"/>
    <col min="3" max="3" width="15.42578125" style="29" bestFit="1" customWidth="1"/>
    <col min="4" max="4" width="17.42578125" style="29" bestFit="1" customWidth="1"/>
    <col min="5" max="5" width="16.85546875" style="29" bestFit="1" customWidth="1"/>
    <col min="6" max="6" width="6" style="29" bestFit="1" customWidth="1"/>
    <col min="7" max="7" width="12.7109375" style="30" bestFit="1" customWidth="1"/>
    <col min="8" max="8" width="8.7109375" style="31" bestFit="1" customWidth="1"/>
    <col min="9" max="9" width="8.140625" style="42" bestFit="1" customWidth="1"/>
    <col min="10" max="10" width="11.42578125" style="42" bestFit="1" customWidth="1"/>
    <col min="11" max="11" width="14.5703125" style="43" bestFit="1" customWidth="1"/>
    <col min="12" max="16384" width="9.140625" style="34"/>
  </cols>
  <sheetData>
    <row r="1" spans="2:18" x14ac:dyDescent="0.25">
      <c r="I1" s="32"/>
      <c r="J1" s="32"/>
      <c r="K1" s="33"/>
    </row>
    <row r="2" spans="2:18" x14ac:dyDescent="0.25">
      <c r="I2" s="32"/>
      <c r="J2" s="32"/>
      <c r="K2" s="33"/>
    </row>
    <row r="3" spans="2:18" x14ac:dyDescent="0.25">
      <c r="I3" s="32"/>
      <c r="J3" s="32"/>
      <c r="K3" s="33"/>
    </row>
    <row r="4" spans="2:18" ht="13.5" thickBot="1" x14ac:dyDescent="0.3">
      <c r="I4" s="32"/>
      <c r="J4" s="32"/>
      <c r="K4" s="33"/>
      <c r="M4" s="35"/>
      <c r="N4" s="35"/>
      <c r="O4" s="35"/>
      <c r="P4" s="35"/>
      <c r="Q4" s="35"/>
      <c r="R4" s="35"/>
    </row>
    <row r="5" spans="2:18" ht="19.5" customHeight="1" x14ac:dyDescent="0.25">
      <c r="B5" s="178" t="s">
        <v>469</v>
      </c>
      <c r="C5" s="179"/>
      <c r="D5" s="179"/>
      <c r="E5" s="179"/>
      <c r="F5" s="179"/>
      <c r="G5" s="179"/>
      <c r="H5" s="179"/>
      <c r="I5" s="179"/>
      <c r="J5" s="179"/>
      <c r="K5" s="180"/>
      <c r="M5" s="35"/>
      <c r="N5" s="35"/>
      <c r="O5" s="35"/>
      <c r="P5" s="35"/>
      <c r="Q5" s="35"/>
      <c r="R5" s="35"/>
    </row>
    <row r="6" spans="2:18" ht="15" customHeight="1" thickBot="1" x14ac:dyDescent="0.3">
      <c r="B6" s="181"/>
      <c r="C6" s="182"/>
      <c r="D6" s="182"/>
      <c r="E6" s="182"/>
      <c r="F6" s="182"/>
      <c r="G6" s="182"/>
      <c r="H6" s="182"/>
      <c r="I6" s="182"/>
      <c r="J6" s="182"/>
      <c r="K6" s="183"/>
      <c r="M6" s="35"/>
      <c r="N6" s="35"/>
      <c r="O6" s="35"/>
      <c r="P6" s="35"/>
      <c r="Q6" s="35"/>
      <c r="R6" s="35"/>
    </row>
    <row r="7" spans="2:18" ht="14.25" customHeight="1" thickBot="1" x14ac:dyDescent="0.3">
      <c r="B7" s="36" t="s">
        <v>115</v>
      </c>
      <c r="C7" s="37" t="s">
        <v>116</v>
      </c>
      <c r="D7" s="37" t="s">
        <v>509</v>
      </c>
      <c r="E7" s="37" t="s">
        <v>510</v>
      </c>
      <c r="F7" s="37" t="s">
        <v>508</v>
      </c>
      <c r="G7" s="36" t="s">
        <v>461</v>
      </c>
      <c r="H7" s="36" t="s">
        <v>462</v>
      </c>
      <c r="I7" s="38" t="s">
        <v>504</v>
      </c>
      <c r="J7" s="38" t="s">
        <v>463</v>
      </c>
      <c r="K7" s="39" t="s">
        <v>464</v>
      </c>
      <c r="M7" s="35"/>
      <c r="N7" s="35"/>
      <c r="O7" s="35"/>
      <c r="P7" s="35"/>
      <c r="Q7" s="35"/>
      <c r="R7" s="35"/>
    </row>
    <row r="8" spans="2:18" ht="12.75" customHeight="1" x14ac:dyDescent="0.25">
      <c r="B8" s="88" t="s">
        <v>0</v>
      </c>
      <c r="C8" s="86" t="s">
        <v>117</v>
      </c>
      <c r="D8" s="86"/>
      <c r="E8" s="86"/>
      <c r="F8" s="96">
        <v>8</v>
      </c>
      <c r="G8" s="98">
        <v>0</v>
      </c>
      <c r="H8" s="98">
        <v>1</v>
      </c>
      <c r="I8" s="98">
        <v>3</v>
      </c>
      <c r="J8" s="98">
        <v>1.5</v>
      </c>
      <c r="K8" s="99">
        <f t="shared" ref="K8:K71" si="0">ROUNDUP(G8+H8+I8+J8,0)</f>
        <v>6</v>
      </c>
      <c r="M8" s="35"/>
      <c r="N8" s="35"/>
      <c r="O8" s="35"/>
      <c r="P8" s="35"/>
      <c r="Q8" s="35"/>
      <c r="R8" s="35"/>
    </row>
    <row r="9" spans="2:18" ht="12.75" customHeight="1" x14ac:dyDescent="0.25">
      <c r="B9" s="89" t="s">
        <v>1</v>
      </c>
      <c r="C9" s="87" t="s">
        <v>117</v>
      </c>
      <c r="D9" s="87"/>
      <c r="E9" s="87"/>
      <c r="F9" s="97">
        <v>4</v>
      </c>
      <c r="G9" s="98">
        <v>0</v>
      </c>
      <c r="H9" s="98">
        <v>1</v>
      </c>
      <c r="I9" s="98">
        <v>3</v>
      </c>
      <c r="J9" s="98">
        <v>1.5</v>
      </c>
      <c r="K9" s="100">
        <f t="shared" si="0"/>
        <v>6</v>
      </c>
      <c r="M9" s="35"/>
      <c r="N9" s="35"/>
      <c r="O9" s="35"/>
      <c r="P9" s="35"/>
      <c r="Q9" s="35"/>
      <c r="R9" s="35"/>
    </row>
    <row r="10" spans="2:18" ht="12.75" customHeight="1" x14ac:dyDescent="0.25">
      <c r="B10" s="89" t="s">
        <v>2</v>
      </c>
      <c r="C10" s="87" t="s">
        <v>117</v>
      </c>
      <c r="D10" s="87"/>
      <c r="E10" s="87"/>
      <c r="F10" s="97">
        <v>4</v>
      </c>
      <c r="G10" s="98">
        <v>0</v>
      </c>
      <c r="H10" s="98">
        <v>1</v>
      </c>
      <c r="I10" s="98">
        <v>3</v>
      </c>
      <c r="J10" s="98">
        <v>1.5</v>
      </c>
      <c r="K10" s="100">
        <f t="shared" si="0"/>
        <v>6</v>
      </c>
      <c r="M10" s="35"/>
      <c r="N10" s="35"/>
      <c r="O10" s="35"/>
      <c r="P10" s="35"/>
      <c r="Q10" s="35"/>
      <c r="R10" s="35"/>
    </row>
    <row r="11" spans="2:18" ht="12.75" customHeight="1" x14ac:dyDescent="0.25">
      <c r="B11" s="89" t="s">
        <v>3</v>
      </c>
      <c r="C11" s="87" t="s">
        <v>117</v>
      </c>
      <c r="D11" s="87"/>
      <c r="E11" s="87"/>
      <c r="F11" s="97">
        <v>1</v>
      </c>
      <c r="G11" s="98">
        <v>1</v>
      </c>
      <c r="H11" s="98">
        <v>1</v>
      </c>
      <c r="I11" s="98">
        <v>0</v>
      </c>
      <c r="J11" s="98">
        <v>1</v>
      </c>
      <c r="K11" s="100">
        <f t="shared" si="0"/>
        <v>3</v>
      </c>
      <c r="M11" s="35"/>
      <c r="N11" s="35"/>
      <c r="O11" s="35"/>
      <c r="P11" s="35"/>
      <c r="Q11" s="35"/>
      <c r="R11" s="35"/>
    </row>
    <row r="12" spans="2:18" ht="12.75" customHeight="1" x14ac:dyDescent="0.25">
      <c r="B12" s="89" t="s">
        <v>4</v>
      </c>
      <c r="C12" s="87" t="s">
        <v>117</v>
      </c>
      <c r="D12" s="87"/>
      <c r="E12" s="87"/>
      <c r="F12" s="97">
        <v>1</v>
      </c>
      <c r="G12" s="98">
        <v>1</v>
      </c>
      <c r="H12" s="98">
        <v>1</v>
      </c>
      <c r="I12" s="98">
        <v>0</v>
      </c>
      <c r="J12" s="98">
        <v>1</v>
      </c>
      <c r="K12" s="100">
        <f t="shared" si="0"/>
        <v>3</v>
      </c>
      <c r="M12" s="35"/>
      <c r="N12" s="35"/>
      <c r="O12" s="35"/>
      <c r="P12" s="35"/>
      <c r="Q12" s="35"/>
      <c r="R12" s="35"/>
    </row>
    <row r="13" spans="2:18" ht="12.75" customHeight="1" x14ac:dyDescent="0.25">
      <c r="B13" s="89" t="s">
        <v>5</v>
      </c>
      <c r="C13" s="90" t="s">
        <v>118</v>
      </c>
      <c r="D13" s="90"/>
      <c r="E13" s="90"/>
      <c r="F13" s="97">
        <v>0.5</v>
      </c>
      <c r="G13" s="98">
        <v>0</v>
      </c>
      <c r="H13" s="98">
        <v>2</v>
      </c>
      <c r="I13" s="98">
        <v>3</v>
      </c>
      <c r="J13" s="98">
        <v>2</v>
      </c>
      <c r="K13" s="100">
        <f t="shared" si="0"/>
        <v>7</v>
      </c>
      <c r="M13" s="35"/>
      <c r="N13" s="35"/>
      <c r="O13" s="35"/>
      <c r="P13" s="35"/>
      <c r="Q13" s="35"/>
      <c r="R13" s="35"/>
    </row>
    <row r="14" spans="2:18" ht="12.75" customHeight="1" x14ac:dyDescent="0.25">
      <c r="B14" s="89" t="s">
        <v>6</v>
      </c>
      <c r="C14" s="90" t="s">
        <v>122</v>
      </c>
      <c r="D14" s="90"/>
      <c r="E14" s="90"/>
      <c r="F14" s="97">
        <v>2</v>
      </c>
      <c r="G14" s="98">
        <v>0</v>
      </c>
      <c r="H14" s="98">
        <v>1</v>
      </c>
      <c r="I14" s="98">
        <v>3</v>
      </c>
      <c r="J14" s="98">
        <v>1.5</v>
      </c>
      <c r="K14" s="100">
        <f t="shared" si="0"/>
        <v>6</v>
      </c>
      <c r="M14" s="35"/>
      <c r="N14" s="35"/>
      <c r="O14" s="35"/>
      <c r="P14" s="35"/>
      <c r="Q14" s="35"/>
      <c r="R14" s="35"/>
    </row>
    <row r="15" spans="2:18" ht="12.75" customHeight="1" x14ac:dyDescent="0.25">
      <c r="B15" s="89" t="s">
        <v>7</v>
      </c>
      <c r="C15" s="90" t="s">
        <v>503</v>
      </c>
      <c r="D15" s="90" t="s">
        <v>122</v>
      </c>
      <c r="E15" s="90"/>
      <c r="F15" s="97">
        <v>10</v>
      </c>
      <c r="G15" s="98">
        <v>0</v>
      </c>
      <c r="H15" s="98">
        <v>1</v>
      </c>
      <c r="I15" s="98">
        <v>3</v>
      </c>
      <c r="J15" s="98">
        <v>1.5</v>
      </c>
      <c r="K15" s="100">
        <f t="shared" si="0"/>
        <v>6</v>
      </c>
      <c r="M15" s="35"/>
      <c r="N15" s="35"/>
      <c r="O15" s="35"/>
      <c r="P15" s="35"/>
      <c r="Q15" s="35"/>
      <c r="R15" s="35"/>
    </row>
    <row r="16" spans="2:18" ht="12.75" customHeight="1" x14ac:dyDescent="0.25">
      <c r="B16" s="89" t="s">
        <v>8</v>
      </c>
      <c r="C16" s="90" t="s">
        <v>503</v>
      </c>
      <c r="D16" s="90"/>
      <c r="E16" s="90"/>
      <c r="F16" s="97">
        <v>1</v>
      </c>
      <c r="G16" s="98">
        <v>0</v>
      </c>
      <c r="H16" s="98">
        <v>1</v>
      </c>
      <c r="I16" s="98">
        <v>3</v>
      </c>
      <c r="J16" s="98">
        <v>1.5</v>
      </c>
      <c r="K16" s="100">
        <f t="shared" si="0"/>
        <v>6</v>
      </c>
      <c r="M16" s="35"/>
      <c r="N16" s="35"/>
      <c r="O16" s="35"/>
      <c r="P16" s="35"/>
      <c r="Q16" s="35"/>
      <c r="R16" s="35"/>
    </row>
    <row r="17" spans="2:18" ht="12.75" customHeight="1" x14ac:dyDescent="0.25">
      <c r="B17" s="89" t="s">
        <v>9</v>
      </c>
      <c r="C17" s="90" t="s">
        <v>119</v>
      </c>
      <c r="D17" s="90" t="s">
        <v>118</v>
      </c>
      <c r="E17" s="90" t="s">
        <v>122</v>
      </c>
      <c r="F17" s="97">
        <v>0.5</v>
      </c>
      <c r="G17" s="98">
        <v>0</v>
      </c>
      <c r="H17" s="98">
        <v>2</v>
      </c>
      <c r="I17" s="98">
        <v>3</v>
      </c>
      <c r="J17" s="98">
        <v>2</v>
      </c>
      <c r="K17" s="100">
        <f t="shared" si="0"/>
        <v>7</v>
      </c>
      <c r="M17" s="35"/>
      <c r="N17" s="35"/>
      <c r="O17" s="35"/>
      <c r="P17" s="35"/>
      <c r="Q17" s="35"/>
      <c r="R17" s="35"/>
    </row>
    <row r="18" spans="2:18" ht="12.75" customHeight="1" x14ac:dyDescent="0.25">
      <c r="B18" s="89" t="s">
        <v>10</v>
      </c>
      <c r="C18" s="87" t="s">
        <v>120</v>
      </c>
      <c r="D18" s="87"/>
      <c r="E18" s="87"/>
      <c r="F18" s="97">
        <v>1</v>
      </c>
      <c r="G18" s="98">
        <v>0</v>
      </c>
      <c r="H18" s="98">
        <v>1</v>
      </c>
      <c r="I18" s="98">
        <v>3</v>
      </c>
      <c r="J18" s="98">
        <v>1.5</v>
      </c>
      <c r="K18" s="100">
        <f t="shared" si="0"/>
        <v>6</v>
      </c>
      <c r="M18" s="35"/>
      <c r="N18" s="35"/>
      <c r="O18" s="35"/>
      <c r="P18" s="35"/>
      <c r="Q18" s="35"/>
      <c r="R18" s="35"/>
    </row>
    <row r="19" spans="2:18" ht="12.75" customHeight="1" x14ac:dyDescent="0.25">
      <c r="B19" s="89" t="s">
        <v>11</v>
      </c>
      <c r="C19" s="87" t="s">
        <v>120</v>
      </c>
      <c r="D19" s="87"/>
      <c r="E19" s="87"/>
      <c r="F19" s="97">
        <v>24</v>
      </c>
      <c r="G19" s="98">
        <v>0</v>
      </c>
      <c r="H19" s="98">
        <v>1</v>
      </c>
      <c r="I19" s="98">
        <v>3</v>
      </c>
      <c r="J19" s="98">
        <v>1.5</v>
      </c>
      <c r="K19" s="100">
        <f t="shared" si="0"/>
        <v>6</v>
      </c>
      <c r="M19" s="35"/>
      <c r="N19" s="35"/>
      <c r="O19" s="35"/>
      <c r="P19" s="35"/>
      <c r="Q19" s="35"/>
      <c r="R19" s="35"/>
    </row>
    <row r="20" spans="2:18" ht="12.75" customHeight="1" x14ac:dyDescent="0.25">
      <c r="B20" s="89" t="s">
        <v>12</v>
      </c>
      <c r="C20" s="87" t="s">
        <v>120</v>
      </c>
      <c r="D20" s="87"/>
      <c r="E20" s="87"/>
      <c r="F20" s="97">
        <v>24</v>
      </c>
      <c r="G20" s="98">
        <v>0</v>
      </c>
      <c r="H20" s="98">
        <v>1</v>
      </c>
      <c r="I20" s="98">
        <v>3</v>
      </c>
      <c r="J20" s="98">
        <v>1.5</v>
      </c>
      <c r="K20" s="100">
        <f t="shared" si="0"/>
        <v>6</v>
      </c>
      <c r="M20" s="35"/>
      <c r="N20" s="35"/>
      <c r="O20" s="35"/>
      <c r="P20" s="35"/>
      <c r="Q20" s="35"/>
    </row>
    <row r="21" spans="2:18" ht="12.75" customHeight="1" x14ac:dyDescent="0.25">
      <c r="B21" s="89" t="s">
        <v>13</v>
      </c>
      <c r="C21" s="87" t="s">
        <v>120</v>
      </c>
      <c r="D21" s="87"/>
      <c r="E21" s="87"/>
      <c r="F21" s="97">
        <v>24</v>
      </c>
      <c r="G21" s="98">
        <v>0</v>
      </c>
      <c r="H21" s="98">
        <v>1</v>
      </c>
      <c r="I21" s="98">
        <v>3</v>
      </c>
      <c r="J21" s="98">
        <v>1.5</v>
      </c>
      <c r="K21" s="100">
        <f t="shared" si="0"/>
        <v>6</v>
      </c>
      <c r="M21" s="35"/>
      <c r="N21" s="35"/>
      <c r="O21" s="35"/>
      <c r="P21" s="35"/>
      <c r="Q21" s="35"/>
    </row>
    <row r="22" spans="2:18" ht="12.75" customHeight="1" x14ac:dyDescent="0.25">
      <c r="B22" s="89" t="s">
        <v>14</v>
      </c>
      <c r="C22" s="87" t="s">
        <v>120</v>
      </c>
      <c r="D22" s="87"/>
      <c r="E22" s="87"/>
      <c r="F22" s="97">
        <v>24</v>
      </c>
      <c r="G22" s="98">
        <v>0</v>
      </c>
      <c r="H22" s="98">
        <v>1</v>
      </c>
      <c r="I22" s="98">
        <v>3</v>
      </c>
      <c r="J22" s="98">
        <v>1.5</v>
      </c>
      <c r="K22" s="100">
        <f t="shared" si="0"/>
        <v>6</v>
      </c>
      <c r="M22" s="35"/>
      <c r="N22" s="35"/>
      <c r="O22" s="35"/>
      <c r="P22" s="35"/>
      <c r="Q22" s="35"/>
      <c r="R22" s="35"/>
    </row>
    <row r="23" spans="2:18" ht="12.75" customHeight="1" x14ac:dyDescent="0.25">
      <c r="B23" s="89" t="s">
        <v>15</v>
      </c>
      <c r="C23" s="87" t="s">
        <v>120</v>
      </c>
      <c r="D23" s="87"/>
      <c r="E23" s="87"/>
      <c r="F23" s="97">
        <v>24</v>
      </c>
      <c r="G23" s="98">
        <v>0</v>
      </c>
      <c r="H23" s="98">
        <v>1</v>
      </c>
      <c r="I23" s="98">
        <v>3</v>
      </c>
      <c r="J23" s="98">
        <v>1.5</v>
      </c>
      <c r="K23" s="100">
        <f t="shared" si="0"/>
        <v>6</v>
      </c>
      <c r="M23" s="35"/>
      <c r="N23" s="35"/>
      <c r="O23" s="35"/>
      <c r="P23" s="35"/>
      <c r="Q23" s="35"/>
      <c r="R23" s="35"/>
    </row>
    <row r="24" spans="2:18" ht="12.75" customHeight="1" x14ac:dyDescent="0.25">
      <c r="B24" s="89" t="s">
        <v>16</v>
      </c>
      <c r="C24" s="87" t="s">
        <v>120</v>
      </c>
      <c r="D24" s="87"/>
      <c r="E24" s="87"/>
      <c r="F24" s="97">
        <v>24</v>
      </c>
      <c r="G24" s="98">
        <v>0</v>
      </c>
      <c r="H24" s="98">
        <v>1</v>
      </c>
      <c r="I24" s="98">
        <v>3</v>
      </c>
      <c r="J24" s="98">
        <v>1.5</v>
      </c>
      <c r="K24" s="100">
        <f t="shared" si="0"/>
        <v>6</v>
      </c>
      <c r="M24" s="35"/>
      <c r="N24" s="35"/>
      <c r="O24" s="35"/>
      <c r="P24" s="35"/>
      <c r="Q24" s="35"/>
      <c r="R24" s="35"/>
    </row>
    <row r="25" spans="2:18" ht="12.75" customHeight="1" x14ac:dyDescent="0.25">
      <c r="B25" s="89" t="s">
        <v>17</v>
      </c>
      <c r="C25" s="87" t="s">
        <v>120</v>
      </c>
      <c r="D25" s="87"/>
      <c r="E25" s="87"/>
      <c r="F25" s="97">
        <v>24</v>
      </c>
      <c r="G25" s="98">
        <v>0</v>
      </c>
      <c r="H25" s="98">
        <v>1</v>
      </c>
      <c r="I25" s="98">
        <v>3</v>
      </c>
      <c r="J25" s="98">
        <v>1.5</v>
      </c>
      <c r="K25" s="100">
        <f t="shared" si="0"/>
        <v>6</v>
      </c>
      <c r="M25" s="35"/>
      <c r="N25" s="35"/>
      <c r="O25" s="35"/>
      <c r="P25" s="35"/>
      <c r="Q25" s="35"/>
      <c r="R25" s="35"/>
    </row>
    <row r="26" spans="2:18" ht="12.75" customHeight="1" x14ac:dyDescent="0.25">
      <c r="B26" s="89" t="s">
        <v>18</v>
      </c>
      <c r="C26" s="87" t="s">
        <v>120</v>
      </c>
      <c r="D26" s="87"/>
      <c r="E26" s="87"/>
      <c r="F26" s="97">
        <v>24</v>
      </c>
      <c r="G26" s="98">
        <v>0</v>
      </c>
      <c r="H26" s="98">
        <v>1</v>
      </c>
      <c r="I26" s="98">
        <v>3</v>
      </c>
      <c r="J26" s="98">
        <v>1.5</v>
      </c>
      <c r="K26" s="100">
        <f t="shared" si="0"/>
        <v>6</v>
      </c>
      <c r="M26" s="35"/>
      <c r="N26" s="35"/>
      <c r="O26" s="35"/>
      <c r="P26" s="35"/>
      <c r="Q26" s="35"/>
      <c r="R26" s="35"/>
    </row>
    <row r="27" spans="2:18" ht="12.75" customHeight="1" x14ac:dyDescent="0.25">
      <c r="B27" s="89" t="s">
        <v>19</v>
      </c>
      <c r="C27" s="87" t="s">
        <v>120</v>
      </c>
      <c r="D27" s="87"/>
      <c r="E27" s="87"/>
      <c r="F27" s="97">
        <v>24</v>
      </c>
      <c r="G27" s="98">
        <v>0</v>
      </c>
      <c r="H27" s="98">
        <v>1</v>
      </c>
      <c r="I27" s="98">
        <v>3</v>
      </c>
      <c r="J27" s="98">
        <v>1.5</v>
      </c>
      <c r="K27" s="100">
        <f t="shared" si="0"/>
        <v>6</v>
      </c>
      <c r="M27" s="35"/>
      <c r="N27" s="35"/>
      <c r="O27" s="35"/>
      <c r="P27" s="35"/>
      <c r="Q27" s="35"/>
      <c r="R27" s="35"/>
    </row>
    <row r="28" spans="2:18" ht="12.75" customHeight="1" x14ac:dyDescent="0.25">
      <c r="B28" s="89" t="s">
        <v>20</v>
      </c>
      <c r="C28" s="87" t="s">
        <v>120</v>
      </c>
      <c r="D28" s="87"/>
      <c r="E28" s="87"/>
      <c r="F28" s="97">
        <v>24</v>
      </c>
      <c r="G28" s="98">
        <v>0</v>
      </c>
      <c r="H28" s="98">
        <v>1</v>
      </c>
      <c r="I28" s="98">
        <v>3</v>
      </c>
      <c r="J28" s="98">
        <v>1.5</v>
      </c>
      <c r="K28" s="100">
        <f t="shared" si="0"/>
        <v>6</v>
      </c>
      <c r="M28" s="35"/>
      <c r="N28" s="35"/>
      <c r="O28" s="35"/>
      <c r="P28" s="35"/>
      <c r="Q28" s="35"/>
      <c r="R28" s="35"/>
    </row>
    <row r="29" spans="2:18" ht="12.75" customHeight="1" x14ac:dyDescent="0.25">
      <c r="B29" s="89" t="s">
        <v>21</v>
      </c>
      <c r="C29" s="87" t="s">
        <v>120</v>
      </c>
      <c r="D29" s="87"/>
      <c r="E29" s="87"/>
      <c r="F29" s="97">
        <v>24</v>
      </c>
      <c r="G29" s="98">
        <v>0</v>
      </c>
      <c r="H29" s="98">
        <v>1</v>
      </c>
      <c r="I29" s="98">
        <v>3</v>
      </c>
      <c r="J29" s="98">
        <v>1.5</v>
      </c>
      <c r="K29" s="100">
        <f t="shared" si="0"/>
        <v>6</v>
      </c>
      <c r="M29" s="35"/>
      <c r="N29" s="35"/>
      <c r="O29" s="35"/>
      <c r="P29" s="35"/>
      <c r="Q29" s="35"/>
      <c r="R29" s="35"/>
    </row>
    <row r="30" spans="2:18" ht="12.75" customHeight="1" x14ac:dyDescent="0.25">
      <c r="B30" s="89" t="s">
        <v>22</v>
      </c>
      <c r="C30" s="87" t="s">
        <v>120</v>
      </c>
      <c r="D30" s="87"/>
      <c r="E30" s="87"/>
      <c r="F30" s="97">
        <v>24</v>
      </c>
      <c r="G30" s="98">
        <v>0</v>
      </c>
      <c r="H30" s="98">
        <v>1</v>
      </c>
      <c r="I30" s="98">
        <v>3</v>
      </c>
      <c r="J30" s="98">
        <v>1.5</v>
      </c>
      <c r="K30" s="100">
        <f t="shared" si="0"/>
        <v>6</v>
      </c>
      <c r="M30" s="35"/>
      <c r="N30" s="35"/>
      <c r="O30" s="35"/>
      <c r="P30" s="35"/>
      <c r="Q30" s="35"/>
      <c r="R30" s="35"/>
    </row>
    <row r="31" spans="2:18" ht="12.75" customHeight="1" x14ac:dyDescent="0.25">
      <c r="B31" s="89" t="s">
        <v>23</v>
      </c>
      <c r="C31" s="87" t="s">
        <v>120</v>
      </c>
      <c r="D31" s="87"/>
      <c r="E31" s="87"/>
      <c r="F31" s="97">
        <v>24</v>
      </c>
      <c r="G31" s="98">
        <v>0</v>
      </c>
      <c r="H31" s="98">
        <v>1</v>
      </c>
      <c r="I31" s="98">
        <v>3</v>
      </c>
      <c r="J31" s="98">
        <v>1.5</v>
      </c>
      <c r="K31" s="100">
        <f t="shared" si="0"/>
        <v>6</v>
      </c>
      <c r="M31" s="35"/>
      <c r="N31" s="35"/>
      <c r="O31" s="35"/>
      <c r="P31" s="35"/>
      <c r="Q31" s="35"/>
      <c r="R31" s="35"/>
    </row>
    <row r="32" spans="2:18" ht="12.75" customHeight="1" x14ac:dyDescent="0.25">
      <c r="B32" s="89" t="s">
        <v>24</v>
      </c>
      <c r="C32" s="87" t="s">
        <v>120</v>
      </c>
      <c r="D32" s="87"/>
      <c r="E32" s="87"/>
      <c r="F32" s="97">
        <v>24</v>
      </c>
      <c r="G32" s="98">
        <v>0</v>
      </c>
      <c r="H32" s="98">
        <v>1</v>
      </c>
      <c r="I32" s="98">
        <v>3</v>
      </c>
      <c r="J32" s="98">
        <v>1.5</v>
      </c>
      <c r="K32" s="100">
        <f t="shared" si="0"/>
        <v>6</v>
      </c>
      <c r="M32" s="35"/>
      <c r="N32" s="35"/>
      <c r="O32" s="35"/>
      <c r="P32" s="35"/>
      <c r="Q32" s="35"/>
      <c r="R32" s="35"/>
    </row>
    <row r="33" spans="2:18" ht="12.75" customHeight="1" x14ac:dyDescent="0.25">
      <c r="B33" s="89" t="s">
        <v>25</v>
      </c>
      <c r="C33" s="87" t="s">
        <v>120</v>
      </c>
      <c r="D33" s="87"/>
      <c r="E33" s="87"/>
      <c r="F33" s="97">
        <v>48</v>
      </c>
      <c r="G33" s="98">
        <v>0</v>
      </c>
      <c r="H33" s="98">
        <v>1</v>
      </c>
      <c r="I33" s="98">
        <v>3</v>
      </c>
      <c r="J33" s="98">
        <v>1.5</v>
      </c>
      <c r="K33" s="100">
        <f t="shared" si="0"/>
        <v>6</v>
      </c>
      <c r="M33" s="35"/>
      <c r="N33" s="35"/>
      <c r="O33" s="35"/>
      <c r="P33" s="35"/>
      <c r="Q33" s="35"/>
      <c r="R33" s="35"/>
    </row>
    <row r="34" spans="2:18" ht="12.75" customHeight="1" x14ac:dyDescent="0.25">
      <c r="B34" s="89" t="s">
        <v>26</v>
      </c>
      <c r="C34" s="87" t="s">
        <v>120</v>
      </c>
      <c r="D34" s="87"/>
      <c r="E34" s="87"/>
      <c r="F34" s="97">
        <v>24</v>
      </c>
      <c r="G34" s="98">
        <v>0</v>
      </c>
      <c r="H34" s="98">
        <v>1</v>
      </c>
      <c r="I34" s="98">
        <v>3</v>
      </c>
      <c r="J34" s="98">
        <v>1.5</v>
      </c>
      <c r="K34" s="100">
        <f t="shared" si="0"/>
        <v>6</v>
      </c>
      <c r="M34" s="35"/>
      <c r="N34" s="35"/>
      <c r="O34" s="35"/>
      <c r="P34" s="35"/>
      <c r="Q34" s="35"/>
      <c r="R34" s="35"/>
    </row>
    <row r="35" spans="2:18" ht="12.75" customHeight="1" x14ac:dyDescent="0.25">
      <c r="B35" s="89" t="s">
        <v>27</v>
      </c>
      <c r="C35" s="87" t="s">
        <v>120</v>
      </c>
      <c r="D35" s="87"/>
      <c r="E35" s="87"/>
      <c r="F35" s="97">
        <v>48</v>
      </c>
      <c r="G35" s="98">
        <v>0</v>
      </c>
      <c r="H35" s="98">
        <v>1</v>
      </c>
      <c r="I35" s="98">
        <v>3</v>
      </c>
      <c r="J35" s="98">
        <v>1.5</v>
      </c>
      <c r="K35" s="100">
        <f t="shared" si="0"/>
        <v>6</v>
      </c>
      <c r="M35" s="35"/>
      <c r="N35" s="35"/>
      <c r="O35" s="35"/>
      <c r="P35" s="35"/>
      <c r="Q35" s="35"/>
      <c r="R35" s="35"/>
    </row>
    <row r="36" spans="2:18" ht="12.75" customHeight="1" x14ac:dyDescent="0.25">
      <c r="B36" s="89" t="s">
        <v>28</v>
      </c>
      <c r="C36" s="87" t="s">
        <v>120</v>
      </c>
      <c r="D36" s="87"/>
      <c r="E36" s="87"/>
      <c r="F36" s="97">
        <v>48</v>
      </c>
      <c r="G36" s="98">
        <v>0</v>
      </c>
      <c r="H36" s="98">
        <v>1</v>
      </c>
      <c r="I36" s="98">
        <v>3</v>
      </c>
      <c r="J36" s="98">
        <v>1.5</v>
      </c>
      <c r="K36" s="100">
        <f t="shared" si="0"/>
        <v>6</v>
      </c>
      <c r="M36" s="35"/>
      <c r="N36" s="35"/>
      <c r="O36" s="35"/>
      <c r="P36" s="35"/>
      <c r="Q36" s="35"/>
      <c r="R36" s="35"/>
    </row>
    <row r="37" spans="2:18" ht="12.75" customHeight="1" x14ac:dyDescent="0.25">
      <c r="B37" s="89" t="s">
        <v>29</v>
      </c>
      <c r="C37" s="87" t="s">
        <v>120</v>
      </c>
      <c r="D37" s="87"/>
      <c r="E37" s="87"/>
      <c r="F37" s="97">
        <v>48</v>
      </c>
      <c r="G37" s="98">
        <v>0</v>
      </c>
      <c r="H37" s="98">
        <v>1</v>
      </c>
      <c r="I37" s="98">
        <v>3</v>
      </c>
      <c r="J37" s="98">
        <v>1.5</v>
      </c>
      <c r="K37" s="100">
        <f t="shared" si="0"/>
        <v>6</v>
      </c>
      <c r="M37" s="35"/>
      <c r="N37" s="35"/>
      <c r="O37" s="35"/>
      <c r="P37" s="35"/>
      <c r="Q37" s="35"/>
      <c r="R37" s="35"/>
    </row>
    <row r="38" spans="2:18" ht="12.75" customHeight="1" x14ac:dyDescent="0.25">
      <c r="B38" s="89" t="s">
        <v>30</v>
      </c>
      <c r="C38" s="87" t="s">
        <v>120</v>
      </c>
      <c r="D38" s="87"/>
      <c r="E38" s="87"/>
      <c r="F38" s="97">
        <v>24</v>
      </c>
      <c r="G38" s="98">
        <v>0</v>
      </c>
      <c r="H38" s="98">
        <v>1</v>
      </c>
      <c r="I38" s="98">
        <v>3</v>
      </c>
      <c r="J38" s="98">
        <v>1.5</v>
      </c>
      <c r="K38" s="100">
        <f t="shared" si="0"/>
        <v>6</v>
      </c>
      <c r="M38" s="35"/>
      <c r="N38" s="35"/>
      <c r="O38" s="35"/>
      <c r="P38" s="35"/>
      <c r="Q38" s="35"/>
      <c r="R38" s="35"/>
    </row>
    <row r="39" spans="2:18" ht="12.75" customHeight="1" x14ac:dyDescent="0.25">
      <c r="B39" s="89" t="s">
        <v>31</v>
      </c>
      <c r="C39" s="87" t="s">
        <v>120</v>
      </c>
      <c r="D39" s="87"/>
      <c r="E39" s="87"/>
      <c r="F39" s="97">
        <v>24</v>
      </c>
      <c r="G39" s="98">
        <v>0</v>
      </c>
      <c r="H39" s="98">
        <v>1</v>
      </c>
      <c r="I39" s="98">
        <v>3</v>
      </c>
      <c r="J39" s="98">
        <v>1.5</v>
      </c>
      <c r="K39" s="100">
        <f t="shared" si="0"/>
        <v>6</v>
      </c>
      <c r="M39" s="35"/>
      <c r="N39" s="35"/>
      <c r="O39" s="35"/>
      <c r="P39" s="35"/>
      <c r="Q39" s="35"/>
      <c r="R39" s="35"/>
    </row>
    <row r="40" spans="2:18" ht="12.75" customHeight="1" x14ac:dyDescent="0.25">
      <c r="B40" s="89" t="s">
        <v>32</v>
      </c>
      <c r="C40" s="87" t="s">
        <v>120</v>
      </c>
      <c r="D40" s="87"/>
      <c r="E40" s="87"/>
      <c r="F40" s="97">
        <v>48</v>
      </c>
      <c r="G40" s="98">
        <v>0</v>
      </c>
      <c r="H40" s="98">
        <v>1</v>
      </c>
      <c r="I40" s="98">
        <v>3</v>
      </c>
      <c r="J40" s="98">
        <v>1.5</v>
      </c>
      <c r="K40" s="100">
        <f t="shared" si="0"/>
        <v>6</v>
      </c>
      <c r="M40" s="35"/>
      <c r="N40" s="35"/>
      <c r="O40" s="35"/>
      <c r="P40" s="35"/>
      <c r="Q40" s="35"/>
      <c r="R40" s="35"/>
    </row>
    <row r="41" spans="2:18" ht="12.75" customHeight="1" x14ac:dyDescent="0.25">
      <c r="B41" s="89" t="s">
        <v>33</v>
      </c>
      <c r="C41" s="87" t="s">
        <v>120</v>
      </c>
      <c r="D41" s="87"/>
      <c r="E41" s="87"/>
      <c r="F41" s="97">
        <v>32</v>
      </c>
      <c r="G41" s="98">
        <v>0</v>
      </c>
      <c r="H41" s="98">
        <v>1</v>
      </c>
      <c r="I41" s="98">
        <v>3</v>
      </c>
      <c r="J41" s="98">
        <v>1.5</v>
      </c>
      <c r="K41" s="100">
        <f t="shared" si="0"/>
        <v>6</v>
      </c>
      <c r="M41" s="35"/>
      <c r="N41" s="35"/>
      <c r="O41" s="35"/>
      <c r="P41" s="35"/>
      <c r="Q41" s="35"/>
      <c r="R41" s="35"/>
    </row>
    <row r="42" spans="2:18" ht="12.75" customHeight="1" x14ac:dyDescent="0.25">
      <c r="B42" s="89" t="s">
        <v>34</v>
      </c>
      <c r="C42" s="87" t="s">
        <v>120</v>
      </c>
      <c r="D42" s="87"/>
      <c r="E42" s="87"/>
      <c r="F42" s="97">
        <v>32</v>
      </c>
      <c r="G42" s="98">
        <v>0</v>
      </c>
      <c r="H42" s="98">
        <v>1</v>
      </c>
      <c r="I42" s="98">
        <v>3</v>
      </c>
      <c r="J42" s="98">
        <v>1.5</v>
      </c>
      <c r="K42" s="100">
        <f t="shared" si="0"/>
        <v>6</v>
      </c>
      <c r="M42" s="35"/>
      <c r="N42" s="35"/>
      <c r="O42" s="35"/>
      <c r="P42" s="35"/>
      <c r="Q42" s="35"/>
      <c r="R42" s="35"/>
    </row>
    <row r="43" spans="2:18" ht="12.75" customHeight="1" x14ac:dyDescent="0.25">
      <c r="B43" s="89" t="s">
        <v>35</v>
      </c>
      <c r="C43" s="87" t="s">
        <v>120</v>
      </c>
      <c r="D43" s="87"/>
      <c r="E43" s="87"/>
      <c r="F43" s="97">
        <v>96</v>
      </c>
      <c r="G43" s="98">
        <v>0</v>
      </c>
      <c r="H43" s="98">
        <v>1</v>
      </c>
      <c r="I43" s="98">
        <v>3</v>
      </c>
      <c r="J43" s="98">
        <v>1.5</v>
      </c>
      <c r="K43" s="100">
        <f t="shared" si="0"/>
        <v>6</v>
      </c>
      <c r="M43" s="35"/>
      <c r="N43" s="35"/>
      <c r="O43" s="35"/>
      <c r="P43" s="35"/>
      <c r="Q43" s="35"/>
      <c r="R43" s="35"/>
    </row>
    <row r="44" spans="2:18" ht="12.75" customHeight="1" x14ac:dyDescent="0.25">
      <c r="B44" s="91" t="s">
        <v>36</v>
      </c>
      <c r="C44" s="87" t="s">
        <v>121</v>
      </c>
      <c r="D44" s="87"/>
      <c r="E44" s="87"/>
      <c r="F44" s="97">
        <v>24</v>
      </c>
      <c r="G44" s="98">
        <v>0</v>
      </c>
      <c r="H44" s="98">
        <v>1</v>
      </c>
      <c r="I44" s="98">
        <v>3</v>
      </c>
      <c r="J44" s="98">
        <v>1.5</v>
      </c>
      <c r="K44" s="100">
        <f t="shared" si="0"/>
        <v>6</v>
      </c>
      <c r="M44" s="35"/>
      <c r="N44" s="35"/>
      <c r="O44" s="35"/>
      <c r="P44" s="35"/>
      <c r="Q44" s="35"/>
      <c r="R44" s="35"/>
    </row>
    <row r="45" spans="2:18" ht="12.75" customHeight="1" x14ac:dyDescent="0.25">
      <c r="B45" s="89" t="s">
        <v>37</v>
      </c>
      <c r="C45" s="87" t="s">
        <v>121</v>
      </c>
      <c r="D45" s="87"/>
      <c r="E45" s="87"/>
      <c r="F45" s="97">
        <v>20</v>
      </c>
      <c r="G45" s="98">
        <v>0</v>
      </c>
      <c r="H45" s="98">
        <v>1</v>
      </c>
      <c r="I45" s="98">
        <v>3</v>
      </c>
      <c r="J45" s="98">
        <v>1.5</v>
      </c>
      <c r="K45" s="100">
        <f t="shared" si="0"/>
        <v>6</v>
      </c>
      <c r="M45" s="35"/>
      <c r="N45" s="35"/>
      <c r="O45" s="35"/>
      <c r="P45" s="35"/>
      <c r="Q45" s="35"/>
      <c r="R45" s="35"/>
    </row>
    <row r="46" spans="2:18" ht="12.75" customHeight="1" x14ac:dyDescent="0.25">
      <c r="B46" s="89" t="s">
        <v>38</v>
      </c>
      <c r="C46" s="87" t="s">
        <v>123</v>
      </c>
      <c r="D46" s="87"/>
      <c r="E46" s="87"/>
      <c r="F46" s="97">
        <v>20</v>
      </c>
      <c r="G46" s="98">
        <v>0</v>
      </c>
      <c r="H46" s="98">
        <v>1</v>
      </c>
      <c r="I46" s="98">
        <v>3</v>
      </c>
      <c r="J46" s="98">
        <v>1.5</v>
      </c>
      <c r="K46" s="100">
        <f t="shared" si="0"/>
        <v>6</v>
      </c>
      <c r="M46" s="35"/>
      <c r="N46" s="35"/>
      <c r="O46" s="35"/>
      <c r="P46" s="35"/>
      <c r="Q46" s="35"/>
      <c r="R46" s="35"/>
    </row>
    <row r="47" spans="2:18" ht="12.75" customHeight="1" x14ac:dyDescent="0.25">
      <c r="B47" s="89" t="s">
        <v>39</v>
      </c>
      <c r="C47" s="87" t="s">
        <v>121</v>
      </c>
      <c r="D47" s="87"/>
      <c r="E47" s="87"/>
      <c r="F47" s="97">
        <v>16</v>
      </c>
      <c r="G47" s="98">
        <v>0</v>
      </c>
      <c r="H47" s="98">
        <v>1</v>
      </c>
      <c r="I47" s="98">
        <v>3</v>
      </c>
      <c r="J47" s="98">
        <v>1.5</v>
      </c>
      <c r="K47" s="100">
        <f t="shared" si="0"/>
        <v>6</v>
      </c>
      <c r="M47" s="35"/>
      <c r="N47" s="35"/>
      <c r="O47" s="35"/>
      <c r="P47" s="35"/>
      <c r="Q47" s="35"/>
      <c r="R47" s="35"/>
    </row>
    <row r="48" spans="2:18" ht="12.75" customHeight="1" x14ac:dyDescent="0.25">
      <c r="B48" s="89" t="s">
        <v>40</v>
      </c>
      <c r="C48" s="87" t="s">
        <v>121</v>
      </c>
      <c r="D48" s="87"/>
      <c r="E48" s="87"/>
      <c r="F48" s="97">
        <v>20</v>
      </c>
      <c r="G48" s="98">
        <v>0</v>
      </c>
      <c r="H48" s="98">
        <v>1</v>
      </c>
      <c r="I48" s="98">
        <v>3</v>
      </c>
      <c r="J48" s="98">
        <v>1.5</v>
      </c>
      <c r="K48" s="100">
        <f t="shared" si="0"/>
        <v>6</v>
      </c>
      <c r="M48" s="35"/>
      <c r="N48" s="35"/>
      <c r="O48" s="35"/>
      <c r="P48" s="35"/>
      <c r="Q48" s="35"/>
      <c r="R48" s="35"/>
    </row>
    <row r="49" spans="2:18" ht="12.75" customHeight="1" x14ac:dyDescent="0.25">
      <c r="B49" s="89" t="s">
        <v>41</v>
      </c>
      <c r="C49" s="87" t="s">
        <v>121</v>
      </c>
      <c r="D49" s="87"/>
      <c r="E49" s="87"/>
      <c r="F49" s="97">
        <v>20</v>
      </c>
      <c r="G49" s="98">
        <v>0</v>
      </c>
      <c r="H49" s="98">
        <v>1</v>
      </c>
      <c r="I49" s="98">
        <v>3</v>
      </c>
      <c r="J49" s="98">
        <v>1.5</v>
      </c>
      <c r="K49" s="100">
        <f t="shared" si="0"/>
        <v>6</v>
      </c>
      <c r="M49" s="35"/>
      <c r="N49" s="35"/>
      <c r="O49" s="35"/>
      <c r="P49" s="35"/>
      <c r="Q49" s="35"/>
      <c r="R49" s="35"/>
    </row>
    <row r="50" spans="2:18" ht="12.75" customHeight="1" x14ac:dyDescent="0.25">
      <c r="B50" s="89" t="s">
        <v>42</v>
      </c>
      <c r="C50" s="87" t="s">
        <v>121</v>
      </c>
      <c r="D50" s="87"/>
      <c r="E50" s="87"/>
      <c r="F50" s="97">
        <v>20</v>
      </c>
      <c r="G50" s="98">
        <v>0</v>
      </c>
      <c r="H50" s="98">
        <v>1</v>
      </c>
      <c r="I50" s="98">
        <v>3</v>
      </c>
      <c r="J50" s="98">
        <v>1.5</v>
      </c>
      <c r="K50" s="100">
        <f t="shared" si="0"/>
        <v>6</v>
      </c>
      <c r="M50" s="35"/>
      <c r="N50" s="35"/>
      <c r="O50" s="35"/>
      <c r="P50" s="35"/>
      <c r="Q50" s="35"/>
    </row>
    <row r="51" spans="2:18" ht="12.75" customHeight="1" x14ac:dyDescent="0.25">
      <c r="B51" s="89" t="s">
        <v>43</v>
      </c>
      <c r="C51" s="87" t="s">
        <v>121</v>
      </c>
      <c r="D51" s="87"/>
      <c r="E51" s="87"/>
      <c r="F51" s="97">
        <v>8</v>
      </c>
      <c r="G51" s="98">
        <v>0</v>
      </c>
      <c r="H51" s="98">
        <v>1.5</v>
      </c>
      <c r="I51" s="98">
        <v>3</v>
      </c>
      <c r="J51" s="98">
        <v>1.5</v>
      </c>
      <c r="K51" s="100">
        <f t="shared" si="0"/>
        <v>6</v>
      </c>
      <c r="M51" s="35"/>
      <c r="N51" s="35"/>
      <c r="O51" s="35"/>
      <c r="P51" s="35"/>
      <c r="Q51" s="35"/>
    </row>
    <row r="52" spans="2:18" ht="12.75" customHeight="1" x14ac:dyDescent="0.25">
      <c r="B52" s="89" t="s">
        <v>44</v>
      </c>
      <c r="C52" s="87" t="s">
        <v>121</v>
      </c>
      <c r="D52" s="87"/>
      <c r="E52" s="87"/>
      <c r="F52" s="97">
        <v>20</v>
      </c>
      <c r="G52" s="98">
        <v>0</v>
      </c>
      <c r="H52" s="98">
        <v>1</v>
      </c>
      <c r="I52" s="98">
        <v>3</v>
      </c>
      <c r="J52" s="98">
        <v>1.5</v>
      </c>
      <c r="K52" s="100">
        <f t="shared" si="0"/>
        <v>6</v>
      </c>
      <c r="M52" s="35"/>
      <c r="N52" s="35"/>
      <c r="O52" s="35"/>
      <c r="P52" s="35"/>
      <c r="Q52" s="35"/>
    </row>
    <row r="53" spans="2:18" ht="12.75" customHeight="1" x14ac:dyDescent="0.25">
      <c r="B53" s="89" t="s">
        <v>45</v>
      </c>
      <c r="C53" s="87" t="s">
        <v>121</v>
      </c>
      <c r="D53" s="87"/>
      <c r="E53" s="87"/>
      <c r="F53" s="97">
        <v>16</v>
      </c>
      <c r="G53" s="98">
        <v>0</v>
      </c>
      <c r="H53" s="98">
        <v>1</v>
      </c>
      <c r="I53" s="98">
        <v>3</v>
      </c>
      <c r="J53" s="98">
        <v>1.5</v>
      </c>
      <c r="K53" s="100">
        <f t="shared" si="0"/>
        <v>6</v>
      </c>
      <c r="M53" s="35"/>
      <c r="N53" s="35"/>
      <c r="O53" s="35"/>
      <c r="P53" s="35"/>
      <c r="Q53" s="35"/>
    </row>
    <row r="54" spans="2:18" ht="12.75" customHeight="1" x14ac:dyDescent="0.25">
      <c r="B54" s="89" t="s">
        <v>46</v>
      </c>
      <c r="C54" s="87" t="s">
        <v>121</v>
      </c>
      <c r="D54" s="87"/>
      <c r="E54" s="87"/>
      <c r="F54" s="97">
        <v>20</v>
      </c>
      <c r="G54" s="98">
        <v>0</v>
      </c>
      <c r="H54" s="98">
        <v>1</v>
      </c>
      <c r="I54" s="98">
        <v>3</v>
      </c>
      <c r="J54" s="98">
        <v>1.5</v>
      </c>
      <c r="K54" s="100">
        <f t="shared" si="0"/>
        <v>6</v>
      </c>
      <c r="M54" s="35"/>
      <c r="N54" s="35"/>
      <c r="O54" s="35"/>
      <c r="P54" s="35"/>
      <c r="Q54" s="35"/>
    </row>
    <row r="55" spans="2:18" ht="12.75" customHeight="1" x14ac:dyDescent="0.25">
      <c r="B55" s="89" t="s">
        <v>47</v>
      </c>
      <c r="C55" s="87" t="s">
        <v>121</v>
      </c>
      <c r="D55" s="87"/>
      <c r="E55" s="87"/>
      <c r="F55" s="97">
        <v>20</v>
      </c>
      <c r="G55" s="98">
        <v>0</v>
      </c>
      <c r="H55" s="98">
        <v>1</v>
      </c>
      <c r="I55" s="98">
        <v>3</v>
      </c>
      <c r="J55" s="98">
        <v>1.5</v>
      </c>
      <c r="K55" s="100">
        <f t="shared" si="0"/>
        <v>6</v>
      </c>
      <c r="M55" s="35"/>
      <c r="N55" s="35"/>
      <c r="O55" s="35"/>
      <c r="P55" s="35"/>
      <c r="Q55" s="35"/>
    </row>
    <row r="56" spans="2:18" ht="12.75" customHeight="1" x14ac:dyDescent="0.25">
      <c r="B56" s="89" t="s">
        <v>48</v>
      </c>
      <c r="C56" s="87" t="s">
        <v>121</v>
      </c>
      <c r="D56" s="87"/>
      <c r="E56" s="87"/>
      <c r="F56" s="97">
        <v>16</v>
      </c>
      <c r="G56" s="98">
        <v>0</v>
      </c>
      <c r="H56" s="98">
        <v>1</v>
      </c>
      <c r="I56" s="98">
        <v>3</v>
      </c>
      <c r="J56" s="98">
        <v>1.5</v>
      </c>
      <c r="K56" s="100">
        <f t="shared" si="0"/>
        <v>6</v>
      </c>
    </row>
    <row r="57" spans="2:18" ht="12.75" customHeight="1" x14ac:dyDescent="0.25">
      <c r="B57" s="89" t="s">
        <v>49</v>
      </c>
      <c r="C57" s="87" t="s">
        <v>503</v>
      </c>
      <c r="D57" s="87" t="s">
        <v>122</v>
      </c>
      <c r="E57" s="87"/>
      <c r="F57" s="97">
        <v>16</v>
      </c>
      <c r="G57" s="98">
        <v>0</v>
      </c>
      <c r="H57" s="98">
        <v>1</v>
      </c>
      <c r="I57" s="98">
        <v>3</v>
      </c>
      <c r="J57" s="98">
        <v>1.5</v>
      </c>
      <c r="K57" s="100">
        <f t="shared" si="0"/>
        <v>6</v>
      </c>
    </row>
    <row r="58" spans="2:18" ht="12.75" customHeight="1" x14ac:dyDescent="0.25">
      <c r="B58" s="89" t="s">
        <v>50</v>
      </c>
      <c r="C58" s="87" t="s">
        <v>121</v>
      </c>
      <c r="D58" s="87"/>
      <c r="E58" s="87"/>
      <c r="F58" s="97">
        <v>20</v>
      </c>
      <c r="G58" s="98">
        <v>0</v>
      </c>
      <c r="H58" s="98">
        <v>1</v>
      </c>
      <c r="I58" s="98">
        <v>3</v>
      </c>
      <c r="J58" s="98">
        <v>1.5</v>
      </c>
      <c r="K58" s="100">
        <f t="shared" si="0"/>
        <v>6</v>
      </c>
    </row>
    <row r="59" spans="2:18" ht="12.75" customHeight="1" x14ac:dyDescent="0.25">
      <c r="B59" s="89" t="s">
        <v>51</v>
      </c>
      <c r="C59" s="87" t="s">
        <v>121</v>
      </c>
      <c r="D59" s="87"/>
      <c r="E59" s="87"/>
      <c r="F59" s="97">
        <v>20</v>
      </c>
      <c r="G59" s="98">
        <v>0</v>
      </c>
      <c r="H59" s="98">
        <v>1</v>
      </c>
      <c r="I59" s="98">
        <v>3</v>
      </c>
      <c r="J59" s="98">
        <v>1.5</v>
      </c>
      <c r="K59" s="100">
        <f t="shared" si="0"/>
        <v>6</v>
      </c>
    </row>
    <row r="60" spans="2:18" ht="12.75" customHeight="1" x14ac:dyDescent="0.25">
      <c r="B60" s="89" t="s">
        <v>52</v>
      </c>
      <c r="C60" s="87" t="s">
        <v>121</v>
      </c>
      <c r="D60" s="87"/>
      <c r="E60" s="87"/>
      <c r="F60" s="97">
        <v>16</v>
      </c>
      <c r="G60" s="98">
        <v>0</v>
      </c>
      <c r="H60" s="98">
        <v>1</v>
      </c>
      <c r="I60" s="98">
        <v>3</v>
      </c>
      <c r="J60" s="98">
        <v>1.5</v>
      </c>
      <c r="K60" s="100">
        <f t="shared" si="0"/>
        <v>6</v>
      </c>
    </row>
    <row r="61" spans="2:18" ht="12.75" customHeight="1" x14ac:dyDescent="0.25">
      <c r="B61" s="89" t="s">
        <v>53</v>
      </c>
      <c r="C61" s="87" t="s">
        <v>121</v>
      </c>
      <c r="D61" s="87"/>
      <c r="E61" s="87"/>
      <c r="F61" s="97">
        <v>16</v>
      </c>
      <c r="G61" s="98">
        <v>0</v>
      </c>
      <c r="H61" s="98">
        <v>1</v>
      </c>
      <c r="I61" s="98">
        <v>3</v>
      </c>
      <c r="J61" s="98">
        <v>1.5</v>
      </c>
      <c r="K61" s="100">
        <f t="shared" si="0"/>
        <v>6</v>
      </c>
    </row>
    <row r="62" spans="2:18" ht="12.75" customHeight="1" x14ac:dyDescent="0.25">
      <c r="B62" s="89" t="s">
        <v>54</v>
      </c>
      <c r="C62" s="87" t="s">
        <v>123</v>
      </c>
      <c r="D62" s="87"/>
      <c r="E62" s="87"/>
      <c r="F62" s="97">
        <v>2</v>
      </c>
      <c r="G62" s="98">
        <v>0</v>
      </c>
      <c r="H62" s="98">
        <v>2</v>
      </c>
      <c r="I62" s="98">
        <v>4</v>
      </c>
      <c r="J62" s="98">
        <v>1.5</v>
      </c>
      <c r="K62" s="100">
        <f t="shared" si="0"/>
        <v>8</v>
      </c>
    </row>
    <row r="63" spans="2:18" ht="12.75" customHeight="1" x14ac:dyDescent="0.25">
      <c r="B63" s="89" t="s">
        <v>55</v>
      </c>
      <c r="C63" s="87" t="s">
        <v>123</v>
      </c>
      <c r="D63" s="87"/>
      <c r="E63" s="87"/>
      <c r="F63" s="97">
        <v>2</v>
      </c>
      <c r="G63" s="98">
        <v>0</v>
      </c>
      <c r="H63" s="98">
        <v>2</v>
      </c>
      <c r="I63" s="98">
        <v>4</v>
      </c>
      <c r="J63" s="98">
        <v>1.5</v>
      </c>
      <c r="K63" s="100">
        <f t="shared" si="0"/>
        <v>8</v>
      </c>
    </row>
    <row r="64" spans="2:18" ht="12.75" customHeight="1" x14ac:dyDescent="0.25">
      <c r="B64" s="89" t="s">
        <v>56</v>
      </c>
      <c r="C64" s="87" t="s">
        <v>119</v>
      </c>
      <c r="D64" s="87"/>
      <c r="E64" s="87"/>
      <c r="F64" s="97">
        <v>4</v>
      </c>
      <c r="G64" s="98">
        <v>0</v>
      </c>
      <c r="H64" s="98">
        <v>2</v>
      </c>
      <c r="I64" s="98">
        <v>4</v>
      </c>
      <c r="J64" s="98">
        <v>1.5</v>
      </c>
      <c r="K64" s="100">
        <f t="shared" si="0"/>
        <v>8</v>
      </c>
    </row>
    <row r="65" spans="2:11" ht="12.75" customHeight="1" x14ac:dyDescent="0.25">
      <c r="B65" s="89" t="s">
        <v>57</v>
      </c>
      <c r="C65" s="87" t="s">
        <v>119</v>
      </c>
      <c r="D65" s="87"/>
      <c r="E65" s="87"/>
      <c r="F65" s="97">
        <v>0</v>
      </c>
      <c r="G65" s="98">
        <v>0</v>
      </c>
      <c r="H65" s="98">
        <v>2</v>
      </c>
      <c r="I65" s="98">
        <v>4</v>
      </c>
      <c r="J65" s="98">
        <v>1.5</v>
      </c>
      <c r="K65" s="100">
        <f t="shared" si="0"/>
        <v>8</v>
      </c>
    </row>
    <row r="66" spans="2:11" ht="12.75" customHeight="1" x14ac:dyDescent="0.25">
      <c r="B66" s="89" t="s">
        <v>58</v>
      </c>
      <c r="C66" s="87" t="s">
        <v>125</v>
      </c>
      <c r="D66" s="87"/>
      <c r="E66" s="87"/>
      <c r="F66" s="97">
        <v>0</v>
      </c>
      <c r="G66" s="98">
        <v>0</v>
      </c>
      <c r="H66" s="98">
        <v>2</v>
      </c>
      <c r="I66" s="98">
        <v>4</v>
      </c>
      <c r="J66" s="98">
        <v>1.5</v>
      </c>
      <c r="K66" s="100">
        <f t="shared" si="0"/>
        <v>8</v>
      </c>
    </row>
    <row r="67" spans="2:11" ht="12.75" customHeight="1" x14ac:dyDescent="0.25">
      <c r="B67" s="89" t="s">
        <v>59</v>
      </c>
      <c r="C67" s="87" t="s">
        <v>125</v>
      </c>
      <c r="D67" s="87"/>
      <c r="E67" s="87"/>
      <c r="F67" s="97">
        <v>4</v>
      </c>
      <c r="G67" s="98">
        <v>0</v>
      </c>
      <c r="H67" s="98">
        <v>2</v>
      </c>
      <c r="I67" s="98">
        <v>4</v>
      </c>
      <c r="J67" s="98">
        <v>1.5</v>
      </c>
      <c r="K67" s="100">
        <f t="shared" si="0"/>
        <v>8</v>
      </c>
    </row>
    <row r="68" spans="2:11" ht="12.75" customHeight="1" x14ac:dyDescent="0.25">
      <c r="B68" s="89" t="s">
        <v>60</v>
      </c>
      <c r="C68" s="87" t="s">
        <v>123</v>
      </c>
      <c r="D68" s="87"/>
      <c r="E68" s="87"/>
      <c r="F68" s="97">
        <v>1</v>
      </c>
      <c r="G68" s="98">
        <v>0</v>
      </c>
      <c r="H68" s="98">
        <v>2</v>
      </c>
      <c r="I68" s="98">
        <v>4</v>
      </c>
      <c r="J68" s="98">
        <v>1.5</v>
      </c>
      <c r="K68" s="100">
        <f t="shared" si="0"/>
        <v>8</v>
      </c>
    </row>
    <row r="69" spans="2:11" ht="12.75" customHeight="1" x14ac:dyDescent="0.25">
      <c r="B69" s="89" t="s">
        <v>61</v>
      </c>
      <c r="C69" s="90" t="s">
        <v>122</v>
      </c>
      <c r="D69" s="90"/>
      <c r="E69" s="90"/>
      <c r="F69" s="97">
        <v>1</v>
      </c>
      <c r="G69" s="98">
        <v>0</v>
      </c>
      <c r="H69" s="98">
        <v>2</v>
      </c>
      <c r="I69" s="98">
        <v>4</v>
      </c>
      <c r="J69" s="98">
        <v>1.5</v>
      </c>
      <c r="K69" s="100">
        <f t="shared" si="0"/>
        <v>8</v>
      </c>
    </row>
    <row r="70" spans="2:11" ht="12.75" customHeight="1" x14ac:dyDescent="0.25">
      <c r="B70" s="89" t="s">
        <v>62</v>
      </c>
      <c r="C70" s="90" t="s">
        <v>122</v>
      </c>
      <c r="D70" s="90" t="s">
        <v>503</v>
      </c>
      <c r="E70" s="90"/>
      <c r="F70" s="97">
        <v>2</v>
      </c>
      <c r="G70" s="98">
        <v>0</v>
      </c>
      <c r="H70" s="98">
        <v>1</v>
      </c>
      <c r="I70" s="98">
        <v>3</v>
      </c>
      <c r="J70" s="98">
        <v>1.5</v>
      </c>
      <c r="K70" s="100">
        <f t="shared" si="0"/>
        <v>6</v>
      </c>
    </row>
    <row r="71" spans="2:11" ht="12.75" customHeight="1" x14ac:dyDescent="0.25">
      <c r="B71" s="89" t="s">
        <v>63</v>
      </c>
      <c r="C71" s="90" t="s">
        <v>122</v>
      </c>
      <c r="D71" s="90" t="s">
        <v>503</v>
      </c>
      <c r="E71" s="90"/>
      <c r="F71" s="97">
        <v>2</v>
      </c>
      <c r="G71" s="98">
        <v>0</v>
      </c>
      <c r="H71" s="98">
        <v>1</v>
      </c>
      <c r="I71" s="98">
        <v>3</v>
      </c>
      <c r="J71" s="98">
        <v>1.5</v>
      </c>
      <c r="K71" s="100">
        <f t="shared" si="0"/>
        <v>6</v>
      </c>
    </row>
    <row r="72" spans="2:11" ht="12.75" customHeight="1" x14ac:dyDescent="0.25">
      <c r="B72" s="92" t="s">
        <v>64</v>
      </c>
      <c r="C72" s="87" t="s">
        <v>123</v>
      </c>
      <c r="D72" s="87"/>
      <c r="E72" s="87"/>
      <c r="F72" s="97">
        <v>0</v>
      </c>
      <c r="G72" s="98">
        <v>0</v>
      </c>
      <c r="H72" s="98">
        <v>2</v>
      </c>
      <c r="I72" s="98">
        <v>4</v>
      </c>
      <c r="J72" s="98">
        <v>1.5</v>
      </c>
      <c r="K72" s="100">
        <f t="shared" ref="K72:K133" si="1">ROUNDUP(G72+H72+I72+J72,0)</f>
        <v>8</v>
      </c>
    </row>
    <row r="73" spans="2:11" ht="12.75" customHeight="1" x14ac:dyDescent="0.25">
      <c r="B73" s="92" t="s">
        <v>65</v>
      </c>
      <c r="C73" s="87" t="s">
        <v>123</v>
      </c>
      <c r="D73" s="87"/>
      <c r="E73" s="87"/>
      <c r="F73" s="97">
        <v>0</v>
      </c>
      <c r="G73" s="98">
        <v>0</v>
      </c>
      <c r="H73" s="98">
        <v>2</v>
      </c>
      <c r="I73" s="98">
        <v>4</v>
      </c>
      <c r="J73" s="98">
        <v>1.5</v>
      </c>
      <c r="K73" s="100">
        <f t="shared" si="1"/>
        <v>8</v>
      </c>
    </row>
    <row r="74" spans="2:11" ht="12.75" customHeight="1" x14ac:dyDescent="0.25">
      <c r="B74" s="92" t="s">
        <v>66</v>
      </c>
      <c r="C74" s="87" t="s">
        <v>121</v>
      </c>
      <c r="D74" s="87"/>
      <c r="E74" s="87"/>
      <c r="F74" s="97">
        <v>0</v>
      </c>
      <c r="G74" s="98">
        <v>0</v>
      </c>
      <c r="H74" s="98">
        <v>2</v>
      </c>
      <c r="I74" s="98">
        <v>4</v>
      </c>
      <c r="J74" s="98">
        <v>1.5</v>
      </c>
      <c r="K74" s="100">
        <f t="shared" si="1"/>
        <v>8</v>
      </c>
    </row>
    <row r="75" spans="2:11" ht="12.75" customHeight="1" x14ac:dyDescent="0.25">
      <c r="B75" s="92" t="s">
        <v>67</v>
      </c>
      <c r="C75" s="87" t="s">
        <v>123</v>
      </c>
      <c r="D75" s="87"/>
      <c r="E75" s="87"/>
      <c r="F75" s="97">
        <v>0</v>
      </c>
      <c r="G75" s="98">
        <v>0</v>
      </c>
      <c r="H75" s="98">
        <v>0</v>
      </c>
      <c r="I75" s="98">
        <v>0</v>
      </c>
      <c r="J75" s="98">
        <v>2</v>
      </c>
      <c r="K75" s="100">
        <f t="shared" si="1"/>
        <v>2</v>
      </c>
    </row>
    <row r="76" spans="2:11" ht="12.75" customHeight="1" x14ac:dyDescent="0.25">
      <c r="B76" s="92" t="s">
        <v>68</v>
      </c>
      <c r="C76" s="87" t="s">
        <v>124</v>
      </c>
      <c r="D76" s="87"/>
      <c r="E76" s="87"/>
      <c r="F76" s="97">
        <v>0</v>
      </c>
      <c r="G76" s="98">
        <v>0</v>
      </c>
      <c r="H76" s="98">
        <v>0</v>
      </c>
      <c r="I76" s="98">
        <v>3</v>
      </c>
      <c r="J76" s="98">
        <v>0</v>
      </c>
      <c r="K76" s="100">
        <f t="shared" si="1"/>
        <v>3</v>
      </c>
    </row>
    <row r="77" spans="2:11" ht="12.75" customHeight="1" x14ac:dyDescent="0.25">
      <c r="B77" s="91" t="s">
        <v>69</v>
      </c>
      <c r="C77" s="87" t="s">
        <v>124</v>
      </c>
      <c r="D77" s="87"/>
      <c r="E77" s="87"/>
      <c r="F77" s="97">
        <v>0</v>
      </c>
      <c r="G77" s="98">
        <v>0</v>
      </c>
      <c r="H77" s="98">
        <v>0</v>
      </c>
      <c r="I77" s="98">
        <v>3</v>
      </c>
      <c r="J77" s="98">
        <v>0</v>
      </c>
      <c r="K77" s="100">
        <f t="shared" si="1"/>
        <v>3</v>
      </c>
    </row>
    <row r="78" spans="2:11" ht="12.75" customHeight="1" x14ac:dyDescent="0.25">
      <c r="B78" s="92" t="s">
        <v>70</v>
      </c>
      <c r="C78" s="87" t="s">
        <v>124</v>
      </c>
      <c r="D78" s="87"/>
      <c r="E78" s="87"/>
      <c r="F78" s="97">
        <v>0</v>
      </c>
      <c r="G78" s="98">
        <v>0</v>
      </c>
      <c r="H78" s="98">
        <v>0</v>
      </c>
      <c r="I78" s="98">
        <v>3</v>
      </c>
      <c r="J78" s="98">
        <v>0</v>
      </c>
      <c r="K78" s="100">
        <f t="shared" si="1"/>
        <v>3</v>
      </c>
    </row>
    <row r="79" spans="2:11" ht="12.75" customHeight="1" x14ac:dyDescent="0.25">
      <c r="B79" s="89" t="s">
        <v>71</v>
      </c>
      <c r="C79" s="87" t="s">
        <v>465</v>
      </c>
      <c r="D79" s="87"/>
      <c r="E79" s="87"/>
      <c r="F79" s="97">
        <v>0</v>
      </c>
      <c r="G79" s="98">
        <v>0</v>
      </c>
      <c r="H79" s="98">
        <v>0</v>
      </c>
      <c r="I79" s="98">
        <v>3</v>
      </c>
      <c r="J79" s="98">
        <v>0</v>
      </c>
      <c r="K79" s="100">
        <f t="shared" si="1"/>
        <v>3</v>
      </c>
    </row>
    <row r="80" spans="2:11" ht="12.75" customHeight="1" x14ac:dyDescent="0.25">
      <c r="B80" s="89" t="s">
        <v>72</v>
      </c>
      <c r="C80" s="87" t="s">
        <v>465</v>
      </c>
      <c r="D80" s="87"/>
      <c r="E80" s="87"/>
      <c r="F80" s="97">
        <v>0</v>
      </c>
      <c r="G80" s="98">
        <v>0</v>
      </c>
      <c r="H80" s="98">
        <v>0</v>
      </c>
      <c r="I80" s="98">
        <v>3</v>
      </c>
      <c r="J80" s="98">
        <v>0</v>
      </c>
      <c r="K80" s="100">
        <f t="shared" si="1"/>
        <v>3</v>
      </c>
    </row>
    <row r="81" spans="2:11" ht="12.75" customHeight="1" x14ac:dyDescent="0.25">
      <c r="B81" s="89" t="s">
        <v>73</v>
      </c>
      <c r="C81" s="87" t="s">
        <v>465</v>
      </c>
      <c r="D81" s="87"/>
      <c r="E81" s="87"/>
      <c r="F81" s="97">
        <v>0</v>
      </c>
      <c r="G81" s="98">
        <v>0</v>
      </c>
      <c r="H81" s="98">
        <v>0</v>
      </c>
      <c r="I81" s="98">
        <v>3</v>
      </c>
      <c r="J81" s="98">
        <v>0</v>
      </c>
      <c r="K81" s="100">
        <f t="shared" si="1"/>
        <v>3</v>
      </c>
    </row>
    <row r="82" spans="2:11" ht="12.75" customHeight="1" x14ac:dyDescent="0.25">
      <c r="B82" s="89" t="s">
        <v>74</v>
      </c>
      <c r="C82" s="90" t="s">
        <v>125</v>
      </c>
      <c r="D82" s="90"/>
      <c r="E82" s="90"/>
      <c r="F82" s="97">
        <v>1</v>
      </c>
      <c r="G82" s="98">
        <v>1</v>
      </c>
      <c r="H82" s="98">
        <v>2</v>
      </c>
      <c r="I82" s="98">
        <v>4</v>
      </c>
      <c r="J82" s="98">
        <v>1.5</v>
      </c>
      <c r="K82" s="100">
        <f t="shared" si="1"/>
        <v>9</v>
      </c>
    </row>
    <row r="83" spans="2:11" ht="12.75" customHeight="1" x14ac:dyDescent="0.25">
      <c r="B83" s="89" t="s">
        <v>75</v>
      </c>
      <c r="C83" s="90" t="s">
        <v>125</v>
      </c>
      <c r="D83" s="90"/>
      <c r="E83" s="90"/>
      <c r="F83" s="97">
        <v>1</v>
      </c>
      <c r="G83" s="98">
        <v>1</v>
      </c>
      <c r="H83" s="98">
        <v>2</v>
      </c>
      <c r="I83" s="98">
        <v>4</v>
      </c>
      <c r="J83" s="98">
        <v>1.5</v>
      </c>
      <c r="K83" s="100">
        <f t="shared" si="1"/>
        <v>9</v>
      </c>
    </row>
    <row r="84" spans="2:11" ht="12.75" customHeight="1" x14ac:dyDescent="0.25">
      <c r="B84" s="89" t="s">
        <v>76</v>
      </c>
      <c r="C84" s="87" t="s">
        <v>126</v>
      </c>
      <c r="D84" s="87" t="s">
        <v>122</v>
      </c>
      <c r="E84" s="87"/>
      <c r="F84" s="97">
        <v>15</v>
      </c>
      <c r="G84" s="98">
        <v>0</v>
      </c>
      <c r="H84" s="98">
        <v>1</v>
      </c>
      <c r="I84" s="98">
        <v>3</v>
      </c>
      <c r="J84" s="98">
        <v>1.5</v>
      </c>
      <c r="K84" s="100">
        <f t="shared" si="1"/>
        <v>6</v>
      </c>
    </row>
    <row r="85" spans="2:11" ht="12.75" customHeight="1" x14ac:dyDescent="0.25">
      <c r="B85" s="89" t="s">
        <v>77</v>
      </c>
      <c r="C85" s="87" t="s">
        <v>126</v>
      </c>
      <c r="D85" s="87" t="s">
        <v>122</v>
      </c>
      <c r="E85" s="87"/>
      <c r="F85" s="97">
        <v>15</v>
      </c>
      <c r="G85" s="98">
        <v>0</v>
      </c>
      <c r="H85" s="98">
        <v>1</v>
      </c>
      <c r="I85" s="98">
        <v>3</v>
      </c>
      <c r="J85" s="98">
        <v>1.5</v>
      </c>
      <c r="K85" s="100">
        <f t="shared" si="1"/>
        <v>6</v>
      </c>
    </row>
    <row r="86" spans="2:11" ht="12.75" customHeight="1" x14ac:dyDescent="0.25">
      <c r="B86" s="89" t="s">
        <v>78</v>
      </c>
      <c r="C86" s="87" t="s">
        <v>126</v>
      </c>
      <c r="D86" s="87" t="s">
        <v>122</v>
      </c>
      <c r="E86" s="87"/>
      <c r="F86" s="97">
        <v>4</v>
      </c>
      <c r="G86" s="98">
        <v>0</v>
      </c>
      <c r="H86" s="98">
        <v>1</v>
      </c>
      <c r="I86" s="98">
        <v>3</v>
      </c>
      <c r="J86" s="98">
        <v>1.5</v>
      </c>
      <c r="K86" s="100">
        <f t="shared" si="1"/>
        <v>6</v>
      </c>
    </row>
    <row r="87" spans="2:11" ht="12.75" customHeight="1" x14ac:dyDescent="0.25">
      <c r="B87" s="89" t="s">
        <v>79</v>
      </c>
      <c r="C87" s="87" t="s">
        <v>126</v>
      </c>
      <c r="D87" s="87" t="s">
        <v>122</v>
      </c>
      <c r="E87" s="87"/>
      <c r="F87" s="97">
        <v>4</v>
      </c>
      <c r="G87" s="98">
        <v>0</v>
      </c>
      <c r="H87" s="98">
        <v>1</v>
      </c>
      <c r="I87" s="98">
        <v>3</v>
      </c>
      <c r="J87" s="98">
        <v>1.5</v>
      </c>
      <c r="K87" s="100">
        <f t="shared" si="1"/>
        <v>6</v>
      </c>
    </row>
    <row r="88" spans="2:11" ht="12.75" customHeight="1" x14ac:dyDescent="0.25">
      <c r="B88" s="89" t="s">
        <v>80</v>
      </c>
      <c r="C88" s="87" t="s">
        <v>126</v>
      </c>
      <c r="D88" s="87" t="s">
        <v>122</v>
      </c>
      <c r="E88" s="87"/>
      <c r="F88" s="97">
        <v>4</v>
      </c>
      <c r="G88" s="98">
        <v>0</v>
      </c>
      <c r="H88" s="98">
        <v>1</v>
      </c>
      <c r="I88" s="98">
        <v>3</v>
      </c>
      <c r="J88" s="98">
        <v>1.5</v>
      </c>
      <c r="K88" s="100">
        <f t="shared" si="1"/>
        <v>6</v>
      </c>
    </row>
    <row r="89" spans="2:11" ht="12.75" customHeight="1" x14ac:dyDescent="0.25">
      <c r="B89" s="89" t="s">
        <v>81</v>
      </c>
      <c r="C89" s="87" t="s">
        <v>127</v>
      </c>
      <c r="D89" s="87"/>
      <c r="E89" s="87"/>
      <c r="F89" s="97">
        <v>16</v>
      </c>
      <c r="G89" s="98">
        <v>0</v>
      </c>
      <c r="H89" s="98">
        <v>0</v>
      </c>
      <c r="I89" s="98">
        <v>8</v>
      </c>
      <c r="J89" s="98">
        <v>0</v>
      </c>
      <c r="K89" s="100">
        <f t="shared" si="1"/>
        <v>8</v>
      </c>
    </row>
    <row r="90" spans="2:11" ht="12.75" customHeight="1" x14ac:dyDescent="0.25">
      <c r="B90" s="89" t="s">
        <v>82</v>
      </c>
      <c r="C90" s="87" t="s">
        <v>127</v>
      </c>
      <c r="D90" s="87"/>
      <c r="E90" s="87"/>
      <c r="F90" s="97">
        <v>14</v>
      </c>
      <c r="G90" s="98">
        <v>0</v>
      </c>
      <c r="H90" s="98">
        <v>0</v>
      </c>
      <c r="I90" s="98">
        <v>8</v>
      </c>
      <c r="J90" s="98">
        <v>0</v>
      </c>
      <c r="K90" s="100">
        <f t="shared" si="1"/>
        <v>8</v>
      </c>
    </row>
    <row r="91" spans="2:11" ht="12.75" customHeight="1" x14ac:dyDescent="0.25">
      <c r="B91" s="89" t="s">
        <v>83</v>
      </c>
      <c r="C91" s="87" t="s">
        <v>126</v>
      </c>
      <c r="D91" s="87"/>
      <c r="E91" s="87"/>
      <c r="F91" s="97">
        <v>24</v>
      </c>
      <c r="G91" s="98">
        <v>0</v>
      </c>
      <c r="H91" s="98">
        <v>0</v>
      </c>
      <c r="I91" s="98">
        <v>0</v>
      </c>
      <c r="J91" s="98">
        <v>2</v>
      </c>
      <c r="K91" s="100">
        <f t="shared" si="1"/>
        <v>2</v>
      </c>
    </row>
    <row r="92" spans="2:11" ht="12.75" customHeight="1" x14ac:dyDescent="0.25">
      <c r="B92" s="89" t="s">
        <v>84</v>
      </c>
      <c r="C92" s="87" t="s">
        <v>126</v>
      </c>
      <c r="D92" s="87"/>
      <c r="E92" s="87"/>
      <c r="F92" s="97">
        <v>32</v>
      </c>
      <c r="G92" s="98">
        <v>0</v>
      </c>
      <c r="H92" s="98">
        <v>0</v>
      </c>
      <c r="I92" s="98">
        <v>0</v>
      </c>
      <c r="J92" s="98">
        <v>2</v>
      </c>
      <c r="K92" s="100">
        <f t="shared" si="1"/>
        <v>2</v>
      </c>
    </row>
    <row r="93" spans="2:11" ht="12.75" customHeight="1" x14ac:dyDescent="0.25">
      <c r="B93" s="89" t="s">
        <v>85</v>
      </c>
      <c r="C93" s="87" t="s">
        <v>126</v>
      </c>
      <c r="D93" s="87"/>
      <c r="E93" s="87"/>
      <c r="F93" s="97">
        <v>32</v>
      </c>
      <c r="G93" s="98">
        <v>0</v>
      </c>
      <c r="H93" s="98">
        <v>0</v>
      </c>
      <c r="I93" s="98">
        <v>0</v>
      </c>
      <c r="J93" s="98">
        <v>2</v>
      </c>
      <c r="K93" s="100">
        <f t="shared" si="1"/>
        <v>2</v>
      </c>
    </row>
    <row r="94" spans="2:11" ht="12.75" customHeight="1" x14ac:dyDescent="0.25">
      <c r="B94" s="89" t="s">
        <v>86</v>
      </c>
      <c r="C94" s="87" t="s">
        <v>126</v>
      </c>
      <c r="D94" s="87"/>
      <c r="E94" s="87"/>
      <c r="F94" s="97">
        <v>32</v>
      </c>
      <c r="G94" s="98">
        <v>0</v>
      </c>
      <c r="H94" s="98">
        <v>0</v>
      </c>
      <c r="I94" s="98">
        <v>0</v>
      </c>
      <c r="J94" s="98">
        <v>2</v>
      </c>
      <c r="K94" s="100">
        <f t="shared" si="1"/>
        <v>2</v>
      </c>
    </row>
    <row r="95" spans="2:11" ht="12.75" customHeight="1" x14ac:dyDescent="0.25">
      <c r="B95" s="89" t="s">
        <v>87</v>
      </c>
      <c r="C95" s="87" t="s">
        <v>126</v>
      </c>
      <c r="D95" s="87"/>
      <c r="E95" s="87"/>
      <c r="F95" s="97">
        <v>32</v>
      </c>
      <c r="G95" s="98">
        <v>0</v>
      </c>
      <c r="H95" s="98">
        <v>0</v>
      </c>
      <c r="I95" s="98">
        <v>0</v>
      </c>
      <c r="J95" s="98">
        <v>2</v>
      </c>
      <c r="K95" s="100">
        <f t="shared" si="1"/>
        <v>2</v>
      </c>
    </row>
    <row r="96" spans="2:11" ht="12.75" customHeight="1" x14ac:dyDescent="0.25">
      <c r="B96" s="89" t="s">
        <v>88</v>
      </c>
      <c r="C96" s="87" t="s">
        <v>126</v>
      </c>
      <c r="D96" s="87"/>
      <c r="E96" s="87"/>
      <c r="F96" s="97">
        <v>32</v>
      </c>
      <c r="G96" s="98">
        <v>0</v>
      </c>
      <c r="H96" s="98">
        <v>0</v>
      </c>
      <c r="I96" s="98">
        <v>0</v>
      </c>
      <c r="J96" s="98">
        <v>2</v>
      </c>
      <c r="K96" s="100">
        <f t="shared" si="1"/>
        <v>2</v>
      </c>
    </row>
    <row r="97" spans="2:11" ht="12.75" customHeight="1" x14ac:dyDescent="0.25">
      <c r="B97" s="89" t="s">
        <v>89</v>
      </c>
      <c r="C97" s="87" t="s">
        <v>126</v>
      </c>
      <c r="D97" s="87"/>
      <c r="E97" s="87"/>
      <c r="F97" s="97">
        <v>32</v>
      </c>
      <c r="G97" s="98">
        <v>0</v>
      </c>
      <c r="H97" s="98">
        <v>0</v>
      </c>
      <c r="I97" s="98">
        <v>0</v>
      </c>
      <c r="J97" s="98">
        <v>2</v>
      </c>
      <c r="K97" s="100">
        <f t="shared" si="1"/>
        <v>2</v>
      </c>
    </row>
    <row r="98" spans="2:11" ht="12.75" customHeight="1" x14ac:dyDescent="0.25">
      <c r="B98" s="89" t="s">
        <v>90</v>
      </c>
      <c r="C98" s="87" t="s">
        <v>126</v>
      </c>
      <c r="D98" s="87"/>
      <c r="E98" s="87"/>
      <c r="F98" s="97">
        <v>32</v>
      </c>
      <c r="G98" s="98">
        <v>0</v>
      </c>
      <c r="H98" s="98">
        <v>0</v>
      </c>
      <c r="I98" s="98">
        <v>0</v>
      </c>
      <c r="J98" s="98">
        <v>2</v>
      </c>
      <c r="K98" s="100">
        <f t="shared" si="1"/>
        <v>2</v>
      </c>
    </row>
    <row r="99" spans="2:11" ht="12.75" customHeight="1" x14ac:dyDescent="0.25">
      <c r="B99" s="89" t="s">
        <v>91</v>
      </c>
      <c r="C99" s="87" t="s">
        <v>126</v>
      </c>
      <c r="D99" s="87"/>
      <c r="E99" s="87"/>
      <c r="F99" s="97">
        <v>32</v>
      </c>
      <c r="G99" s="98">
        <v>0</v>
      </c>
      <c r="H99" s="98">
        <v>0</v>
      </c>
      <c r="I99" s="98">
        <v>0</v>
      </c>
      <c r="J99" s="98">
        <v>2</v>
      </c>
      <c r="K99" s="100">
        <f t="shared" si="1"/>
        <v>2</v>
      </c>
    </row>
    <row r="100" spans="2:11" ht="12.75" customHeight="1" x14ac:dyDescent="0.25">
      <c r="B100" s="89" t="s">
        <v>92</v>
      </c>
      <c r="C100" s="87" t="s">
        <v>126</v>
      </c>
      <c r="D100" s="87"/>
      <c r="E100" s="87"/>
      <c r="F100" s="97">
        <v>32</v>
      </c>
      <c r="G100" s="98">
        <v>0</v>
      </c>
      <c r="H100" s="98">
        <v>0</v>
      </c>
      <c r="I100" s="98">
        <v>0</v>
      </c>
      <c r="J100" s="98">
        <v>2</v>
      </c>
      <c r="K100" s="100">
        <f t="shared" si="1"/>
        <v>2</v>
      </c>
    </row>
    <row r="101" spans="2:11" ht="12.75" customHeight="1" x14ac:dyDescent="0.25">
      <c r="B101" s="89" t="s">
        <v>93</v>
      </c>
      <c r="C101" s="87" t="s">
        <v>126</v>
      </c>
      <c r="D101" s="87"/>
      <c r="E101" s="87"/>
      <c r="F101" s="97">
        <v>32</v>
      </c>
      <c r="G101" s="98">
        <v>0</v>
      </c>
      <c r="H101" s="98">
        <v>0</v>
      </c>
      <c r="I101" s="98">
        <v>0</v>
      </c>
      <c r="J101" s="98">
        <v>2</v>
      </c>
      <c r="K101" s="100">
        <f t="shared" si="1"/>
        <v>2</v>
      </c>
    </row>
    <row r="102" spans="2:11" ht="12.75" customHeight="1" x14ac:dyDescent="0.25">
      <c r="B102" s="89" t="s">
        <v>94</v>
      </c>
      <c r="C102" s="87" t="s">
        <v>126</v>
      </c>
      <c r="D102" s="87"/>
      <c r="E102" s="87"/>
      <c r="F102" s="97">
        <v>19</v>
      </c>
      <c r="G102" s="98">
        <v>0</v>
      </c>
      <c r="H102" s="98">
        <v>0</v>
      </c>
      <c r="I102" s="98">
        <v>0</v>
      </c>
      <c r="J102" s="98">
        <v>2</v>
      </c>
      <c r="K102" s="100">
        <f t="shared" si="1"/>
        <v>2</v>
      </c>
    </row>
    <row r="103" spans="2:11" ht="12.75" customHeight="1" x14ac:dyDescent="0.25">
      <c r="B103" s="89" t="s">
        <v>95</v>
      </c>
      <c r="C103" s="87" t="s">
        <v>126</v>
      </c>
      <c r="D103" s="87"/>
      <c r="E103" s="87"/>
      <c r="F103" s="97">
        <v>19</v>
      </c>
      <c r="G103" s="98">
        <v>0</v>
      </c>
      <c r="H103" s="98">
        <v>0</v>
      </c>
      <c r="I103" s="98">
        <v>0</v>
      </c>
      <c r="J103" s="98">
        <v>2</v>
      </c>
      <c r="K103" s="100">
        <f t="shared" si="1"/>
        <v>2</v>
      </c>
    </row>
    <row r="104" spans="2:11" ht="12.75" customHeight="1" x14ac:dyDescent="0.25">
      <c r="B104" s="89" t="s">
        <v>96</v>
      </c>
      <c r="C104" s="87" t="s">
        <v>126</v>
      </c>
      <c r="D104" s="87"/>
      <c r="E104" s="87"/>
      <c r="F104" s="97">
        <v>32</v>
      </c>
      <c r="G104" s="98">
        <v>0</v>
      </c>
      <c r="H104" s="98">
        <v>0</v>
      </c>
      <c r="I104" s="98">
        <v>0</v>
      </c>
      <c r="J104" s="98">
        <v>2</v>
      </c>
      <c r="K104" s="100">
        <f t="shared" si="1"/>
        <v>2</v>
      </c>
    </row>
    <row r="105" spans="2:11" ht="12.75" customHeight="1" x14ac:dyDescent="0.25">
      <c r="B105" s="89" t="s">
        <v>97</v>
      </c>
      <c r="C105" s="87" t="s">
        <v>126</v>
      </c>
      <c r="D105" s="87"/>
      <c r="E105" s="87"/>
      <c r="F105" s="97">
        <v>24</v>
      </c>
      <c r="G105" s="98">
        <v>0</v>
      </c>
      <c r="H105" s="98">
        <v>0</v>
      </c>
      <c r="I105" s="98">
        <v>0</v>
      </c>
      <c r="J105" s="98">
        <v>2</v>
      </c>
      <c r="K105" s="100">
        <f t="shared" si="1"/>
        <v>2</v>
      </c>
    </row>
    <row r="106" spans="2:11" ht="12.75" customHeight="1" x14ac:dyDescent="0.25">
      <c r="B106" s="91" t="s">
        <v>98</v>
      </c>
      <c r="C106" s="87" t="s">
        <v>126</v>
      </c>
      <c r="D106" s="87"/>
      <c r="E106" s="87"/>
      <c r="F106" s="97">
        <v>24</v>
      </c>
      <c r="G106" s="98">
        <v>0</v>
      </c>
      <c r="H106" s="98">
        <v>0</v>
      </c>
      <c r="I106" s="98">
        <v>0</v>
      </c>
      <c r="J106" s="98">
        <v>2</v>
      </c>
      <c r="K106" s="100">
        <f t="shared" si="1"/>
        <v>2</v>
      </c>
    </row>
    <row r="107" spans="2:11" ht="12.75" customHeight="1" x14ac:dyDescent="0.25">
      <c r="B107" s="89" t="s">
        <v>99</v>
      </c>
      <c r="C107" s="87" t="s">
        <v>127</v>
      </c>
      <c r="D107" s="87"/>
      <c r="E107" s="87"/>
      <c r="F107" s="97">
        <v>0</v>
      </c>
      <c r="G107" s="98">
        <v>0</v>
      </c>
      <c r="H107" s="98">
        <v>0</v>
      </c>
      <c r="I107" s="98">
        <v>8</v>
      </c>
      <c r="J107" s="98">
        <v>0</v>
      </c>
      <c r="K107" s="100">
        <f t="shared" si="1"/>
        <v>8</v>
      </c>
    </row>
    <row r="108" spans="2:11" ht="12.75" customHeight="1" x14ac:dyDescent="0.25">
      <c r="B108" s="89" t="s">
        <v>100</v>
      </c>
      <c r="C108" s="87" t="s">
        <v>127</v>
      </c>
      <c r="D108" s="87"/>
      <c r="E108" s="87"/>
      <c r="F108" s="97">
        <v>0</v>
      </c>
      <c r="G108" s="98">
        <v>0</v>
      </c>
      <c r="H108" s="98">
        <v>0</v>
      </c>
      <c r="I108" s="98">
        <v>8</v>
      </c>
      <c r="J108" s="98">
        <v>0</v>
      </c>
      <c r="K108" s="100">
        <f t="shared" si="1"/>
        <v>8</v>
      </c>
    </row>
    <row r="109" spans="2:11" ht="12.75" customHeight="1" x14ac:dyDescent="0.25">
      <c r="B109" s="89" t="s">
        <v>101</v>
      </c>
      <c r="C109" s="87" t="s">
        <v>127</v>
      </c>
      <c r="D109" s="87"/>
      <c r="E109" s="87"/>
      <c r="F109" s="97">
        <v>0</v>
      </c>
      <c r="G109" s="98">
        <v>0</v>
      </c>
      <c r="H109" s="98">
        <v>0</v>
      </c>
      <c r="I109" s="98">
        <v>8</v>
      </c>
      <c r="J109" s="98">
        <v>0</v>
      </c>
      <c r="K109" s="100">
        <f t="shared" si="1"/>
        <v>8</v>
      </c>
    </row>
    <row r="110" spans="2:11" ht="12.75" customHeight="1" x14ac:dyDescent="0.25">
      <c r="B110" s="89" t="s">
        <v>102</v>
      </c>
      <c r="C110" s="87" t="s">
        <v>127</v>
      </c>
      <c r="D110" s="87"/>
      <c r="E110" s="87"/>
      <c r="F110" s="97">
        <v>0</v>
      </c>
      <c r="G110" s="98">
        <v>0</v>
      </c>
      <c r="H110" s="98">
        <v>0</v>
      </c>
      <c r="I110" s="98">
        <v>8</v>
      </c>
      <c r="J110" s="98">
        <v>0</v>
      </c>
      <c r="K110" s="100">
        <f t="shared" si="1"/>
        <v>8</v>
      </c>
    </row>
    <row r="111" spans="2:11" ht="12.75" customHeight="1" x14ac:dyDescent="0.25">
      <c r="B111" s="89" t="s">
        <v>103</v>
      </c>
      <c r="C111" s="87" t="s">
        <v>127</v>
      </c>
      <c r="D111" s="87"/>
      <c r="E111" s="87"/>
      <c r="F111" s="97">
        <v>0</v>
      </c>
      <c r="G111" s="98">
        <v>0</v>
      </c>
      <c r="H111" s="98">
        <v>0</v>
      </c>
      <c r="I111" s="98">
        <v>8</v>
      </c>
      <c r="J111" s="98">
        <v>0</v>
      </c>
      <c r="K111" s="100">
        <f t="shared" si="1"/>
        <v>8</v>
      </c>
    </row>
    <row r="112" spans="2:11" ht="12.75" customHeight="1" x14ac:dyDescent="0.25">
      <c r="B112" s="89" t="s">
        <v>104</v>
      </c>
      <c r="C112" s="87" t="s">
        <v>127</v>
      </c>
      <c r="D112" s="87"/>
      <c r="E112" s="87"/>
      <c r="F112" s="97">
        <v>0</v>
      </c>
      <c r="G112" s="98">
        <v>0</v>
      </c>
      <c r="H112" s="98">
        <v>0</v>
      </c>
      <c r="I112" s="98">
        <v>8</v>
      </c>
      <c r="J112" s="98">
        <v>0</v>
      </c>
      <c r="K112" s="100">
        <f t="shared" si="1"/>
        <v>8</v>
      </c>
    </row>
    <row r="113" spans="2:11" ht="12.75" customHeight="1" x14ac:dyDescent="0.25">
      <c r="B113" s="89" t="s">
        <v>466</v>
      </c>
      <c r="C113" s="87" t="s">
        <v>127</v>
      </c>
      <c r="D113" s="87"/>
      <c r="E113" s="87"/>
      <c r="F113" s="97">
        <v>0</v>
      </c>
      <c r="G113" s="98">
        <v>0</v>
      </c>
      <c r="H113" s="98">
        <v>0</v>
      </c>
      <c r="I113" s="98">
        <v>8</v>
      </c>
      <c r="J113" s="98">
        <v>0</v>
      </c>
      <c r="K113" s="100">
        <f t="shared" si="1"/>
        <v>8</v>
      </c>
    </row>
    <row r="114" spans="2:11" ht="12.75" customHeight="1" x14ac:dyDescent="0.25">
      <c r="B114" s="89" t="s">
        <v>105</v>
      </c>
      <c r="C114" s="87" t="s">
        <v>127</v>
      </c>
      <c r="D114" s="87"/>
      <c r="E114" s="87"/>
      <c r="F114" s="97">
        <v>0</v>
      </c>
      <c r="G114" s="98">
        <v>0</v>
      </c>
      <c r="H114" s="98">
        <v>0</v>
      </c>
      <c r="I114" s="98">
        <v>8</v>
      </c>
      <c r="J114" s="98">
        <v>0</v>
      </c>
      <c r="K114" s="100">
        <f t="shared" si="1"/>
        <v>8</v>
      </c>
    </row>
    <row r="115" spans="2:11" ht="12.75" customHeight="1" x14ac:dyDescent="0.25">
      <c r="B115" s="89" t="s">
        <v>106</v>
      </c>
      <c r="C115" s="87" t="s">
        <v>127</v>
      </c>
      <c r="D115" s="87"/>
      <c r="E115" s="87"/>
      <c r="F115" s="97">
        <v>0</v>
      </c>
      <c r="G115" s="98">
        <v>0</v>
      </c>
      <c r="H115" s="98">
        <v>0</v>
      </c>
      <c r="I115" s="98">
        <v>8</v>
      </c>
      <c r="J115" s="98">
        <v>0</v>
      </c>
      <c r="K115" s="100">
        <f t="shared" si="1"/>
        <v>8</v>
      </c>
    </row>
    <row r="116" spans="2:11" ht="12.75" customHeight="1" x14ac:dyDescent="0.25">
      <c r="B116" s="89" t="s">
        <v>107</v>
      </c>
      <c r="C116" s="87" t="s">
        <v>127</v>
      </c>
      <c r="D116" s="87"/>
      <c r="E116" s="87"/>
      <c r="F116" s="97">
        <v>0</v>
      </c>
      <c r="G116" s="98">
        <v>0</v>
      </c>
      <c r="H116" s="98">
        <v>0</v>
      </c>
      <c r="I116" s="98">
        <v>8</v>
      </c>
      <c r="J116" s="98">
        <v>0</v>
      </c>
      <c r="K116" s="100">
        <f t="shared" si="1"/>
        <v>8</v>
      </c>
    </row>
    <row r="117" spans="2:11" ht="12.75" customHeight="1" x14ac:dyDescent="0.25">
      <c r="B117" s="89" t="s">
        <v>108</v>
      </c>
      <c r="C117" s="87" t="s">
        <v>127</v>
      </c>
      <c r="D117" s="87"/>
      <c r="E117" s="87"/>
      <c r="F117" s="97">
        <v>0</v>
      </c>
      <c r="G117" s="98">
        <v>0</v>
      </c>
      <c r="H117" s="98">
        <v>0</v>
      </c>
      <c r="I117" s="98">
        <v>0</v>
      </c>
      <c r="J117" s="98">
        <v>2</v>
      </c>
      <c r="K117" s="100">
        <f t="shared" si="1"/>
        <v>2</v>
      </c>
    </row>
    <row r="118" spans="2:11" ht="12.75" customHeight="1" x14ac:dyDescent="0.25">
      <c r="B118" s="93" t="s">
        <v>467</v>
      </c>
      <c r="C118" s="87" t="s">
        <v>127</v>
      </c>
      <c r="D118" s="87"/>
      <c r="E118" s="87"/>
      <c r="F118" s="97">
        <v>0</v>
      </c>
      <c r="G118" s="98">
        <v>0</v>
      </c>
      <c r="H118" s="98">
        <v>0</v>
      </c>
      <c r="I118" s="98">
        <v>0</v>
      </c>
      <c r="J118" s="98">
        <v>2</v>
      </c>
      <c r="K118" s="100">
        <f t="shared" si="1"/>
        <v>2</v>
      </c>
    </row>
    <row r="119" spans="2:11" ht="12.75" customHeight="1" x14ac:dyDescent="0.25">
      <c r="B119" s="93" t="s">
        <v>109</v>
      </c>
      <c r="C119" s="87" t="s">
        <v>127</v>
      </c>
      <c r="D119" s="87"/>
      <c r="E119" s="87"/>
      <c r="F119" s="97">
        <v>0</v>
      </c>
      <c r="G119" s="98">
        <v>0</v>
      </c>
      <c r="H119" s="98">
        <v>0</v>
      </c>
      <c r="I119" s="98">
        <v>0</v>
      </c>
      <c r="J119" s="98">
        <v>0</v>
      </c>
      <c r="K119" s="100">
        <f t="shared" si="1"/>
        <v>0</v>
      </c>
    </row>
    <row r="120" spans="2:11" ht="12.75" customHeight="1" x14ac:dyDescent="0.25">
      <c r="B120" s="93" t="s">
        <v>468</v>
      </c>
      <c r="C120" s="87" t="s">
        <v>127</v>
      </c>
      <c r="D120" s="87"/>
      <c r="E120" s="87"/>
      <c r="F120" s="97">
        <v>0</v>
      </c>
      <c r="G120" s="98">
        <v>0</v>
      </c>
      <c r="H120" s="98">
        <v>0</v>
      </c>
      <c r="I120" s="98">
        <v>0</v>
      </c>
      <c r="J120" s="98">
        <v>0</v>
      </c>
      <c r="K120" s="100">
        <f t="shared" si="1"/>
        <v>0</v>
      </c>
    </row>
    <row r="121" spans="2:11" ht="12.75" customHeight="1" x14ac:dyDescent="0.25">
      <c r="B121" s="93" t="s">
        <v>110</v>
      </c>
      <c r="C121" s="87" t="s">
        <v>127</v>
      </c>
      <c r="D121" s="87"/>
      <c r="E121" s="87"/>
      <c r="F121" s="97">
        <v>0</v>
      </c>
      <c r="G121" s="98">
        <v>0</v>
      </c>
      <c r="H121" s="98">
        <v>0</v>
      </c>
      <c r="I121" s="98">
        <v>10</v>
      </c>
      <c r="J121" s="98">
        <v>0</v>
      </c>
      <c r="K121" s="100">
        <f t="shared" si="1"/>
        <v>10</v>
      </c>
    </row>
    <row r="122" spans="2:11" ht="12.75" customHeight="1" x14ac:dyDescent="0.25">
      <c r="B122" s="93" t="s">
        <v>111</v>
      </c>
      <c r="C122" s="87" t="s">
        <v>127</v>
      </c>
      <c r="D122" s="87"/>
      <c r="E122" s="87"/>
      <c r="F122" s="97">
        <v>0</v>
      </c>
      <c r="G122" s="98">
        <v>0</v>
      </c>
      <c r="H122" s="98">
        <v>0</v>
      </c>
      <c r="I122" s="98">
        <v>10</v>
      </c>
      <c r="J122" s="98">
        <v>0</v>
      </c>
      <c r="K122" s="100">
        <f t="shared" si="1"/>
        <v>10</v>
      </c>
    </row>
    <row r="123" spans="2:11" ht="12.75" customHeight="1" x14ac:dyDescent="0.25">
      <c r="B123" s="89" t="s">
        <v>112</v>
      </c>
      <c r="C123" s="87" t="s">
        <v>127</v>
      </c>
      <c r="D123" s="87"/>
      <c r="E123" s="87"/>
      <c r="F123" s="97">
        <v>0</v>
      </c>
      <c r="G123" s="98">
        <v>0</v>
      </c>
      <c r="H123" s="98">
        <v>0</v>
      </c>
      <c r="I123" s="98">
        <v>10</v>
      </c>
      <c r="J123" s="98">
        <v>0</v>
      </c>
      <c r="K123" s="100">
        <f t="shared" si="1"/>
        <v>10</v>
      </c>
    </row>
    <row r="124" spans="2:11" ht="12.75" customHeight="1" x14ac:dyDescent="0.25">
      <c r="B124" s="93" t="s">
        <v>113</v>
      </c>
      <c r="C124" s="87" t="s">
        <v>127</v>
      </c>
      <c r="D124" s="87"/>
      <c r="E124" s="87"/>
      <c r="F124" s="97">
        <v>0</v>
      </c>
      <c r="G124" s="98">
        <v>0</v>
      </c>
      <c r="H124" s="98">
        <v>0</v>
      </c>
      <c r="I124" s="98">
        <v>10</v>
      </c>
      <c r="J124" s="98">
        <v>0</v>
      </c>
      <c r="K124" s="100">
        <f t="shared" si="1"/>
        <v>10</v>
      </c>
    </row>
    <row r="125" spans="2:11" ht="12.75" customHeight="1" x14ac:dyDescent="0.25">
      <c r="B125" s="91" t="s">
        <v>128</v>
      </c>
      <c r="C125" s="87" t="s">
        <v>124</v>
      </c>
      <c r="D125" s="87"/>
      <c r="E125" s="87"/>
      <c r="F125" s="97">
        <v>0</v>
      </c>
      <c r="G125" s="98">
        <v>0</v>
      </c>
      <c r="H125" s="98">
        <v>0</v>
      </c>
      <c r="I125" s="98">
        <v>3</v>
      </c>
      <c r="J125" s="98">
        <v>0</v>
      </c>
      <c r="K125" s="100">
        <f t="shared" si="1"/>
        <v>3</v>
      </c>
    </row>
    <row r="126" spans="2:11" ht="12.75" customHeight="1" x14ac:dyDescent="0.25">
      <c r="B126" s="91" t="s">
        <v>129</v>
      </c>
      <c r="C126" s="87" t="s">
        <v>124</v>
      </c>
      <c r="D126" s="87"/>
      <c r="E126" s="87"/>
      <c r="F126" s="97">
        <v>0</v>
      </c>
      <c r="G126" s="98">
        <v>0</v>
      </c>
      <c r="H126" s="98">
        <v>0</v>
      </c>
      <c r="I126" s="98">
        <v>3</v>
      </c>
      <c r="J126" s="98">
        <v>0</v>
      </c>
      <c r="K126" s="100">
        <f t="shared" si="1"/>
        <v>3</v>
      </c>
    </row>
    <row r="127" spans="2:11" ht="12.75" customHeight="1" x14ac:dyDescent="0.25">
      <c r="B127" s="91"/>
      <c r="C127" s="87"/>
      <c r="D127" s="87"/>
      <c r="E127" s="87"/>
      <c r="F127" s="97"/>
      <c r="G127" s="98"/>
      <c r="H127" s="98"/>
      <c r="I127" s="98"/>
      <c r="J127" s="98"/>
      <c r="K127" s="100">
        <f t="shared" si="1"/>
        <v>0</v>
      </c>
    </row>
    <row r="128" spans="2:11" ht="12.75" customHeight="1" x14ac:dyDescent="0.25">
      <c r="B128" s="91"/>
      <c r="C128" s="87"/>
      <c r="D128" s="87"/>
      <c r="E128" s="87"/>
      <c r="F128" s="97"/>
      <c r="G128" s="98"/>
      <c r="H128" s="98"/>
      <c r="I128" s="98"/>
      <c r="J128" s="98"/>
      <c r="K128" s="100">
        <f t="shared" si="1"/>
        <v>0</v>
      </c>
    </row>
    <row r="129" spans="2:11" ht="12.75" customHeight="1" x14ac:dyDescent="0.25">
      <c r="B129" s="91"/>
      <c r="C129" s="87"/>
      <c r="D129" s="87"/>
      <c r="E129" s="87"/>
      <c r="F129" s="101"/>
      <c r="G129" s="98"/>
      <c r="H129" s="98"/>
      <c r="I129" s="98"/>
      <c r="J129" s="98"/>
      <c r="K129" s="100">
        <f t="shared" si="1"/>
        <v>0</v>
      </c>
    </row>
    <row r="130" spans="2:11" ht="12.75" customHeight="1" x14ac:dyDescent="0.25">
      <c r="B130" s="91"/>
      <c r="C130" s="87"/>
      <c r="D130" s="87"/>
      <c r="E130" s="87"/>
      <c r="F130" s="101"/>
      <c r="G130" s="98"/>
      <c r="H130" s="98"/>
      <c r="I130" s="98"/>
      <c r="J130" s="98"/>
      <c r="K130" s="100">
        <f t="shared" si="1"/>
        <v>0</v>
      </c>
    </row>
    <row r="131" spans="2:11" ht="12.75" customHeight="1" x14ac:dyDescent="0.25">
      <c r="B131" s="91"/>
      <c r="C131" s="87"/>
      <c r="D131" s="87"/>
      <c r="E131" s="87"/>
      <c r="F131" s="101"/>
      <c r="G131" s="98"/>
      <c r="H131" s="98"/>
      <c r="I131" s="98"/>
      <c r="J131" s="98"/>
      <c r="K131" s="100">
        <f t="shared" si="1"/>
        <v>0</v>
      </c>
    </row>
    <row r="132" spans="2:11" ht="12.75" customHeight="1" x14ac:dyDescent="0.25">
      <c r="B132" s="91"/>
      <c r="C132" s="87"/>
      <c r="D132" s="87"/>
      <c r="E132" s="87"/>
      <c r="F132" s="101"/>
      <c r="G132" s="98"/>
      <c r="H132" s="98"/>
      <c r="I132" s="98"/>
      <c r="J132" s="98"/>
      <c r="K132" s="100">
        <f t="shared" si="1"/>
        <v>0</v>
      </c>
    </row>
    <row r="133" spans="2:11" ht="12.75" customHeight="1" x14ac:dyDescent="0.25">
      <c r="B133" s="91"/>
      <c r="C133" s="87"/>
      <c r="D133" s="87"/>
      <c r="E133" s="87"/>
      <c r="F133" s="101"/>
      <c r="G133" s="98"/>
      <c r="H133" s="98"/>
      <c r="I133" s="98"/>
      <c r="J133" s="98"/>
      <c r="K133" s="100">
        <f t="shared" si="1"/>
        <v>0</v>
      </c>
    </row>
    <row r="134" spans="2:11" ht="12.75" customHeight="1" x14ac:dyDescent="0.25">
      <c r="B134" s="91"/>
      <c r="C134" s="87"/>
      <c r="D134" s="87"/>
      <c r="E134" s="87"/>
      <c r="F134" s="101"/>
      <c r="G134" s="98"/>
      <c r="H134" s="98"/>
      <c r="I134" s="98"/>
      <c r="J134" s="98"/>
      <c r="K134" s="100">
        <f t="shared" ref="K134:K154" si="2">ROUNDUP(G134+H134+I134+J134,0)</f>
        <v>0</v>
      </c>
    </row>
    <row r="135" spans="2:11" ht="12.75" customHeight="1" x14ac:dyDescent="0.25">
      <c r="B135" s="91"/>
      <c r="C135" s="87"/>
      <c r="D135" s="87"/>
      <c r="E135" s="87"/>
      <c r="F135" s="101"/>
      <c r="G135" s="98"/>
      <c r="H135" s="98"/>
      <c r="I135" s="98"/>
      <c r="J135" s="98"/>
      <c r="K135" s="100">
        <f t="shared" si="2"/>
        <v>0</v>
      </c>
    </row>
    <row r="136" spans="2:11" ht="12.75" customHeight="1" x14ac:dyDescent="0.25">
      <c r="B136" s="91"/>
      <c r="C136" s="87"/>
      <c r="D136" s="87"/>
      <c r="E136" s="87"/>
      <c r="F136" s="101"/>
      <c r="G136" s="98"/>
      <c r="H136" s="98"/>
      <c r="I136" s="98"/>
      <c r="J136" s="98"/>
      <c r="K136" s="100">
        <f t="shared" si="2"/>
        <v>0</v>
      </c>
    </row>
    <row r="137" spans="2:11" ht="12.75" customHeight="1" x14ac:dyDescent="0.25">
      <c r="B137" s="91"/>
      <c r="C137" s="87"/>
      <c r="D137" s="87"/>
      <c r="E137" s="87"/>
      <c r="F137" s="101"/>
      <c r="G137" s="98"/>
      <c r="H137" s="98"/>
      <c r="I137" s="98"/>
      <c r="J137" s="98"/>
      <c r="K137" s="100">
        <f t="shared" si="2"/>
        <v>0</v>
      </c>
    </row>
    <row r="138" spans="2:11" ht="12.75" customHeight="1" x14ac:dyDescent="0.25">
      <c r="B138" s="91"/>
      <c r="C138" s="87"/>
      <c r="D138" s="87"/>
      <c r="E138" s="87"/>
      <c r="F138" s="101"/>
      <c r="G138" s="98"/>
      <c r="H138" s="98"/>
      <c r="I138" s="98"/>
      <c r="J138" s="98"/>
      <c r="K138" s="100">
        <f t="shared" si="2"/>
        <v>0</v>
      </c>
    </row>
    <row r="139" spans="2:11" ht="12.75" customHeight="1" x14ac:dyDescent="0.25">
      <c r="B139" s="91"/>
      <c r="C139" s="87"/>
      <c r="D139" s="87"/>
      <c r="E139" s="87"/>
      <c r="F139" s="101"/>
      <c r="G139" s="98"/>
      <c r="H139" s="98"/>
      <c r="I139" s="98"/>
      <c r="J139" s="98"/>
      <c r="K139" s="100">
        <f t="shared" si="2"/>
        <v>0</v>
      </c>
    </row>
    <row r="140" spans="2:11" ht="12.75" customHeight="1" x14ac:dyDescent="0.25">
      <c r="B140" s="91"/>
      <c r="C140" s="87"/>
      <c r="D140" s="87"/>
      <c r="E140" s="87"/>
      <c r="F140" s="101"/>
      <c r="G140" s="98"/>
      <c r="H140" s="98"/>
      <c r="I140" s="98"/>
      <c r="J140" s="98"/>
      <c r="K140" s="100">
        <f t="shared" si="2"/>
        <v>0</v>
      </c>
    </row>
    <row r="141" spans="2:11" ht="12.75" customHeight="1" x14ac:dyDescent="0.25">
      <c r="B141" s="91"/>
      <c r="C141" s="87"/>
      <c r="D141" s="87"/>
      <c r="E141" s="87"/>
      <c r="F141" s="101"/>
      <c r="G141" s="98"/>
      <c r="H141" s="98"/>
      <c r="I141" s="98"/>
      <c r="J141" s="98"/>
      <c r="K141" s="100">
        <f t="shared" si="2"/>
        <v>0</v>
      </c>
    </row>
    <row r="142" spans="2:11" ht="12.75" customHeight="1" x14ac:dyDescent="0.25">
      <c r="B142" s="91"/>
      <c r="C142" s="87"/>
      <c r="D142" s="87"/>
      <c r="E142" s="87"/>
      <c r="F142" s="101"/>
      <c r="G142" s="98"/>
      <c r="H142" s="98"/>
      <c r="I142" s="98"/>
      <c r="J142" s="98"/>
      <c r="K142" s="100">
        <f t="shared" si="2"/>
        <v>0</v>
      </c>
    </row>
    <row r="143" spans="2:11" ht="12.75" customHeight="1" x14ac:dyDescent="0.25">
      <c r="B143" s="91"/>
      <c r="C143" s="87"/>
      <c r="D143" s="87"/>
      <c r="E143" s="87"/>
      <c r="F143" s="101"/>
      <c r="G143" s="98"/>
      <c r="H143" s="98"/>
      <c r="I143" s="98"/>
      <c r="J143" s="98"/>
      <c r="K143" s="100">
        <f t="shared" si="2"/>
        <v>0</v>
      </c>
    </row>
    <row r="144" spans="2:11" ht="12.75" customHeight="1" x14ac:dyDescent="0.25">
      <c r="B144" s="91"/>
      <c r="C144" s="87"/>
      <c r="D144" s="87"/>
      <c r="E144" s="87"/>
      <c r="F144" s="101"/>
      <c r="G144" s="98"/>
      <c r="H144" s="98"/>
      <c r="I144" s="98"/>
      <c r="J144" s="98"/>
      <c r="K144" s="100">
        <f t="shared" si="2"/>
        <v>0</v>
      </c>
    </row>
    <row r="145" spans="2:11" ht="12.75" customHeight="1" x14ac:dyDescent="0.25">
      <c r="B145" s="91"/>
      <c r="C145" s="87"/>
      <c r="D145" s="87"/>
      <c r="E145" s="87"/>
      <c r="F145" s="101"/>
      <c r="G145" s="98"/>
      <c r="H145" s="98"/>
      <c r="I145" s="98"/>
      <c r="J145" s="98"/>
      <c r="K145" s="100">
        <f t="shared" si="2"/>
        <v>0</v>
      </c>
    </row>
    <row r="146" spans="2:11" ht="12.75" customHeight="1" x14ac:dyDescent="0.25">
      <c r="B146" s="91"/>
      <c r="C146" s="87"/>
      <c r="D146" s="87"/>
      <c r="E146" s="87"/>
      <c r="F146" s="101"/>
      <c r="G146" s="98"/>
      <c r="H146" s="98"/>
      <c r="I146" s="98"/>
      <c r="J146" s="98"/>
      <c r="K146" s="100">
        <f t="shared" si="2"/>
        <v>0</v>
      </c>
    </row>
    <row r="147" spans="2:11" ht="12.75" customHeight="1" x14ac:dyDescent="0.25">
      <c r="B147" s="91"/>
      <c r="C147" s="87"/>
      <c r="D147" s="87"/>
      <c r="E147" s="87"/>
      <c r="F147" s="101"/>
      <c r="G147" s="98"/>
      <c r="H147" s="98"/>
      <c r="I147" s="98"/>
      <c r="J147" s="98"/>
      <c r="K147" s="100">
        <f t="shared" si="2"/>
        <v>0</v>
      </c>
    </row>
    <row r="148" spans="2:11" ht="12.75" customHeight="1" x14ac:dyDescent="0.25">
      <c r="B148" s="91"/>
      <c r="C148" s="87"/>
      <c r="D148" s="87"/>
      <c r="E148" s="87"/>
      <c r="F148" s="101"/>
      <c r="G148" s="98"/>
      <c r="H148" s="98"/>
      <c r="I148" s="98"/>
      <c r="J148" s="98"/>
      <c r="K148" s="100">
        <f t="shared" si="2"/>
        <v>0</v>
      </c>
    </row>
    <row r="149" spans="2:11" ht="12.75" customHeight="1" x14ac:dyDescent="0.25">
      <c r="B149" s="91"/>
      <c r="C149" s="87"/>
      <c r="D149" s="87"/>
      <c r="E149" s="87"/>
      <c r="F149" s="101"/>
      <c r="G149" s="98"/>
      <c r="H149" s="98"/>
      <c r="I149" s="98"/>
      <c r="J149" s="98"/>
      <c r="K149" s="100">
        <f t="shared" si="2"/>
        <v>0</v>
      </c>
    </row>
    <row r="150" spans="2:11" ht="12.75" customHeight="1" x14ac:dyDescent="0.25">
      <c r="B150" s="91"/>
      <c r="C150" s="87"/>
      <c r="D150" s="87"/>
      <c r="E150" s="87"/>
      <c r="F150" s="101"/>
      <c r="G150" s="98"/>
      <c r="H150" s="98"/>
      <c r="I150" s="98"/>
      <c r="J150" s="98"/>
      <c r="K150" s="100">
        <f t="shared" si="2"/>
        <v>0</v>
      </c>
    </row>
    <row r="151" spans="2:11" ht="12.75" customHeight="1" x14ac:dyDescent="0.25">
      <c r="B151" s="91"/>
      <c r="C151" s="87"/>
      <c r="D151" s="87"/>
      <c r="E151" s="87"/>
      <c r="F151" s="101"/>
      <c r="G151" s="98"/>
      <c r="H151" s="98"/>
      <c r="I151" s="98"/>
      <c r="J151" s="98"/>
      <c r="K151" s="100">
        <f t="shared" si="2"/>
        <v>0</v>
      </c>
    </row>
    <row r="152" spans="2:11" ht="12.75" customHeight="1" x14ac:dyDescent="0.25">
      <c r="B152" s="91"/>
      <c r="C152" s="87"/>
      <c r="D152" s="87"/>
      <c r="E152" s="87"/>
      <c r="F152" s="101"/>
      <c r="G152" s="98"/>
      <c r="H152" s="98"/>
      <c r="I152" s="98"/>
      <c r="J152" s="98"/>
      <c r="K152" s="100">
        <f t="shared" si="2"/>
        <v>0</v>
      </c>
    </row>
    <row r="153" spans="2:11" ht="12.75" customHeight="1" x14ac:dyDescent="0.25">
      <c r="B153" s="91"/>
      <c r="C153" s="87"/>
      <c r="D153" s="87"/>
      <c r="E153" s="87"/>
      <c r="F153" s="101"/>
      <c r="G153" s="98"/>
      <c r="H153" s="98"/>
      <c r="I153" s="98"/>
      <c r="J153" s="98"/>
      <c r="K153" s="100">
        <f t="shared" si="2"/>
        <v>0</v>
      </c>
    </row>
    <row r="154" spans="2:11" ht="12.75" customHeight="1" thickBot="1" x14ac:dyDescent="0.3">
      <c r="B154" s="94"/>
      <c r="C154" s="95"/>
      <c r="D154" s="95"/>
      <c r="E154" s="95"/>
      <c r="F154" s="102"/>
      <c r="G154" s="103"/>
      <c r="H154" s="103"/>
      <c r="I154" s="98"/>
      <c r="J154" s="103"/>
      <c r="K154" s="104">
        <f t="shared" si="2"/>
        <v>0</v>
      </c>
    </row>
    <row r="155" spans="2:11" x14ac:dyDescent="0.25">
      <c r="B155" s="40"/>
      <c r="C155" s="41"/>
      <c r="D155" s="41"/>
      <c r="E155" s="41"/>
      <c r="F155" s="41"/>
      <c r="G155" s="34"/>
      <c r="H155" s="42"/>
    </row>
    <row r="156" spans="2:11" x14ac:dyDescent="0.25">
      <c r="B156" s="40"/>
      <c r="C156" s="41"/>
      <c r="D156" s="41"/>
      <c r="E156" s="41"/>
      <c r="F156" s="41"/>
      <c r="G156" s="34"/>
      <c r="H156" s="42"/>
    </row>
    <row r="157" spans="2:11" x14ac:dyDescent="0.25">
      <c r="B157" s="40"/>
      <c r="C157" s="41"/>
      <c r="D157" s="41"/>
      <c r="E157" s="41"/>
      <c r="F157" s="41"/>
      <c r="G157" s="34"/>
      <c r="H157" s="42"/>
    </row>
    <row r="158" spans="2:11" x14ac:dyDescent="0.25">
      <c r="B158" s="40"/>
      <c r="C158" s="41"/>
      <c r="D158" s="41"/>
      <c r="E158" s="41"/>
      <c r="F158" s="41"/>
      <c r="G158" s="34"/>
      <c r="H158" s="42"/>
    </row>
    <row r="159" spans="2:11" x14ac:dyDescent="0.25">
      <c r="B159" s="40"/>
      <c r="C159" s="41"/>
      <c r="D159" s="41"/>
      <c r="E159" s="41"/>
      <c r="F159" s="41"/>
      <c r="G159" s="34"/>
      <c r="H159" s="42"/>
    </row>
    <row r="160" spans="2:11" x14ac:dyDescent="0.25">
      <c r="B160" s="40"/>
      <c r="C160" s="41"/>
      <c r="D160" s="41"/>
      <c r="E160" s="41"/>
      <c r="F160" s="41"/>
      <c r="G160" s="34"/>
      <c r="H160" s="42"/>
    </row>
    <row r="161" spans="2:8" x14ac:dyDescent="0.25">
      <c r="B161" s="40"/>
      <c r="C161" s="41"/>
      <c r="D161" s="41"/>
      <c r="E161" s="41"/>
      <c r="F161" s="41"/>
      <c r="G161" s="34"/>
      <c r="H161" s="42"/>
    </row>
    <row r="162" spans="2:8" x14ac:dyDescent="0.25">
      <c r="B162" s="40"/>
      <c r="C162" s="41"/>
      <c r="D162" s="41"/>
      <c r="E162" s="41"/>
      <c r="F162" s="41"/>
      <c r="G162" s="34"/>
      <c r="H162" s="42"/>
    </row>
    <row r="163" spans="2:8" x14ac:dyDescent="0.25">
      <c r="B163" s="40"/>
      <c r="C163" s="41"/>
      <c r="D163" s="41"/>
      <c r="E163" s="41"/>
      <c r="F163" s="41"/>
      <c r="G163" s="34"/>
      <c r="H163" s="42"/>
    </row>
    <row r="164" spans="2:8" x14ac:dyDescent="0.25">
      <c r="B164" s="40"/>
      <c r="C164" s="41"/>
      <c r="D164" s="41"/>
      <c r="E164" s="41"/>
      <c r="F164" s="41"/>
      <c r="G164" s="34"/>
      <c r="H164" s="42"/>
    </row>
    <row r="165" spans="2:8" x14ac:dyDescent="0.25">
      <c r="B165" s="40"/>
      <c r="C165" s="41"/>
      <c r="D165" s="41"/>
      <c r="E165" s="41"/>
      <c r="F165" s="41"/>
      <c r="G165" s="34"/>
      <c r="H165" s="42"/>
    </row>
    <row r="166" spans="2:8" x14ac:dyDescent="0.25">
      <c r="B166" s="40"/>
      <c r="C166" s="41"/>
      <c r="D166" s="41"/>
      <c r="E166" s="41"/>
      <c r="F166" s="41"/>
      <c r="G166" s="34"/>
      <c r="H166" s="42"/>
    </row>
    <row r="167" spans="2:8" x14ac:dyDescent="0.25">
      <c r="B167" s="40"/>
      <c r="C167" s="41"/>
      <c r="D167" s="41"/>
      <c r="E167" s="41"/>
      <c r="F167" s="41"/>
      <c r="G167" s="34"/>
      <c r="H167" s="42"/>
    </row>
    <row r="168" spans="2:8" x14ac:dyDescent="0.25">
      <c r="B168" s="40"/>
      <c r="C168" s="41"/>
      <c r="D168" s="41"/>
      <c r="E168" s="41"/>
      <c r="F168" s="41"/>
      <c r="G168" s="34"/>
      <c r="H168" s="42"/>
    </row>
    <row r="169" spans="2:8" x14ac:dyDescent="0.25">
      <c r="B169" s="40"/>
      <c r="C169" s="41"/>
      <c r="D169" s="41"/>
      <c r="E169" s="41"/>
      <c r="F169" s="41"/>
      <c r="G169" s="34"/>
      <c r="H169" s="42"/>
    </row>
    <row r="170" spans="2:8" x14ac:dyDescent="0.25">
      <c r="B170" s="40"/>
      <c r="C170" s="41"/>
      <c r="D170" s="41"/>
      <c r="E170" s="41"/>
      <c r="F170" s="41"/>
      <c r="G170" s="34"/>
      <c r="H170" s="42"/>
    </row>
    <row r="171" spans="2:8" x14ac:dyDescent="0.25">
      <c r="B171" s="40"/>
      <c r="C171" s="41"/>
      <c r="D171" s="41"/>
      <c r="E171" s="41"/>
      <c r="F171" s="41"/>
      <c r="G171" s="34"/>
      <c r="H171" s="42"/>
    </row>
    <row r="172" spans="2:8" x14ac:dyDescent="0.25">
      <c r="B172" s="40"/>
      <c r="C172" s="41"/>
      <c r="D172" s="41"/>
      <c r="E172" s="41"/>
      <c r="F172" s="41"/>
      <c r="G172" s="34"/>
      <c r="H172" s="42"/>
    </row>
    <row r="173" spans="2:8" x14ac:dyDescent="0.25">
      <c r="B173" s="40"/>
      <c r="C173" s="41"/>
      <c r="D173" s="41"/>
      <c r="E173" s="41"/>
      <c r="F173" s="41"/>
      <c r="G173" s="34"/>
      <c r="H173" s="42"/>
    </row>
    <row r="174" spans="2:8" x14ac:dyDescent="0.25">
      <c r="B174" s="40"/>
      <c r="C174" s="41"/>
      <c r="D174" s="41"/>
      <c r="E174" s="41"/>
      <c r="F174" s="41"/>
      <c r="G174" s="34"/>
      <c r="H174" s="42"/>
    </row>
    <row r="175" spans="2:8" x14ac:dyDescent="0.25">
      <c r="B175" s="40"/>
      <c r="C175" s="41"/>
      <c r="D175" s="41"/>
      <c r="E175" s="41"/>
      <c r="F175" s="41"/>
      <c r="G175" s="34"/>
      <c r="H175" s="42"/>
    </row>
    <row r="176" spans="2:8" x14ac:dyDescent="0.25">
      <c r="B176" s="40"/>
      <c r="C176" s="41"/>
      <c r="D176" s="41"/>
      <c r="E176" s="41"/>
      <c r="F176" s="41"/>
      <c r="G176" s="34"/>
      <c r="H176" s="42"/>
    </row>
    <row r="177" spans="2:8" x14ac:dyDescent="0.25">
      <c r="B177" s="40"/>
      <c r="C177" s="41"/>
      <c r="D177" s="41"/>
      <c r="E177" s="41"/>
      <c r="F177" s="41"/>
      <c r="G177" s="34"/>
      <c r="H177" s="42"/>
    </row>
    <row r="178" spans="2:8" x14ac:dyDescent="0.25">
      <c r="B178" s="40"/>
      <c r="C178" s="41"/>
      <c r="D178" s="41"/>
      <c r="E178" s="41"/>
      <c r="F178" s="41"/>
      <c r="G178" s="34"/>
      <c r="H178" s="42"/>
    </row>
    <row r="179" spans="2:8" x14ac:dyDescent="0.25">
      <c r="B179" s="40"/>
      <c r="C179" s="41"/>
      <c r="D179" s="41"/>
      <c r="E179" s="41"/>
      <c r="F179" s="41"/>
      <c r="G179" s="34"/>
      <c r="H179" s="42"/>
    </row>
    <row r="180" spans="2:8" x14ac:dyDescent="0.25">
      <c r="B180" s="40"/>
      <c r="C180" s="41"/>
      <c r="D180" s="41"/>
      <c r="E180" s="41"/>
      <c r="F180" s="41"/>
      <c r="G180" s="34"/>
      <c r="H180" s="42"/>
    </row>
    <row r="181" spans="2:8" x14ac:dyDescent="0.25">
      <c r="B181" s="40"/>
      <c r="C181" s="41"/>
      <c r="D181" s="41"/>
      <c r="E181" s="41"/>
      <c r="F181" s="41"/>
      <c r="G181" s="34"/>
      <c r="H181" s="42"/>
    </row>
    <row r="182" spans="2:8" x14ac:dyDescent="0.25">
      <c r="B182" s="40"/>
      <c r="C182" s="41"/>
      <c r="D182" s="41"/>
      <c r="E182" s="41"/>
      <c r="F182" s="41"/>
      <c r="G182" s="34"/>
      <c r="H182" s="42"/>
    </row>
    <row r="183" spans="2:8" x14ac:dyDescent="0.25">
      <c r="B183" s="40"/>
      <c r="C183" s="41"/>
      <c r="D183" s="41"/>
      <c r="E183" s="41"/>
      <c r="F183" s="41"/>
      <c r="G183" s="34"/>
      <c r="H183" s="42"/>
    </row>
    <row r="184" spans="2:8" x14ac:dyDescent="0.25">
      <c r="B184" s="40"/>
      <c r="C184" s="41"/>
      <c r="D184" s="41"/>
      <c r="E184" s="41"/>
      <c r="F184" s="41"/>
      <c r="G184" s="34"/>
      <c r="H184" s="42"/>
    </row>
    <row r="185" spans="2:8" x14ac:dyDescent="0.25">
      <c r="B185" s="40"/>
      <c r="C185" s="41"/>
      <c r="D185" s="41"/>
      <c r="E185" s="41"/>
      <c r="F185" s="41"/>
      <c r="G185" s="34"/>
      <c r="H185" s="42"/>
    </row>
    <row r="186" spans="2:8" x14ac:dyDescent="0.25">
      <c r="B186" s="40"/>
      <c r="C186" s="41"/>
      <c r="D186" s="41"/>
      <c r="E186" s="41"/>
      <c r="F186" s="41"/>
      <c r="G186" s="34"/>
      <c r="H186" s="42"/>
    </row>
    <row r="187" spans="2:8" x14ac:dyDescent="0.25">
      <c r="B187" s="40"/>
      <c r="C187" s="41"/>
      <c r="D187" s="41"/>
      <c r="E187" s="41"/>
      <c r="F187" s="41"/>
      <c r="G187" s="34"/>
      <c r="H187" s="42"/>
    </row>
    <row r="188" spans="2:8" x14ac:dyDescent="0.25">
      <c r="B188" s="40"/>
      <c r="C188" s="41"/>
      <c r="D188" s="41"/>
      <c r="E188" s="41"/>
      <c r="F188" s="41"/>
      <c r="G188" s="34"/>
      <c r="H188" s="42"/>
    </row>
    <row r="189" spans="2:8" x14ac:dyDescent="0.25">
      <c r="B189" s="40"/>
      <c r="C189" s="41"/>
      <c r="D189" s="41"/>
      <c r="E189" s="41"/>
      <c r="F189" s="41"/>
      <c r="G189" s="34"/>
      <c r="H189" s="42"/>
    </row>
    <row r="190" spans="2:8" x14ac:dyDescent="0.25">
      <c r="B190" s="40"/>
      <c r="C190" s="41"/>
      <c r="D190" s="41"/>
      <c r="E190" s="41"/>
      <c r="F190" s="41"/>
      <c r="G190" s="34"/>
      <c r="H190" s="42"/>
    </row>
    <row r="191" spans="2:8" x14ac:dyDescent="0.25">
      <c r="B191" s="40"/>
      <c r="C191" s="41"/>
      <c r="D191" s="41"/>
      <c r="E191" s="41"/>
      <c r="F191" s="41"/>
      <c r="G191" s="34"/>
      <c r="H191" s="42"/>
    </row>
    <row r="192" spans="2:8" x14ac:dyDescent="0.25">
      <c r="B192" s="40"/>
      <c r="C192" s="41"/>
      <c r="D192" s="41"/>
      <c r="E192" s="41"/>
      <c r="F192" s="41"/>
      <c r="G192" s="34"/>
      <c r="H192" s="42"/>
    </row>
    <row r="193" spans="2:8" x14ac:dyDescent="0.25">
      <c r="B193" s="40"/>
      <c r="C193" s="41"/>
      <c r="D193" s="41"/>
      <c r="E193" s="41"/>
      <c r="F193" s="41"/>
      <c r="G193" s="34"/>
      <c r="H193" s="42"/>
    </row>
    <row r="194" spans="2:8" x14ac:dyDescent="0.25">
      <c r="B194" s="40"/>
      <c r="C194" s="41"/>
      <c r="D194" s="41"/>
      <c r="E194" s="41"/>
      <c r="F194" s="41"/>
      <c r="G194" s="34"/>
      <c r="H194" s="42"/>
    </row>
    <row r="195" spans="2:8" x14ac:dyDescent="0.25">
      <c r="B195" s="40"/>
      <c r="C195" s="41"/>
      <c r="D195" s="41"/>
      <c r="E195" s="41"/>
      <c r="F195" s="41"/>
      <c r="G195" s="34"/>
      <c r="H195" s="42"/>
    </row>
    <row r="196" spans="2:8" x14ac:dyDescent="0.25">
      <c r="B196" s="40"/>
      <c r="C196" s="41"/>
      <c r="D196" s="41"/>
      <c r="E196" s="41"/>
      <c r="F196" s="41"/>
      <c r="G196" s="34"/>
      <c r="H196" s="42"/>
    </row>
    <row r="197" spans="2:8" x14ac:dyDescent="0.25">
      <c r="B197" s="40"/>
      <c r="C197" s="41"/>
      <c r="D197" s="41"/>
      <c r="E197" s="41"/>
      <c r="F197" s="41"/>
      <c r="G197" s="34"/>
      <c r="H197" s="42"/>
    </row>
    <row r="198" spans="2:8" x14ac:dyDescent="0.25">
      <c r="B198" s="40"/>
      <c r="C198" s="41"/>
      <c r="D198" s="41"/>
      <c r="E198" s="41"/>
      <c r="F198" s="41"/>
      <c r="G198" s="34"/>
      <c r="H198" s="42"/>
    </row>
    <row r="199" spans="2:8" x14ac:dyDescent="0.25">
      <c r="B199" s="40"/>
      <c r="C199" s="41"/>
      <c r="D199" s="41"/>
      <c r="E199" s="41"/>
      <c r="F199" s="41"/>
      <c r="G199" s="34"/>
      <c r="H199" s="42"/>
    </row>
    <row r="200" spans="2:8" x14ac:dyDescent="0.25">
      <c r="B200" s="40"/>
      <c r="C200" s="41"/>
      <c r="D200" s="41"/>
      <c r="E200" s="41"/>
      <c r="F200" s="41"/>
      <c r="G200" s="34"/>
      <c r="H200" s="42"/>
    </row>
    <row r="201" spans="2:8" x14ac:dyDescent="0.25">
      <c r="B201" s="40"/>
      <c r="C201" s="41"/>
      <c r="D201" s="41"/>
      <c r="E201" s="41"/>
      <c r="F201" s="41"/>
      <c r="G201" s="34"/>
      <c r="H201" s="42"/>
    </row>
    <row r="202" spans="2:8" x14ac:dyDescent="0.25">
      <c r="B202" s="40"/>
      <c r="C202" s="41"/>
      <c r="D202" s="41"/>
      <c r="E202" s="41"/>
      <c r="F202" s="41"/>
      <c r="G202" s="34"/>
      <c r="H202" s="42"/>
    </row>
    <row r="203" spans="2:8" x14ac:dyDescent="0.25">
      <c r="B203" s="40"/>
      <c r="C203" s="41"/>
      <c r="D203" s="41"/>
      <c r="E203" s="41"/>
      <c r="F203" s="41"/>
      <c r="G203" s="34"/>
      <c r="H203" s="42"/>
    </row>
    <row r="204" spans="2:8" x14ac:dyDescent="0.25">
      <c r="B204" s="40"/>
      <c r="C204" s="41"/>
      <c r="D204" s="41"/>
      <c r="E204" s="41"/>
      <c r="F204" s="41"/>
      <c r="G204" s="34"/>
      <c r="H204" s="42"/>
    </row>
    <row r="205" spans="2:8" x14ac:dyDescent="0.25">
      <c r="B205" s="40"/>
      <c r="C205" s="41"/>
      <c r="D205" s="41"/>
      <c r="E205" s="41"/>
      <c r="F205" s="41"/>
      <c r="G205" s="34"/>
      <c r="H205" s="42"/>
    </row>
    <row r="206" spans="2:8" x14ac:dyDescent="0.25">
      <c r="B206" s="40"/>
      <c r="C206" s="41"/>
      <c r="D206" s="41"/>
      <c r="E206" s="41"/>
      <c r="F206" s="41"/>
      <c r="G206" s="34"/>
      <c r="H206" s="42"/>
    </row>
    <row r="207" spans="2:8" x14ac:dyDescent="0.25">
      <c r="B207" s="40"/>
      <c r="C207" s="41"/>
      <c r="D207" s="41"/>
      <c r="E207" s="41"/>
      <c r="F207" s="41"/>
      <c r="G207" s="34"/>
      <c r="H207" s="42"/>
    </row>
    <row r="208" spans="2:8" x14ac:dyDescent="0.25">
      <c r="B208" s="40"/>
      <c r="C208" s="41"/>
      <c r="D208" s="41"/>
      <c r="E208" s="41"/>
      <c r="F208" s="41"/>
      <c r="G208" s="34"/>
      <c r="H208" s="42"/>
    </row>
    <row r="209" spans="2:8" x14ac:dyDescent="0.25">
      <c r="B209" s="40"/>
      <c r="C209" s="41"/>
      <c r="D209" s="41"/>
      <c r="E209" s="41"/>
      <c r="F209" s="41"/>
      <c r="G209" s="34"/>
      <c r="H209" s="42"/>
    </row>
    <row r="210" spans="2:8" x14ac:dyDescent="0.25">
      <c r="B210" s="40"/>
      <c r="C210" s="41"/>
      <c r="D210" s="41"/>
      <c r="E210" s="41"/>
      <c r="F210" s="41"/>
      <c r="G210" s="34"/>
      <c r="H210" s="42"/>
    </row>
    <row r="211" spans="2:8" x14ac:dyDescent="0.25">
      <c r="B211" s="40"/>
      <c r="C211" s="41"/>
      <c r="D211" s="41"/>
      <c r="E211" s="41"/>
      <c r="F211" s="41"/>
      <c r="G211" s="34"/>
      <c r="H211" s="42"/>
    </row>
    <row r="212" spans="2:8" x14ac:dyDescent="0.25">
      <c r="B212" s="40"/>
      <c r="C212" s="41"/>
      <c r="D212" s="41"/>
      <c r="E212" s="41"/>
      <c r="F212" s="41"/>
      <c r="G212" s="34"/>
      <c r="H212" s="42"/>
    </row>
    <row r="213" spans="2:8" x14ac:dyDescent="0.25">
      <c r="B213" s="40"/>
      <c r="C213" s="41"/>
      <c r="D213" s="41"/>
      <c r="E213" s="41"/>
      <c r="F213" s="41"/>
      <c r="G213" s="34"/>
      <c r="H213" s="42"/>
    </row>
    <row r="214" spans="2:8" x14ac:dyDescent="0.25">
      <c r="B214" s="40"/>
      <c r="C214" s="41"/>
      <c r="D214" s="41"/>
      <c r="E214" s="41"/>
      <c r="F214" s="41"/>
      <c r="G214" s="34"/>
      <c r="H214" s="42"/>
    </row>
    <row r="215" spans="2:8" x14ac:dyDescent="0.25">
      <c r="B215" s="40"/>
      <c r="C215" s="41"/>
      <c r="D215" s="41"/>
      <c r="E215" s="41"/>
      <c r="F215" s="41"/>
      <c r="G215" s="34"/>
      <c r="H215" s="42"/>
    </row>
    <row r="216" spans="2:8" x14ac:dyDescent="0.25">
      <c r="B216" s="40"/>
      <c r="C216" s="41"/>
      <c r="D216" s="41"/>
      <c r="E216" s="41"/>
      <c r="F216" s="41"/>
      <c r="G216" s="34"/>
      <c r="H216" s="42"/>
    </row>
    <row r="217" spans="2:8" x14ac:dyDescent="0.25">
      <c r="B217" s="40"/>
      <c r="C217" s="41"/>
      <c r="D217" s="41"/>
      <c r="E217" s="41"/>
      <c r="F217" s="41"/>
      <c r="G217" s="34"/>
      <c r="H217" s="42"/>
    </row>
    <row r="218" spans="2:8" x14ac:dyDescent="0.25">
      <c r="B218" s="40"/>
      <c r="C218" s="41"/>
      <c r="D218" s="41"/>
      <c r="E218" s="41"/>
      <c r="F218" s="41"/>
      <c r="G218" s="34"/>
      <c r="H218" s="42"/>
    </row>
    <row r="219" spans="2:8" x14ac:dyDescent="0.25">
      <c r="B219" s="40"/>
      <c r="C219" s="41"/>
      <c r="D219" s="41"/>
      <c r="E219" s="41"/>
      <c r="F219" s="41"/>
      <c r="G219" s="34"/>
      <c r="H219" s="42"/>
    </row>
    <row r="220" spans="2:8" x14ac:dyDescent="0.25">
      <c r="B220" s="40"/>
      <c r="C220" s="41"/>
      <c r="D220" s="41"/>
      <c r="E220" s="41"/>
      <c r="F220" s="41"/>
      <c r="G220" s="34"/>
      <c r="H220" s="42"/>
    </row>
    <row r="221" spans="2:8" x14ac:dyDescent="0.25">
      <c r="B221" s="40"/>
      <c r="C221" s="41"/>
      <c r="D221" s="41"/>
      <c r="E221" s="41"/>
      <c r="F221" s="41"/>
      <c r="G221" s="34"/>
      <c r="H221" s="42"/>
    </row>
    <row r="222" spans="2:8" x14ac:dyDescent="0.25">
      <c r="B222" s="40"/>
      <c r="C222" s="41"/>
      <c r="D222" s="41"/>
      <c r="E222" s="41"/>
      <c r="F222" s="41"/>
      <c r="G222" s="34"/>
      <c r="H222" s="42"/>
    </row>
    <row r="223" spans="2:8" x14ac:dyDescent="0.25">
      <c r="B223" s="40"/>
      <c r="C223" s="41"/>
      <c r="D223" s="41"/>
      <c r="E223" s="41"/>
      <c r="F223" s="41"/>
      <c r="G223" s="34"/>
      <c r="H223" s="42"/>
    </row>
    <row r="224" spans="2:8" x14ac:dyDescent="0.25">
      <c r="B224" s="40"/>
      <c r="C224" s="41"/>
      <c r="D224" s="41"/>
      <c r="E224" s="41"/>
      <c r="F224" s="41"/>
      <c r="G224" s="34"/>
      <c r="H224" s="42"/>
    </row>
    <row r="225" spans="2:8" x14ac:dyDescent="0.25">
      <c r="B225" s="40"/>
      <c r="C225" s="41"/>
      <c r="D225" s="41"/>
      <c r="E225" s="41"/>
      <c r="F225" s="41"/>
      <c r="G225" s="34"/>
      <c r="H225" s="42"/>
    </row>
    <row r="226" spans="2:8" x14ac:dyDescent="0.25">
      <c r="B226" s="40"/>
      <c r="C226" s="41"/>
      <c r="D226" s="41"/>
      <c r="E226" s="41"/>
      <c r="F226" s="41"/>
      <c r="G226" s="34"/>
      <c r="H226" s="42"/>
    </row>
    <row r="227" spans="2:8" x14ac:dyDescent="0.25">
      <c r="B227" s="40"/>
      <c r="C227" s="41"/>
      <c r="D227" s="41"/>
      <c r="E227" s="41"/>
      <c r="F227" s="41"/>
      <c r="G227" s="34"/>
      <c r="H227" s="42"/>
    </row>
    <row r="228" spans="2:8" x14ac:dyDescent="0.25">
      <c r="B228" s="40"/>
      <c r="C228" s="41"/>
      <c r="D228" s="41"/>
      <c r="E228" s="41"/>
      <c r="F228" s="41"/>
      <c r="G228" s="34"/>
      <c r="H228" s="42"/>
    </row>
    <row r="229" spans="2:8" x14ac:dyDescent="0.25">
      <c r="B229" s="40"/>
      <c r="C229" s="41"/>
      <c r="D229" s="41"/>
      <c r="E229" s="41"/>
      <c r="F229" s="41"/>
      <c r="G229" s="34"/>
      <c r="H229" s="42"/>
    </row>
    <row r="230" spans="2:8" x14ac:dyDescent="0.25">
      <c r="B230" s="40"/>
      <c r="C230" s="41"/>
      <c r="D230" s="41"/>
      <c r="E230" s="41"/>
      <c r="F230" s="41"/>
      <c r="G230" s="34"/>
      <c r="H230" s="42"/>
    </row>
    <row r="231" spans="2:8" x14ac:dyDescent="0.25">
      <c r="B231" s="40"/>
      <c r="C231" s="41"/>
      <c r="D231" s="41"/>
      <c r="E231" s="41"/>
      <c r="F231" s="41"/>
      <c r="G231" s="34"/>
      <c r="H231" s="42"/>
    </row>
    <row r="232" spans="2:8" x14ac:dyDescent="0.25">
      <c r="B232" s="40"/>
      <c r="C232" s="41"/>
      <c r="D232" s="41"/>
      <c r="E232" s="41"/>
      <c r="F232" s="41"/>
      <c r="G232" s="34"/>
      <c r="H232" s="42"/>
    </row>
    <row r="233" spans="2:8" x14ac:dyDescent="0.25">
      <c r="B233" s="40"/>
      <c r="C233" s="41"/>
      <c r="D233" s="41"/>
      <c r="E233" s="41"/>
      <c r="F233" s="41"/>
      <c r="G233" s="34"/>
      <c r="H233" s="42"/>
    </row>
    <row r="234" spans="2:8" x14ac:dyDescent="0.25">
      <c r="B234" s="40"/>
      <c r="C234" s="41"/>
      <c r="D234" s="41"/>
      <c r="E234" s="41"/>
      <c r="F234" s="41"/>
      <c r="G234" s="34"/>
      <c r="H234" s="42"/>
    </row>
    <row r="235" spans="2:8" x14ac:dyDescent="0.25">
      <c r="B235" s="40"/>
      <c r="C235" s="41"/>
      <c r="D235" s="41"/>
      <c r="E235" s="41"/>
      <c r="F235" s="41"/>
      <c r="G235" s="34"/>
      <c r="H235" s="42"/>
    </row>
    <row r="236" spans="2:8" x14ac:dyDescent="0.25">
      <c r="B236" s="40"/>
      <c r="C236" s="41"/>
      <c r="D236" s="41"/>
      <c r="E236" s="41"/>
      <c r="F236" s="41"/>
      <c r="G236" s="34"/>
      <c r="H236" s="42"/>
    </row>
    <row r="237" spans="2:8" x14ac:dyDescent="0.25">
      <c r="B237" s="40"/>
      <c r="C237" s="41"/>
      <c r="D237" s="41"/>
      <c r="E237" s="41"/>
      <c r="F237" s="41"/>
      <c r="G237" s="34"/>
      <c r="H237" s="42"/>
    </row>
    <row r="238" spans="2:8" x14ac:dyDescent="0.25">
      <c r="B238" s="40"/>
      <c r="C238" s="41"/>
      <c r="D238" s="41"/>
      <c r="E238" s="41"/>
      <c r="F238" s="41"/>
      <c r="G238" s="34"/>
      <c r="H238" s="42"/>
    </row>
    <row r="239" spans="2:8" x14ac:dyDescent="0.25">
      <c r="B239" s="40"/>
      <c r="C239" s="41"/>
      <c r="D239" s="41"/>
      <c r="E239" s="41"/>
      <c r="F239" s="41"/>
      <c r="G239" s="34"/>
      <c r="H239" s="42"/>
    </row>
    <row r="240" spans="2:8" x14ac:dyDescent="0.25">
      <c r="B240" s="40"/>
      <c r="C240" s="41"/>
      <c r="D240" s="41"/>
      <c r="E240" s="41"/>
      <c r="F240" s="41"/>
      <c r="G240" s="34"/>
      <c r="H240" s="42"/>
    </row>
    <row r="241" spans="2:8" x14ac:dyDescent="0.25">
      <c r="B241" s="40"/>
      <c r="C241" s="41"/>
      <c r="D241" s="41"/>
      <c r="E241" s="41"/>
      <c r="F241" s="41"/>
      <c r="G241" s="34"/>
      <c r="H241" s="42"/>
    </row>
    <row r="242" spans="2:8" x14ac:dyDescent="0.25">
      <c r="B242" s="40"/>
      <c r="C242" s="41"/>
      <c r="D242" s="41"/>
      <c r="E242" s="41"/>
      <c r="F242" s="41"/>
      <c r="G242" s="34"/>
      <c r="H242" s="42"/>
    </row>
    <row r="243" spans="2:8" x14ac:dyDescent="0.25">
      <c r="B243" s="40"/>
      <c r="C243" s="41"/>
      <c r="D243" s="41"/>
      <c r="E243" s="41"/>
      <c r="F243" s="41"/>
      <c r="G243" s="34"/>
      <c r="H243" s="42"/>
    </row>
    <row r="244" spans="2:8" x14ac:dyDescent="0.25">
      <c r="B244" s="40"/>
      <c r="C244" s="41"/>
      <c r="D244" s="41"/>
      <c r="E244" s="41"/>
      <c r="F244" s="41"/>
      <c r="G244" s="34"/>
      <c r="H244" s="42"/>
    </row>
    <row r="245" spans="2:8" x14ac:dyDescent="0.25">
      <c r="B245" s="40"/>
      <c r="C245" s="41"/>
      <c r="D245" s="41"/>
      <c r="E245" s="41"/>
      <c r="F245" s="41"/>
      <c r="G245" s="34"/>
      <c r="H245" s="42"/>
    </row>
    <row r="246" spans="2:8" x14ac:dyDescent="0.25">
      <c r="B246" s="40"/>
      <c r="C246" s="41"/>
      <c r="D246" s="41"/>
      <c r="E246" s="41"/>
      <c r="F246" s="41"/>
      <c r="G246" s="34"/>
      <c r="H246" s="42"/>
    </row>
    <row r="247" spans="2:8" x14ac:dyDescent="0.25">
      <c r="B247" s="40"/>
      <c r="C247" s="41"/>
      <c r="D247" s="41"/>
      <c r="E247" s="41"/>
      <c r="F247" s="41"/>
      <c r="G247" s="34"/>
      <c r="H247" s="42"/>
    </row>
    <row r="248" spans="2:8" x14ac:dyDescent="0.25">
      <c r="B248" s="40"/>
      <c r="C248" s="41"/>
      <c r="D248" s="41"/>
      <c r="E248" s="41"/>
      <c r="F248" s="41"/>
      <c r="G248" s="34"/>
      <c r="H248" s="42"/>
    </row>
    <row r="249" spans="2:8" x14ac:dyDescent="0.25">
      <c r="B249" s="40"/>
      <c r="C249" s="41"/>
      <c r="D249" s="41"/>
      <c r="E249" s="41"/>
      <c r="F249" s="41"/>
      <c r="G249" s="34"/>
      <c r="H249" s="42"/>
    </row>
    <row r="250" spans="2:8" x14ac:dyDescent="0.25">
      <c r="B250" s="40"/>
      <c r="C250" s="41"/>
      <c r="D250" s="41"/>
      <c r="E250" s="41"/>
      <c r="F250" s="41"/>
      <c r="G250" s="34"/>
      <c r="H250" s="42"/>
    </row>
    <row r="251" spans="2:8" x14ac:dyDescent="0.25">
      <c r="B251" s="40"/>
      <c r="C251" s="41"/>
      <c r="D251" s="41"/>
      <c r="E251" s="41"/>
      <c r="F251" s="41"/>
      <c r="G251" s="34"/>
      <c r="H251" s="42"/>
    </row>
    <row r="252" spans="2:8" x14ac:dyDescent="0.25">
      <c r="B252" s="40"/>
      <c r="C252" s="41"/>
      <c r="D252" s="41"/>
      <c r="E252" s="41"/>
      <c r="F252" s="41"/>
      <c r="G252" s="34"/>
      <c r="H252" s="42"/>
    </row>
    <row r="253" spans="2:8" x14ac:dyDescent="0.25">
      <c r="B253" s="40"/>
      <c r="C253" s="41"/>
      <c r="D253" s="41"/>
      <c r="E253" s="41"/>
      <c r="F253" s="41"/>
      <c r="G253" s="34"/>
      <c r="H253" s="42"/>
    </row>
    <row r="254" spans="2:8" x14ac:dyDescent="0.25">
      <c r="B254" s="40"/>
      <c r="C254" s="41"/>
      <c r="D254" s="41"/>
      <c r="E254" s="41"/>
      <c r="F254" s="41"/>
      <c r="G254" s="34"/>
      <c r="H254" s="42"/>
    </row>
    <row r="255" spans="2:8" x14ac:dyDescent="0.25">
      <c r="B255" s="40"/>
      <c r="C255" s="41"/>
      <c r="D255" s="41"/>
      <c r="E255" s="41"/>
      <c r="F255" s="41"/>
      <c r="G255" s="34"/>
      <c r="H255" s="42"/>
    </row>
    <row r="256" spans="2:8" x14ac:dyDescent="0.25">
      <c r="B256" s="40"/>
      <c r="C256" s="41"/>
      <c r="D256" s="41"/>
      <c r="E256" s="41"/>
      <c r="F256" s="41"/>
      <c r="G256" s="34"/>
      <c r="H256" s="42"/>
    </row>
    <row r="257" spans="2:8" x14ac:dyDescent="0.25">
      <c r="B257" s="40"/>
      <c r="C257" s="41"/>
      <c r="D257" s="41"/>
      <c r="E257" s="41"/>
      <c r="F257" s="41"/>
      <c r="G257" s="34"/>
      <c r="H257" s="42"/>
    </row>
    <row r="258" spans="2:8" x14ac:dyDescent="0.25">
      <c r="B258" s="40"/>
      <c r="C258" s="41"/>
      <c r="D258" s="41"/>
      <c r="E258" s="41"/>
      <c r="F258" s="41"/>
      <c r="G258" s="34"/>
      <c r="H258" s="42"/>
    </row>
    <row r="259" spans="2:8" x14ac:dyDescent="0.25">
      <c r="B259" s="40"/>
      <c r="C259" s="41"/>
      <c r="D259" s="41"/>
      <c r="E259" s="41"/>
      <c r="F259" s="41"/>
      <c r="G259" s="34"/>
      <c r="H259" s="42"/>
    </row>
    <row r="260" spans="2:8" x14ac:dyDescent="0.25">
      <c r="B260" s="40"/>
      <c r="C260" s="41"/>
      <c r="D260" s="41"/>
      <c r="E260" s="41"/>
      <c r="F260" s="41"/>
      <c r="G260" s="34"/>
      <c r="H260" s="42"/>
    </row>
    <row r="261" spans="2:8" x14ac:dyDescent="0.25">
      <c r="B261" s="40"/>
      <c r="C261" s="41"/>
      <c r="D261" s="41"/>
      <c r="E261" s="41"/>
      <c r="F261" s="41"/>
      <c r="G261" s="34"/>
      <c r="H261" s="42"/>
    </row>
    <row r="262" spans="2:8" x14ac:dyDescent="0.25">
      <c r="B262" s="40"/>
      <c r="C262" s="41"/>
      <c r="D262" s="41"/>
      <c r="E262" s="41"/>
      <c r="F262" s="41"/>
      <c r="G262" s="34"/>
      <c r="H262" s="42"/>
    </row>
    <row r="263" spans="2:8" x14ac:dyDescent="0.25">
      <c r="B263" s="40"/>
      <c r="C263" s="41"/>
      <c r="D263" s="41"/>
      <c r="E263" s="41"/>
      <c r="F263" s="41"/>
      <c r="G263" s="34"/>
      <c r="H263" s="42"/>
    </row>
    <row r="264" spans="2:8" x14ac:dyDescent="0.25">
      <c r="B264" s="40"/>
      <c r="C264" s="41"/>
      <c r="D264" s="41"/>
      <c r="E264" s="41"/>
      <c r="F264" s="41"/>
      <c r="G264" s="34"/>
      <c r="H264" s="42"/>
    </row>
    <row r="265" spans="2:8" x14ac:dyDescent="0.25">
      <c r="B265" s="40"/>
      <c r="C265" s="41"/>
      <c r="D265" s="41"/>
      <c r="E265" s="41"/>
      <c r="F265" s="41"/>
      <c r="G265" s="34"/>
      <c r="H265" s="42"/>
    </row>
    <row r="266" spans="2:8" x14ac:dyDescent="0.25">
      <c r="B266" s="40"/>
      <c r="C266" s="41"/>
      <c r="D266" s="41"/>
      <c r="E266" s="41"/>
      <c r="F266" s="41"/>
      <c r="G266" s="34"/>
      <c r="H266" s="42"/>
    </row>
    <row r="267" spans="2:8" x14ac:dyDescent="0.25">
      <c r="B267" s="40"/>
      <c r="C267" s="41"/>
      <c r="D267" s="41"/>
      <c r="E267" s="41"/>
      <c r="F267" s="41"/>
      <c r="G267" s="34"/>
      <c r="H267" s="42"/>
    </row>
    <row r="268" spans="2:8" x14ac:dyDescent="0.25">
      <c r="B268" s="40"/>
      <c r="C268" s="41"/>
      <c r="D268" s="41"/>
      <c r="E268" s="41"/>
      <c r="F268" s="41"/>
      <c r="G268" s="34"/>
      <c r="H268" s="42"/>
    </row>
    <row r="269" spans="2:8" x14ac:dyDescent="0.25">
      <c r="B269" s="40"/>
      <c r="C269" s="41"/>
      <c r="D269" s="41"/>
      <c r="E269" s="41"/>
      <c r="F269" s="41"/>
      <c r="G269" s="34"/>
      <c r="H269" s="42"/>
    </row>
    <row r="270" spans="2:8" x14ac:dyDescent="0.25">
      <c r="B270" s="40"/>
      <c r="C270" s="41"/>
      <c r="D270" s="41"/>
      <c r="E270" s="41"/>
      <c r="F270" s="41"/>
      <c r="G270" s="34"/>
      <c r="H270" s="42"/>
    </row>
    <row r="271" spans="2:8" x14ac:dyDescent="0.25">
      <c r="B271" s="40"/>
      <c r="C271" s="41"/>
      <c r="D271" s="41"/>
      <c r="E271" s="41"/>
      <c r="F271" s="41"/>
      <c r="G271" s="34"/>
      <c r="H271" s="42"/>
    </row>
    <row r="272" spans="2:8" x14ac:dyDescent="0.25">
      <c r="B272" s="40"/>
      <c r="C272" s="41"/>
      <c r="D272" s="41"/>
      <c r="E272" s="41"/>
      <c r="F272" s="41"/>
      <c r="G272" s="34"/>
      <c r="H272" s="42"/>
    </row>
    <row r="273" spans="2:8" x14ac:dyDescent="0.25">
      <c r="B273" s="40"/>
      <c r="C273" s="41"/>
      <c r="D273" s="41"/>
      <c r="E273" s="41"/>
      <c r="F273" s="41"/>
      <c r="G273" s="34"/>
      <c r="H273" s="42"/>
    </row>
    <row r="274" spans="2:8" x14ac:dyDescent="0.25">
      <c r="B274" s="40"/>
      <c r="C274" s="41"/>
      <c r="D274" s="41"/>
      <c r="E274" s="41"/>
      <c r="F274" s="41"/>
      <c r="G274" s="34"/>
      <c r="H274" s="42"/>
    </row>
    <row r="275" spans="2:8" x14ac:dyDescent="0.25">
      <c r="B275" s="40"/>
      <c r="C275" s="41"/>
      <c r="D275" s="41"/>
      <c r="E275" s="41"/>
      <c r="F275" s="41"/>
      <c r="G275" s="34"/>
      <c r="H275" s="42"/>
    </row>
    <row r="276" spans="2:8" x14ac:dyDescent="0.25">
      <c r="B276" s="40"/>
      <c r="C276" s="41"/>
      <c r="D276" s="41"/>
      <c r="E276" s="41"/>
      <c r="F276" s="41"/>
      <c r="G276" s="34"/>
      <c r="H276" s="42"/>
    </row>
    <row r="277" spans="2:8" x14ac:dyDescent="0.25">
      <c r="B277" s="40"/>
      <c r="C277" s="41"/>
      <c r="D277" s="41"/>
      <c r="E277" s="41"/>
      <c r="F277" s="41"/>
      <c r="G277" s="34"/>
      <c r="H277" s="42"/>
    </row>
    <row r="278" spans="2:8" x14ac:dyDescent="0.25">
      <c r="B278" s="40"/>
      <c r="C278" s="41"/>
      <c r="D278" s="41"/>
      <c r="E278" s="41"/>
      <c r="F278" s="41"/>
      <c r="G278" s="34"/>
      <c r="H278" s="42"/>
    </row>
    <row r="279" spans="2:8" x14ac:dyDescent="0.25">
      <c r="B279" s="40"/>
      <c r="C279" s="41"/>
      <c r="D279" s="41"/>
      <c r="E279" s="41"/>
      <c r="F279" s="41"/>
      <c r="G279" s="34"/>
      <c r="H279" s="42"/>
    </row>
    <row r="280" spans="2:8" x14ac:dyDescent="0.25">
      <c r="B280" s="40"/>
      <c r="C280" s="41"/>
      <c r="D280" s="41"/>
      <c r="E280" s="41"/>
      <c r="F280" s="41"/>
      <c r="G280" s="34"/>
      <c r="H280" s="42"/>
    </row>
    <row r="281" spans="2:8" x14ac:dyDescent="0.25">
      <c r="B281" s="40"/>
      <c r="C281" s="41"/>
      <c r="D281" s="41"/>
      <c r="E281" s="41"/>
      <c r="F281" s="41"/>
      <c r="G281" s="34"/>
      <c r="H281" s="42"/>
    </row>
    <row r="282" spans="2:8" x14ac:dyDescent="0.25">
      <c r="B282" s="40"/>
      <c r="C282" s="41"/>
      <c r="D282" s="41"/>
      <c r="E282" s="41"/>
      <c r="F282" s="41"/>
      <c r="G282" s="34"/>
      <c r="H282" s="42"/>
    </row>
    <row r="283" spans="2:8" x14ac:dyDescent="0.25">
      <c r="B283" s="40"/>
      <c r="C283" s="41"/>
      <c r="D283" s="41"/>
      <c r="E283" s="41"/>
      <c r="F283" s="41"/>
      <c r="G283" s="34"/>
      <c r="H283" s="42"/>
    </row>
    <row r="284" spans="2:8" x14ac:dyDescent="0.25">
      <c r="B284" s="40"/>
      <c r="C284" s="41"/>
      <c r="D284" s="41"/>
      <c r="E284" s="41"/>
      <c r="F284" s="41"/>
      <c r="G284" s="34"/>
      <c r="H284" s="42"/>
    </row>
    <row r="285" spans="2:8" x14ac:dyDescent="0.25">
      <c r="B285" s="40"/>
      <c r="C285" s="41"/>
      <c r="D285" s="41"/>
      <c r="E285" s="41"/>
      <c r="F285" s="41"/>
      <c r="G285" s="34"/>
      <c r="H285" s="42"/>
    </row>
    <row r="286" spans="2:8" x14ac:dyDescent="0.25">
      <c r="B286" s="40"/>
      <c r="C286" s="41"/>
      <c r="D286" s="41"/>
      <c r="E286" s="41"/>
      <c r="F286" s="41"/>
      <c r="G286" s="34"/>
      <c r="H286" s="42"/>
    </row>
    <row r="287" spans="2:8" x14ac:dyDescent="0.25">
      <c r="B287" s="40"/>
      <c r="C287" s="41"/>
      <c r="D287" s="41"/>
      <c r="E287" s="41"/>
      <c r="F287" s="41"/>
      <c r="G287" s="34"/>
      <c r="H287" s="42"/>
    </row>
    <row r="288" spans="2:8" x14ac:dyDescent="0.25">
      <c r="B288" s="40"/>
      <c r="C288" s="41"/>
      <c r="D288" s="41"/>
      <c r="E288" s="41"/>
      <c r="F288" s="41"/>
      <c r="G288" s="34"/>
      <c r="H288" s="42"/>
    </row>
    <row r="289" spans="2:8" x14ac:dyDescent="0.25">
      <c r="B289" s="40"/>
      <c r="C289" s="41"/>
      <c r="D289" s="41"/>
      <c r="E289" s="41"/>
      <c r="F289" s="41"/>
      <c r="G289" s="34"/>
      <c r="H289" s="42"/>
    </row>
    <row r="290" spans="2:8" x14ac:dyDescent="0.25">
      <c r="B290" s="40"/>
      <c r="C290" s="41"/>
      <c r="D290" s="41"/>
      <c r="E290" s="41"/>
      <c r="F290" s="41"/>
      <c r="G290" s="34"/>
      <c r="H290" s="42"/>
    </row>
    <row r="291" spans="2:8" x14ac:dyDescent="0.25">
      <c r="B291" s="40"/>
      <c r="C291" s="41"/>
      <c r="D291" s="41"/>
      <c r="E291" s="41"/>
      <c r="F291" s="41"/>
      <c r="G291" s="34"/>
      <c r="H291" s="42"/>
    </row>
    <row r="292" spans="2:8" x14ac:dyDescent="0.25">
      <c r="B292" s="40"/>
      <c r="C292" s="41"/>
      <c r="D292" s="41"/>
      <c r="E292" s="41"/>
      <c r="F292" s="41"/>
      <c r="G292" s="34"/>
      <c r="H292" s="42"/>
    </row>
    <row r="293" spans="2:8" x14ac:dyDescent="0.25">
      <c r="B293" s="40"/>
      <c r="C293" s="41"/>
      <c r="D293" s="41"/>
      <c r="E293" s="41"/>
      <c r="F293" s="41"/>
      <c r="G293" s="34"/>
      <c r="H293" s="42"/>
    </row>
    <row r="294" spans="2:8" x14ac:dyDescent="0.25">
      <c r="B294" s="40"/>
      <c r="C294" s="41"/>
      <c r="D294" s="41"/>
      <c r="E294" s="41"/>
      <c r="F294" s="41"/>
      <c r="G294" s="34"/>
      <c r="H294" s="42"/>
    </row>
    <row r="295" spans="2:8" x14ac:dyDescent="0.25">
      <c r="B295" s="40"/>
      <c r="C295" s="41"/>
      <c r="D295" s="41"/>
      <c r="E295" s="41"/>
      <c r="F295" s="41"/>
      <c r="G295" s="34"/>
      <c r="H295" s="42"/>
    </row>
    <row r="296" spans="2:8" x14ac:dyDescent="0.25">
      <c r="B296" s="40"/>
      <c r="C296" s="41"/>
      <c r="D296" s="41"/>
      <c r="E296" s="41"/>
      <c r="F296" s="41"/>
      <c r="G296" s="34"/>
      <c r="H296" s="42"/>
    </row>
    <row r="297" spans="2:8" x14ac:dyDescent="0.25">
      <c r="B297" s="40"/>
      <c r="C297" s="41"/>
      <c r="D297" s="41"/>
      <c r="E297" s="41"/>
      <c r="F297" s="41"/>
      <c r="G297" s="34"/>
      <c r="H297" s="42"/>
    </row>
    <row r="298" spans="2:8" x14ac:dyDescent="0.25">
      <c r="B298" s="40"/>
      <c r="C298" s="41"/>
      <c r="D298" s="41"/>
      <c r="E298" s="41"/>
      <c r="F298" s="41"/>
      <c r="G298" s="34"/>
      <c r="H298" s="42"/>
    </row>
    <row r="299" spans="2:8" x14ac:dyDescent="0.25">
      <c r="B299" s="40"/>
      <c r="C299" s="41"/>
      <c r="D299" s="41"/>
      <c r="E299" s="41"/>
      <c r="F299" s="41"/>
      <c r="G299" s="34"/>
      <c r="H299" s="42"/>
    </row>
    <row r="300" spans="2:8" x14ac:dyDescent="0.25">
      <c r="B300" s="40"/>
      <c r="C300" s="41"/>
      <c r="D300" s="41"/>
      <c r="E300" s="41"/>
      <c r="F300" s="41"/>
      <c r="G300" s="34"/>
      <c r="H300" s="42"/>
    </row>
    <row r="301" spans="2:8" x14ac:dyDescent="0.25">
      <c r="B301" s="40"/>
      <c r="C301" s="41"/>
      <c r="D301" s="41"/>
      <c r="E301" s="41"/>
      <c r="F301" s="41"/>
      <c r="G301" s="34"/>
      <c r="H301" s="42"/>
    </row>
    <row r="302" spans="2:8" x14ac:dyDescent="0.25">
      <c r="B302" s="40"/>
      <c r="C302" s="41"/>
      <c r="D302" s="41"/>
      <c r="E302" s="41"/>
      <c r="F302" s="41"/>
      <c r="G302" s="34"/>
      <c r="H302" s="42"/>
    </row>
    <row r="303" spans="2:8" x14ac:dyDescent="0.25">
      <c r="B303" s="40"/>
      <c r="C303" s="41"/>
      <c r="D303" s="41"/>
      <c r="E303" s="41"/>
      <c r="F303" s="41"/>
      <c r="G303" s="34"/>
      <c r="H303" s="42"/>
    </row>
    <row r="304" spans="2:8" x14ac:dyDescent="0.25">
      <c r="B304" s="40"/>
      <c r="C304" s="41"/>
      <c r="D304" s="41"/>
      <c r="E304" s="41"/>
      <c r="F304" s="41"/>
      <c r="G304" s="34"/>
      <c r="H304" s="42"/>
    </row>
    <row r="305" spans="2:8" x14ac:dyDescent="0.25">
      <c r="B305" s="40"/>
      <c r="C305" s="41"/>
      <c r="D305" s="41"/>
      <c r="E305" s="41"/>
      <c r="F305" s="41"/>
      <c r="G305" s="34"/>
      <c r="H305" s="42"/>
    </row>
    <row r="306" spans="2:8" x14ac:dyDescent="0.25">
      <c r="B306" s="40"/>
      <c r="C306" s="41"/>
      <c r="D306" s="41"/>
      <c r="E306" s="41"/>
      <c r="F306" s="41"/>
      <c r="G306" s="34"/>
      <c r="H306" s="42"/>
    </row>
    <row r="307" spans="2:8" x14ac:dyDescent="0.25">
      <c r="B307" s="40"/>
      <c r="C307" s="41"/>
      <c r="D307" s="41"/>
      <c r="E307" s="41"/>
      <c r="F307" s="41"/>
      <c r="G307" s="34"/>
      <c r="H307" s="42"/>
    </row>
    <row r="308" spans="2:8" x14ac:dyDescent="0.25">
      <c r="B308" s="40"/>
      <c r="C308" s="41"/>
      <c r="D308" s="41"/>
      <c r="E308" s="41"/>
      <c r="F308" s="41"/>
      <c r="G308" s="34"/>
      <c r="H308" s="42"/>
    </row>
    <row r="309" spans="2:8" x14ac:dyDescent="0.25">
      <c r="B309" s="40"/>
      <c r="C309" s="41"/>
      <c r="D309" s="41"/>
      <c r="E309" s="41"/>
      <c r="F309" s="41"/>
      <c r="G309" s="34"/>
      <c r="H309" s="42"/>
    </row>
    <row r="310" spans="2:8" x14ac:dyDescent="0.25">
      <c r="B310" s="40"/>
      <c r="C310" s="41"/>
      <c r="D310" s="41"/>
      <c r="E310" s="41"/>
      <c r="F310" s="41"/>
      <c r="G310" s="34"/>
      <c r="H310" s="42"/>
    </row>
    <row r="311" spans="2:8" x14ac:dyDescent="0.25">
      <c r="B311" s="40"/>
      <c r="C311" s="41"/>
      <c r="D311" s="41"/>
      <c r="E311" s="41"/>
      <c r="F311" s="41"/>
      <c r="G311" s="34"/>
      <c r="H311" s="42"/>
    </row>
    <row r="312" spans="2:8" x14ac:dyDescent="0.25">
      <c r="B312" s="40"/>
      <c r="C312" s="41"/>
      <c r="D312" s="41"/>
      <c r="E312" s="41"/>
      <c r="F312" s="41"/>
      <c r="G312" s="34"/>
      <c r="H312" s="42"/>
    </row>
    <row r="313" spans="2:8" x14ac:dyDescent="0.25">
      <c r="B313" s="40"/>
      <c r="C313" s="41"/>
      <c r="D313" s="41"/>
      <c r="E313" s="41"/>
      <c r="F313" s="41"/>
      <c r="G313" s="34"/>
      <c r="H313" s="42"/>
    </row>
    <row r="314" spans="2:8" x14ac:dyDescent="0.25">
      <c r="B314" s="40"/>
      <c r="C314" s="41"/>
      <c r="D314" s="41"/>
      <c r="E314" s="41"/>
      <c r="F314" s="41"/>
      <c r="G314" s="34"/>
      <c r="H314" s="42"/>
    </row>
    <row r="315" spans="2:8" x14ac:dyDescent="0.25">
      <c r="B315" s="40"/>
      <c r="C315" s="41"/>
      <c r="D315" s="41"/>
      <c r="E315" s="41"/>
      <c r="F315" s="41"/>
      <c r="G315" s="34"/>
      <c r="H315" s="42"/>
    </row>
    <row r="316" spans="2:8" x14ac:dyDescent="0.25">
      <c r="B316" s="40"/>
      <c r="C316" s="41"/>
      <c r="D316" s="41"/>
      <c r="E316" s="41"/>
      <c r="F316" s="41"/>
      <c r="G316" s="34"/>
      <c r="H316" s="42"/>
    </row>
    <row r="317" spans="2:8" x14ac:dyDescent="0.25">
      <c r="B317" s="40"/>
      <c r="C317" s="41"/>
      <c r="D317" s="41"/>
      <c r="E317" s="41"/>
      <c r="F317" s="41"/>
      <c r="G317" s="34"/>
      <c r="H317" s="42"/>
    </row>
    <row r="318" spans="2:8" x14ac:dyDescent="0.25">
      <c r="B318" s="40"/>
      <c r="C318" s="41"/>
      <c r="D318" s="41"/>
      <c r="E318" s="41"/>
      <c r="F318" s="41"/>
      <c r="G318" s="34"/>
      <c r="H318" s="42"/>
    </row>
    <row r="319" spans="2:8" x14ac:dyDescent="0.25">
      <c r="B319" s="40"/>
      <c r="C319" s="41"/>
      <c r="D319" s="41"/>
      <c r="E319" s="41"/>
      <c r="F319" s="41"/>
      <c r="G319" s="34"/>
      <c r="H319" s="42"/>
    </row>
    <row r="320" spans="2:8" x14ac:dyDescent="0.25">
      <c r="B320" s="40"/>
      <c r="C320" s="41"/>
      <c r="D320" s="41"/>
      <c r="E320" s="41"/>
      <c r="F320" s="41"/>
      <c r="G320" s="34"/>
      <c r="H320" s="42"/>
    </row>
    <row r="321" spans="2:8" x14ac:dyDescent="0.25">
      <c r="B321" s="40"/>
      <c r="C321" s="41"/>
      <c r="D321" s="41"/>
      <c r="E321" s="41"/>
      <c r="F321" s="41"/>
      <c r="G321" s="34"/>
      <c r="H321" s="42"/>
    </row>
    <row r="322" spans="2:8" x14ac:dyDescent="0.25">
      <c r="B322" s="40"/>
      <c r="C322" s="41"/>
      <c r="D322" s="41"/>
      <c r="E322" s="41"/>
      <c r="F322" s="41"/>
      <c r="G322" s="34"/>
      <c r="H322" s="42"/>
    </row>
    <row r="323" spans="2:8" x14ac:dyDescent="0.25">
      <c r="B323" s="40"/>
      <c r="C323" s="41"/>
      <c r="D323" s="41"/>
      <c r="E323" s="41"/>
      <c r="F323" s="41"/>
      <c r="G323" s="34"/>
      <c r="H323" s="42"/>
    </row>
    <row r="324" spans="2:8" x14ac:dyDescent="0.25">
      <c r="B324" s="40"/>
      <c r="C324" s="41"/>
      <c r="D324" s="41"/>
      <c r="E324" s="41"/>
      <c r="F324" s="41"/>
      <c r="G324" s="34"/>
      <c r="H324" s="42"/>
    </row>
    <row r="325" spans="2:8" x14ac:dyDescent="0.25">
      <c r="B325" s="40"/>
      <c r="C325" s="41"/>
      <c r="D325" s="41"/>
      <c r="E325" s="41"/>
      <c r="F325" s="41"/>
      <c r="G325" s="34"/>
      <c r="H325" s="42"/>
    </row>
    <row r="326" spans="2:8" x14ac:dyDescent="0.25">
      <c r="B326" s="40"/>
      <c r="C326" s="41"/>
      <c r="D326" s="41"/>
      <c r="E326" s="41"/>
      <c r="F326" s="41"/>
      <c r="G326" s="34"/>
      <c r="H326" s="42"/>
    </row>
    <row r="327" spans="2:8" x14ac:dyDescent="0.25">
      <c r="B327" s="40"/>
      <c r="C327" s="41"/>
      <c r="D327" s="41"/>
      <c r="E327" s="41"/>
      <c r="F327" s="41"/>
      <c r="G327" s="34"/>
      <c r="H327" s="42"/>
    </row>
    <row r="328" spans="2:8" x14ac:dyDescent="0.25">
      <c r="B328" s="40"/>
      <c r="C328" s="41"/>
      <c r="D328" s="41"/>
      <c r="E328" s="41"/>
      <c r="F328" s="41"/>
      <c r="G328" s="34"/>
      <c r="H328" s="42"/>
    </row>
    <row r="329" spans="2:8" x14ac:dyDescent="0.25">
      <c r="B329" s="40"/>
      <c r="C329" s="41"/>
      <c r="D329" s="41"/>
      <c r="E329" s="41"/>
      <c r="F329" s="41"/>
      <c r="G329" s="34"/>
      <c r="H329" s="42"/>
    </row>
    <row r="330" spans="2:8" x14ac:dyDescent="0.25">
      <c r="B330" s="40"/>
      <c r="C330" s="41"/>
      <c r="D330" s="41"/>
      <c r="E330" s="41"/>
      <c r="F330" s="41"/>
      <c r="G330" s="34"/>
      <c r="H330" s="42"/>
    </row>
    <row r="331" spans="2:8" x14ac:dyDescent="0.25">
      <c r="B331" s="40"/>
      <c r="C331" s="41"/>
      <c r="D331" s="41"/>
      <c r="E331" s="41"/>
      <c r="F331" s="41"/>
      <c r="G331" s="34"/>
      <c r="H331" s="42"/>
    </row>
    <row r="332" spans="2:8" x14ac:dyDescent="0.25">
      <c r="B332" s="40"/>
      <c r="C332" s="41"/>
      <c r="D332" s="41"/>
      <c r="E332" s="41"/>
      <c r="F332" s="41"/>
      <c r="G332" s="34"/>
      <c r="H332" s="42"/>
    </row>
    <row r="333" spans="2:8" x14ac:dyDescent="0.25">
      <c r="B333" s="40"/>
      <c r="C333" s="41"/>
      <c r="D333" s="41"/>
      <c r="E333" s="41"/>
      <c r="F333" s="41"/>
      <c r="G333" s="34"/>
      <c r="H333" s="42"/>
    </row>
    <row r="334" spans="2:8" x14ac:dyDescent="0.25">
      <c r="B334" s="40"/>
      <c r="C334" s="41"/>
      <c r="D334" s="41"/>
      <c r="E334" s="41"/>
      <c r="F334" s="41"/>
      <c r="G334" s="34"/>
      <c r="H334" s="42"/>
    </row>
    <row r="335" spans="2:8" x14ac:dyDescent="0.25">
      <c r="B335" s="40"/>
      <c r="C335" s="41"/>
      <c r="D335" s="41"/>
      <c r="E335" s="41"/>
      <c r="F335" s="41"/>
      <c r="G335" s="34"/>
      <c r="H335" s="42"/>
    </row>
    <row r="336" spans="2:8" x14ac:dyDescent="0.25">
      <c r="B336" s="40"/>
      <c r="C336" s="41"/>
      <c r="D336" s="41"/>
      <c r="E336" s="41"/>
      <c r="F336" s="41"/>
      <c r="G336" s="34"/>
      <c r="H336" s="42"/>
    </row>
    <row r="337" spans="2:8" x14ac:dyDescent="0.25">
      <c r="B337" s="40"/>
      <c r="C337" s="41"/>
      <c r="D337" s="41"/>
      <c r="E337" s="41"/>
      <c r="F337" s="41"/>
      <c r="G337" s="34"/>
      <c r="H337" s="42"/>
    </row>
    <row r="338" spans="2:8" x14ac:dyDescent="0.25">
      <c r="B338" s="40"/>
      <c r="C338" s="41"/>
      <c r="D338" s="41"/>
      <c r="E338" s="41"/>
      <c r="F338" s="41"/>
      <c r="G338" s="34"/>
      <c r="H338" s="42"/>
    </row>
    <row r="339" spans="2:8" x14ac:dyDescent="0.25">
      <c r="B339" s="40"/>
      <c r="C339" s="41"/>
      <c r="D339" s="41"/>
      <c r="E339" s="41"/>
      <c r="F339" s="41"/>
      <c r="G339" s="34"/>
      <c r="H339" s="42"/>
    </row>
    <row r="340" spans="2:8" x14ac:dyDescent="0.25">
      <c r="B340" s="40"/>
      <c r="C340" s="41"/>
      <c r="D340" s="41"/>
      <c r="E340" s="41"/>
      <c r="F340" s="41"/>
      <c r="G340" s="34"/>
      <c r="H340" s="42"/>
    </row>
    <row r="341" spans="2:8" x14ac:dyDescent="0.25">
      <c r="B341" s="40"/>
      <c r="C341" s="41"/>
      <c r="D341" s="41"/>
      <c r="E341" s="41"/>
      <c r="F341" s="41"/>
      <c r="G341" s="34"/>
      <c r="H341" s="42"/>
    </row>
    <row r="342" spans="2:8" x14ac:dyDescent="0.25">
      <c r="B342" s="40"/>
      <c r="C342" s="41"/>
      <c r="D342" s="41"/>
      <c r="E342" s="41"/>
      <c r="F342" s="41"/>
      <c r="G342" s="34"/>
      <c r="H342" s="42"/>
    </row>
    <row r="343" spans="2:8" x14ac:dyDescent="0.25">
      <c r="B343" s="40"/>
      <c r="C343" s="41"/>
      <c r="D343" s="41"/>
      <c r="E343" s="41"/>
      <c r="F343" s="41"/>
      <c r="G343" s="34"/>
      <c r="H343" s="42"/>
    </row>
    <row r="344" spans="2:8" x14ac:dyDescent="0.25">
      <c r="B344" s="40"/>
      <c r="C344" s="41"/>
      <c r="D344" s="41"/>
      <c r="E344" s="41"/>
      <c r="F344" s="41"/>
      <c r="G344" s="34"/>
      <c r="H344" s="42"/>
    </row>
    <row r="345" spans="2:8" x14ac:dyDescent="0.25">
      <c r="B345" s="40"/>
      <c r="C345" s="41"/>
      <c r="D345" s="41"/>
      <c r="E345" s="41"/>
      <c r="F345" s="41"/>
      <c r="G345" s="34"/>
      <c r="H345" s="42"/>
    </row>
    <row r="346" spans="2:8" x14ac:dyDescent="0.25">
      <c r="B346" s="40"/>
      <c r="C346" s="41"/>
      <c r="D346" s="41"/>
      <c r="E346" s="41"/>
      <c r="F346" s="41"/>
      <c r="G346" s="34"/>
      <c r="H346" s="42"/>
    </row>
    <row r="347" spans="2:8" x14ac:dyDescent="0.25">
      <c r="B347" s="40"/>
      <c r="C347" s="41"/>
      <c r="D347" s="41"/>
      <c r="E347" s="41"/>
      <c r="F347" s="41"/>
      <c r="G347" s="34"/>
      <c r="H347" s="42"/>
    </row>
    <row r="348" spans="2:8" x14ac:dyDescent="0.25">
      <c r="B348" s="40"/>
      <c r="C348" s="41"/>
      <c r="D348" s="41"/>
      <c r="E348" s="41"/>
      <c r="F348" s="41"/>
      <c r="G348" s="34"/>
      <c r="H348" s="42"/>
    </row>
    <row r="349" spans="2:8" x14ac:dyDescent="0.25">
      <c r="B349" s="40"/>
      <c r="C349" s="41"/>
      <c r="D349" s="41"/>
      <c r="E349" s="41"/>
      <c r="F349" s="41"/>
      <c r="G349" s="34"/>
      <c r="H349" s="42"/>
    </row>
    <row r="350" spans="2:8" x14ac:dyDescent="0.25">
      <c r="B350" s="40"/>
      <c r="C350" s="41"/>
      <c r="D350" s="41"/>
      <c r="E350" s="41"/>
      <c r="F350" s="41"/>
      <c r="G350" s="34"/>
      <c r="H350" s="42"/>
    </row>
    <row r="351" spans="2:8" x14ac:dyDescent="0.25">
      <c r="B351" s="40"/>
      <c r="C351" s="41"/>
      <c r="D351" s="41"/>
      <c r="E351" s="41"/>
      <c r="F351" s="41"/>
      <c r="G351" s="34"/>
      <c r="H351" s="42"/>
    </row>
    <row r="352" spans="2:8" x14ac:dyDescent="0.25">
      <c r="B352" s="40"/>
      <c r="C352" s="41"/>
      <c r="D352" s="41"/>
      <c r="E352" s="41"/>
      <c r="F352" s="41"/>
      <c r="G352" s="34"/>
      <c r="H352" s="42"/>
    </row>
    <row r="353" spans="2:8" x14ac:dyDescent="0.25">
      <c r="B353" s="40"/>
      <c r="C353" s="41"/>
      <c r="D353" s="41"/>
      <c r="E353" s="41"/>
      <c r="F353" s="41"/>
      <c r="G353" s="34"/>
      <c r="H353" s="42"/>
    </row>
    <row r="354" spans="2:8" x14ac:dyDescent="0.25">
      <c r="B354" s="40"/>
      <c r="C354" s="41"/>
      <c r="D354" s="41"/>
      <c r="E354" s="41"/>
      <c r="F354" s="41"/>
      <c r="G354" s="34"/>
      <c r="H354" s="42"/>
    </row>
    <row r="355" spans="2:8" x14ac:dyDescent="0.25">
      <c r="B355" s="40"/>
      <c r="C355" s="41"/>
      <c r="D355" s="41"/>
      <c r="E355" s="41"/>
      <c r="F355" s="41"/>
      <c r="G355" s="34"/>
      <c r="H355" s="42"/>
    </row>
    <row r="356" spans="2:8" x14ac:dyDescent="0.25">
      <c r="B356" s="40"/>
      <c r="C356" s="41"/>
      <c r="D356" s="41"/>
      <c r="E356" s="41"/>
      <c r="F356" s="41"/>
      <c r="G356" s="34"/>
      <c r="H356" s="42"/>
    </row>
    <row r="357" spans="2:8" x14ac:dyDescent="0.25">
      <c r="B357" s="40"/>
      <c r="C357" s="41"/>
      <c r="D357" s="41"/>
      <c r="E357" s="41"/>
      <c r="F357" s="41"/>
      <c r="G357" s="34"/>
      <c r="H357" s="42"/>
    </row>
    <row r="358" spans="2:8" x14ac:dyDescent="0.25">
      <c r="B358" s="40"/>
      <c r="C358" s="41"/>
      <c r="D358" s="41"/>
      <c r="E358" s="41"/>
      <c r="F358" s="41"/>
      <c r="G358" s="34"/>
      <c r="H358" s="42"/>
    </row>
    <row r="359" spans="2:8" x14ac:dyDescent="0.25">
      <c r="B359" s="40"/>
      <c r="C359" s="41"/>
      <c r="D359" s="41"/>
      <c r="E359" s="41"/>
      <c r="F359" s="41"/>
      <c r="G359" s="34"/>
      <c r="H359" s="42"/>
    </row>
    <row r="360" spans="2:8" x14ac:dyDescent="0.25">
      <c r="B360" s="40"/>
      <c r="C360" s="41"/>
      <c r="D360" s="41"/>
      <c r="E360" s="41"/>
      <c r="F360" s="41"/>
      <c r="G360" s="34"/>
      <c r="H360" s="42"/>
    </row>
    <row r="361" spans="2:8" x14ac:dyDescent="0.25">
      <c r="B361" s="40"/>
      <c r="C361" s="41"/>
      <c r="D361" s="41"/>
      <c r="E361" s="41"/>
      <c r="F361" s="41"/>
      <c r="G361" s="34"/>
      <c r="H361" s="42"/>
    </row>
    <row r="362" spans="2:8" x14ac:dyDescent="0.25">
      <c r="B362" s="40"/>
      <c r="C362" s="41"/>
      <c r="D362" s="41"/>
      <c r="E362" s="41"/>
      <c r="F362" s="41"/>
      <c r="G362" s="34"/>
      <c r="H362" s="42"/>
    </row>
    <row r="363" spans="2:8" x14ac:dyDescent="0.25">
      <c r="B363" s="40"/>
      <c r="C363" s="41"/>
      <c r="D363" s="41"/>
      <c r="E363" s="41"/>
      <c r="F363" s="41"/>
      <c r="G363" s="34"/>
      <c r="H363" s="42"/>
    </row>
    <row r="364" spans="2:8" x14ac:dyDescent="0.25">
      <c r="B364" s="40"/>
      <c r="C364" s="41"/>
      <c r="D364" s="41"/>
      <c r="E364" s="41"/>
      <c r="F364" s="41"/>
      <c r="G364" s="34"/>
      <c r="H364" s="42"/>
    </row>
    <row r="365" spans="2:8" x14ac:dyDescent="0.25">
      <c r="B365" s="40"/>
      <c r="C365" s="41"/>
      <c r="D365" s="41"/>
      <c r="E365" s="41"/>
      <c r="F365" s="41"/>
      <c r="G365" s="34"/>
      <c r="H365" s="42"/>
    </row>
    <row r="366" spans="2:8" x14ac:dyDescent="0.25">
      <c r="B366" s="40"/>
      <c r="C366" s="41"/>
      <c r="D366" s="41"/>
      <c r="E366" s="41"/>
      <c r="F366" s="41"/>
      <c r="G366" s="34"/>
      <c r="H366" s="42"/>
    </row>
    <row r="367" spans="2:8" x14ac:dyDescent="0.25">
      <c r="B367" s="40"/>
      <c r="C367" s="41"/>
      <c r="D367" s="41"/>
      <c r="E367" s="41"/>
      <c r="F367" s="41"/>
      <c r="G367" s="34"/>
      <c r="H367" s="42"/>
    </row>
    <row r="368" spans="2:8" x14ac:dyDescent="0.25">
      <c r="B368" s="40"/>
      <c r="C368" s="41"/>
      <c r="D368" s="41"/>
      <c r="E368" s="41"/>
      <c r="F368" s="41"/>
      <c r="G368" s="34"/>
      <c r="H368" s="42"/>
    </row>
    <row r="369" spans="2:8" x14ac:dyDescent="0.25">
      <c r="B369" s="40"/>
      <c r="C369" s="41"/>
      <c r="D369" s="41"/>
      <c r="E369" s="41"/>
      <c r="F369" s="41"/>
      <c r="G369" s="34"/>
      <c r="H369" s="42"/>
    </row>
    <row r="370" spans="2:8" x14ac:dyDescent="0.25">
      <c r="B370" s="40"/>
      <c r="C370" s="41"/>
      <c r="D370" s="41"/>
      <c r="E370" s="41"/>
      <c r="F370" s="41"/>
      <c r="G370" s="34"/>
      <c r="H370" s="42"/>
    </row>
    <row r="371" spans="2:8" x14ac:dyDescent="0.25">
      <c r="B371" s="40"/>
      <c r="C371" s="41"/>
      <c r="D371" s="41"/>
      <c r="E371" s="41"/>
      <c r="F371" s="41"/>
      <c r="G371" s="34"/>
      <c r="H371" s="42"/>
    </row>
    <row r="372" spans="2:8" x14ac:dyDescent="0.25">
      <c r="B372" s="40"/>
      <c r="C372" s="41"/>
      <c r="D372" s="41"/>
      <c r="E372" s="41"/>
      <c r="F372" s="41"/>
      <c r="G372" s="34"/>
      <c r="H372" s="42"/>
    </row>
    <row r="373" spans="2:8" x14ac:dyDescent="0.25">
      <c r="B373" s="40"/>
      <c r="C373" s="41"/>
      <c r="D373" s="41"/>
      <c r="E373" s="41"/>
      <c r="F373" s="41"/>
      <c r="G373" s="34"/>
      <c r="H373" s="42"/>
    </row>
    <row r="374" spans="2:8" x14ac:dyDescent="0.25">
      <c r="B374" s="40"/>
      <c r="C374" s="41"/>
      <c r="D374" s="41"/>
      <c r="E374" s="41"/>
      <c r="F374" s="41"/>
      <c r="G374" s="34"/>
      <c r="H374" s="42"/>
    </row>
    <row r="375" spans="2:8" x14ac:dyDescent="0.25">
      <c r="B375" s="40"/>
      <c r="C375" s="41"/>
      <c r="D375" s="41"/>
      <c r="E375" s="41"/>
      <c r="F375" s="41"/>
      <c r="G375" s="34"/>
      <c r="H375" s="42"/>
    </row>
    <row r="376" spans="2:8" x14ac:dyDescent="0.25">
      <c r="B376" s="40"/>
      <c r="C376" s="41"/>
      <c r="D376" s="41"/>
      <c r="E376" s="41"/>
      <c r="F376" s="41"/>
      <c r="G376" s="34"/>
      <c r="H376" s="42"/>
    </row>
    <row r="377" spans="2:8" x14ac:dyDescent="0.25">
      <c r="B377" s="40"/>
      <c r="C377" s="41"/>
      <c r="D377" s="41"/>
      <c r="E377" s="41"/>
      <c r="F377" s="41"/>
      <c r="G377" s="34"/>
      <c r="H377" s="42"/>
    </row>
    <row r="378" spans="2:8" x14ac:dyDescent="0.25">
      <c r="B378" s="40"/>
      <c r="C378" s="41"/>
      <c r="D378" s="41"/>
      <c r="E378" s="41"/>
      <c r="F378" s="41"/>
      <c r="G378" s="34"/>
      <c r="H378" s="42"/>
    </row>
    <row r="379" spans="2:8" x14ac:dyDescent="0.25">
      <c r="B379" s="40"/>
      <c r="C379" s="41"/>
      <c r="D379" s="41"/>
      <c r="E379" s="41"/>
      <c r="F379" s="41"/>
      <c r="G379" s="34"/>
      <c r="H379" s="42"/>
    </row>
    <row r="380" spans="2:8" x14ac:dyDescent="0.25">
      <c r="B380" s="40"/>
      <c r="C380" s="41"/>
      <c r="D380" s="41"/>
      <c r="E380" s="41"/>
      <c r="F380" s="41"/>
      <c r="G380" s="34"/>
      <c r="H380" s="42"/>
    </row>
    <row r="381" spans="2:8" x14ac:dyDescent="0.25">
      <c r="B381" s="40"/>
      <c r="C381" s="41"/>
      <c r="D381" s="41"/>
      <c r="E381" s="41"/>
      <c r="F381" s="41"/>
      <c r="G381" s="34"/>
      <c r="H381" s="42"/>
    </row>
    <row r="382" spans="2:8" x14ac:dyDescent="0.25">
      <c r="B382" s="40"/>
      <c r="C382" s="41"/>
      <c r="D382" s="41"/>
      <c r="E382" s="41"/>
      <c r="F382" s="41"/>
      <c r="G382" s="34"/>
      <c r="H382" s="42"/>
    </row>
    <row r="383" spans="2:8" x14ac:dyDescent="0.25">
      <c r="B383" s="40"/>
      <c r="C383" s="41"/>
      <c r="D383" s="41"/>
      <c r="E383" s="41"/>
      <c r="F383" s="41"/>
      <c r="G383" s="34"/>
      <c r="H383" s="42"/>
    </row>
    <row r="384" spans="2:8" x14ac:dyDescent="0.25">
      <c r="B384" s="40"/>
      <c r="C384" s="41"/>
      <c r="D384" s="41"/>
      <c r="E384" s="41"/>
      <c r="F384" s="41"/>
      <c r="G384" s="34"/>
      <c r="H384" s="42"/>
    </row>
    <row r="385" spans="2:8" x14ac:dyDescent="0.25">
      <c r="B385" s="40"/>
      <c r="C385" s="41"/>
      <c r="D385" s="41"/>
      <c r="E385" s="41"/>
      <c r="F385" s="41"/>
      <c r="G385" s="34"/>
      <c r="H385" s="42"/>
    </row>
    <row r="386" spans="2:8" x14ac:dyDescent="0.25">
      <c r="B386" s="40"/>
      <c r="C386" s="41"/>
      <c r="D386" s="41"/>
      <c r="E386" s="41"/>
      <c r="F386" s="41"/>
      <c r="G386" s="34"/>
      <c r="H386" s="42"/>
    </row>
    <row r="387" spans="2:8" x14ac:dyDescent="0.25">
      <c r="B387" s="40"/>
      <c r="C387" s="41"/>
      <c r="D387" s="41"/>
      <c r="E387" s="41"/>
      <c r="F387" s="41"/>
      <c r="G387" s="34"/>
      <c r="H387" s="42"/>
    </row>
    <row r="388" spans="2:8" x14ac:dyDescent="0.25">
      <c r="B388" s="40"/>
      <c r="C388" s="41"/>
      <c r="D388" s="41"/>
      <c r="E388" s="41"/>
      <c r="F388" s="41"/>
      <c r="G388" s="34"/>
      <c r="H388" s="42"/>
    </row>
    <row r="389" spans="2:8" x14ac:dyDescent="0.25">
      <c r="B389" s="40"/>
      <c r="C389" s="41"/>
      <c r="D389" s="41"/>
      <c r="E389" s="41"/>
      <c r="F389" s="41"/>
      <c r="G389" s="34"/>
      <c r="H389" s="42"/>
    </row>
    <row r="390" spans="2:8" x14ac:dyDescent="0.25">
      <c r="B390" s="40"/>
      <c r="C390" s="41"/>
      <c r="D390" s="41"/>
      <c r="E390" s="41"/>
      <c r="F390" s="41"/>
      <c r="G390" s="34"/>
      <c r="H390" s="42"/>
    </row>
    <row r="391" spans="2:8" x14ac:dyDescent="0.25">
      <c r="B391" s="40"/>
      <c r="C391" s="41"/>
      <c r="D391" s="41"/>
      <c r="E391" s="41"/>
      <c r="F391" s="41"/>
      <c r="G391" s="34"/>
      <c r="H391" s="42"/>
    </row>
    <row r="392" spans="2:8" x14ac:dyDescent="0.25">
      <c r="B392" s="40"/>
      <c r="C392" s="41"/>
      <c r="D392" s="41"/>
      <c r="E392" s="41"/>
      <c r="F392" s="41"/>
      <c r="G392" s="34"/>
      <c r="H392" s="42"/>
    </row>
    <row r="393" spans="2:8" x14ac:dyDescent="0.25">
      <c r="B393" s="40"/>
      <c r="C393" s="41"/>
      <c r="D393" s="41"/>
      <c r="E393" s="41"/>
      <c r="F393" s="41"/>
      <c r="G393" s="34"/>
      <c r="H393" s="42"/>
    </row>
    <row r="394" spans="2:8" x14ac:dyDescent="0.25">
      <c r="B394" s="40"/>
      <c r="C394" s="41"/>
      <c r="D394" s="41"/>
      <c r="E394" s="41"/>
      <c r="F394" s="41"/>
      <c r="G394" s="34"/>
      <c r="H394" s="42"/>
    </row>
    <row r="395" spans="2:8" x14ac:dyDescent="0.25">
      <c r="B395" s="40"/>
      <c r="C395" s="41"/>
      <c r="D395" s="41"/>
      <c r="E395" s="41"/>
      <c r="F395" s="41"/>
      <c r="G395" s="34"/>
      <c r="H395" s="42"/>
    </row>
    <row r="396" spans="2:8" x14ac:dyDescent="0.25">
      <c r="B396" s="40"/>
      <c r="C396" s="41"/>
      <c r="D396" s="41"/>
      <c r="E396" s="41"/>
      <c r="F396" s="41"/>
      <c r="G396" s="34"/>
      <c r="H396" s="42"/>
    </row>
    <row r="397" spans="2:8" x14ac:dyDescent="0.25">
      <c r="B397" s="40"/>
      <c r="C397" s="41"/>
      <c r="D397" s="41"/>
      <c r="E397" s="41"/>
      <c r="F397" s="41"/>
      <c r="G397" s="34"/>
      <c r="H397" s="42"/>
    </row>
    <row r="398" spans="2:8" x14ac:dyDescent="0.25">
      <c r="B398" s="40"/>
      <c r="C398" s="41"/>
      <c r="D398" s="41"/>
      <c r="E398" s="41"/>
      <c r="F398" s="41"/>
      <c r="G398" s="34"/>
      <c r="H398" s="42"/>
    </row>
    <row r="399" spans="2:8" x14ac:dyDescent="0.25">
      <c r="B399" s="40"/>
      <c r="C399" s="41"/>
      <c r="D399" s="41"/>
      <c r="E399" s="41"/>
      <c r="F399" s="41"/>
      <c r="G399" s="34"/>
      <c r="H399" s="42"/>
    </row>
    <row r="400" spans="2:8" x14ac:dyDescent="0.25">
      <c r="B400" s="40"/>
      <c r="C400" s="41"/>
      <c r="D400" s="41"/>
      <c r="E400" s="41"/>
      <c r="F400" s="41"/>
      <c r="G400" s="34"/>
      <c r="H400" s="42"/>
    </row>
    <row r="401" spans="2:8" x14ac:dyDescent="0.25">
      <c r="B401" s="40"/>
      <c r="C401" s="41"/>
      <c r="D401" s="41"/>
      <c r="E401" s="41"/>
      <c r="F401" s="41"/>
      <c r="G401" s="34"/>
      <c r="H401" s="42"/>
    </row>
    <row r="402" spans="2:8" x14ac:dyDescent="0.25">
      <c r="B402" s="40"/>
      <c r="C402" s="41"/>
      <c r="D402" s="41"/>
      <c r="E402" s="41"/>
      <c r="F402" s="41"/>
      <c r="G402" s="34"/>
      <c r="H402" s="42"/>
    </row>
    <row r="403" spans="2:8" x14ac:dyDescent="0.25">
      <c r="B403" s="40"/>
      <c r="C403" s="41"/>
      <c r="D403" s="41"/>
      <c r="E403" s="41"/>
      <c r="F403" s="41"/>
      <c r="G403" s="34"/>
      <c r="H403" s="42"/>
    </row>
    <row r="404" spans="2:8" x14ac:dyDescent="0.25">
      <c r="B404" s="40"/>
      <c r="C404" s="41"/>
      <c r="D404" s="41"/>
      <c r="E404" s="41"/>
      <c r="F404" s="41"/>
      <c r="G404" s="34"/>
      <c r="H404" s="42"/>
    </row>
    <row r="405" spans="2:8" x14ac:dyDescent="0.25">
      <c r="B405" s="40"/>
      <c r="C405" s="41"/>
      <c r="D405" s="41"/>
      <c r="E405" s="41"/>
      <c r="F405" s="41"/>
      <c r="G405" s="34"/>
      <c r="H405" s="42"/>
    </row>
    <row r="406" spans="2:8" x14ac:dyDescent="0.25">
      <c r="B406" s="40"/>
      <c r="C406" s="41"/>
      <c r="D406" s="41"/>
      <c r="E406" s="41"/>
      <c r="F406" s="41"/>
      <c r="G406" s="34"/>
      <c r="H406" s="42"/>
    </row>
    <row r="407" spans="2:8" x14ac:dyDescent="0.25">
      <c r="B407" s="40"/>
      <c r="C407" s="41"/>
      <c r="D407" s="41"/>
      <c r="E407" s="41"/>
      <c r="F407" s="41"/>
      <c r="G407" s="34"/>
      <c r="H407" s="42"/>
    </row>
    <row r="408" spans="2:8" x14ac:dyDescent="0.25">
      <c r="B408" s="40"/>
      <c r="C408" s="41"/>
      <c r="D408" s="41"/>
      <c r="E408" s="41"/>
      <c r="F408" s="41"/>
      <c r="G408" s="34"/>
      <c r="H408" s="42"/>
    </row>
    <row r="409" spans="2:8" x14ac:dyDescent="0.25">
      <c r="B409" s="40"/>
      <c r="C409" s="41"/>
      <c r="D409" s="41"/>
      <c r="E409" s="41"/>
      <c r="F409" s="41"/>
      <c r="G409" s="34"/>
      <c r="H409" s="42"/>
    </row>
    <row r="410" spans="2:8" x14ac:dyDescent="0.25">
      <c r="B410" s="40"/>
      <c r="C410" s="41"/>
      <c r="D410" s="41"/>
      <c r="E410" s="41"/>
      <c r="F410" s="41"/>
      <c r="G410" s="34"/>
      <c r="H410" s="42"/>
    </row>
    <row r="411" spans="2:8" x14ac:dyDescent="0.25">
      <c r="B411" s="40"/>
      <c r="C411" s="41"/>
      <c r="D411" s="41"/>
      <c r="E411" s="41"/>
      <c r="F411" s="41"/>
      <c r="G411" s="34"/>
      <c r="H411" s="42"/>
    </row>
    <row r="412" spans="2:8" x14ac:dyDescent="0.25">
      <c r="B412" s="40"/>
      <c r="C412" s="41"/>
      <c r="D412" s="41"/>
      <c r="E412" s="41"/>
      <c r="F412" s="41"/>
      <c r="G412" s="34"/>
      <c r="H412" s="42"/>
    </row>
    <row r="413" spans="2:8" x14ac:dyDescent="0.25">
      <c r="B413" s="40"/>
      <c r="C413" s="41"/>
      <c r="D413" s="41"/>
      <c r="E413" s="41"/>
      <c r="F413" s="41"/>
      <c r="G413" s="34"/>
      <c r="H413" s="42"/>
    </row>
    <row r="414" spans="2:8" x14ac:dyDescent="0.25">
      <c r="B414" s="40"/>
      <c r="C414" s="41"/>
      <c r="D414" s="41"/>
      <c r="E414" s="41"/>
      <c r="F414" s="41"/>
      <c r="G414" s="34"/>
      <c r="H414" s="42"/>
    </row>
    <row r="415" spans="2:8" x14ac:dyDescent="0.25">
      <c r="B415" s="40"/>
      <c r="C415" s="41"/>
      <c r="D415" s="41"/>
      <c r="E415" s="41"/>
      <c r="F415" s="41"/>
      <c r="G415" s="34"/>
      <c r="H415" s="42"/>
    </row>
    <row r="416" spans="2:8" x14ac:dyDescent="0.25">
      <c r="B416" s="40"/>
      <c r="C416" s="41"/>
      <c r="D416" s="41"/>
      <c r="E416" s="41"/>
      <c r="F416" s="41"/>
      <c r="G416" s="34"/>
      <c r="H416" s="42"/>
    </row>
    <row r="417" spans="2:8" x14ac:dyDescent="0.25">
      <c r="B417" s="40"/>
      <c r="C417" s="41"/>
      <c r="D417" s="41"/>
      <c r="E417" s="41"/>
      <c r="F417" s="41"/>
      <c r="G417" s="34"/>
      <c r="H417" s="42"/>
    </row>
    <row r="418" spans="2:8" x14ac:dyDescent="0.25">
      <c r="B418" s="40"/>
      <c r="C418" s="41"/>
      <c r="D418" s="41"/>
      <c r="E418" s="41"/>
      <c r="F418" s="41"/>
      <c r="G418" s="34"/>
      <c r="H418" s="42"/>
    </row>
    <row r="419" spans="2:8" x14ac:dyDescent="0.25">
      <c r="B419" s="40"/>
      <c r="C419" s="41"/>
      <c r="D419" s="41"/>
      <c r="E419" s="41"/>
      <c r="F419" s="41"/>
      <c r="G419" s="34"/>
      <c r="H419" s="42"/>
    </row>
    <row r="420" spans="2:8" x14ac:dyDescent="0.25">
      <c r="B420" s="40"/>
      <c r="C420" s="41"/>
      <c r="D420" s="41"/>
      <c r="E420" s="41"/>
      <c r="F420" s="41"/>
      <c r="G420" s="34"/>
      <c r="H420" s="42"/>
    </row>
    <row r="421" spans="2:8" x14ac:dyDescent="0.25">
      <c r="B421" s="40"/>
      <c r="C421" s="41"/>
      <c r="D421" s="41"/>
      <c r="E421" s="41"/>
      <c r="F421" s="41"/>
      <c r="G421" s="34"/>
      <c r="H421" s="42"/>
    </row>
    <row r="422" spans="2:8" x14ac:dyDescent="0.25">
      <c r="B422" s="40"/>
      <c r="C422" s="41"/>
      <c r="D422" s="41"/>
      <c r="E422" s="41"/>
      <c r="F422" s="41"/>
      <c r="G422" s="34"/>
      <c r="H422" s="42"/>
    </row>
    <row r="423" spans="2:8" x14ac:dyDescent="0.25">
      <c r="B423" s="40"/>
      <c r="C423" s="41"/>
      <c r="D423" s="41"/>
      <c r="E423" s="41"/>
      <c r="F423" s="41"/>
      <c r="G423" s="34"/>
      <c r="H423" s="42"/>
    </row>
    <row r="424" spans="2:8" x14ac:dyDescent="0.25">
      <c r="B424" s="40"/>
      <c r="C424" s="41"/>
      <c r="D424" s="41"/>
      <c r="E424" s="41"/>
      <c r="F424" s="41"/>
      <c r="G424" s="34"/>
      <c r="H424" s="42"/>
    </row>
    <row r="425" spans="2:8" x14ac:dyDescent="0.25">
      <c r="B425" s="40"/>
      <c r="C425" s="41"/>
      <c r="D425" s="41"/>
      <c r="E425" s="41"/>
      <c r="F425" s="41"/>
      <c r="G425" s="34"/>
      <c r="H425" s="42"/>
    </row>
    <row r="426" spans="2:8" x14ac:dyDescent="0.25">
      <c r="B426" s="40"/>
      <c r="C426" s="41"/>
      <c r="D426" s="41"/>
      <c r="E426" s="41"/>
      <c r="F426" s="41"/>
      <c r="G426" s="34"/>
      <c r="H426" s="42"/>
    </row>
    <row r="427" spans="2:8" x14ac:dyDescent="0.25">
      <c r="B427" s="40"/>
      <c r="C427" s="41"/>
      <c r="D427" s="41"/>
      <c r="E427" s="41"/>
      <c r="F427" s="41"/>
      <c r="G427" s="34"/>
      <c r="H427" s="42"/>
    </row>
    <row r="428" spans="2:8" x14ac:dyDescent="0.25">
      <c r="B428" s="40"/>
      <c r="C428" s="41"/>
      <c r="D428" s="41"/>
      <c r="E428" s="41"/>
      <c r="F428" s="41"/>
      <c r="G428" s="34"/>
      <c r="H428" s="42"/>
    </row>
    <row r="429" spans="2:8" x14ac:dyDescent="0.25">
      <c r="B429" s="40"/>
      <c r="C429" s="41"/>
      <c r="D429" s="41"/>
      <c r="E429" s="41"/>
      <c r="F429" s="41"/>
      <c r="G429" s="34"/>
      <c r="H429" s="42"/>
    </row>
    <row r="430" spans="2:8" x14ac:dyDescent="0.25">
      <c r="B430" s="40"/>
      <c r="C430" s="41"/>
      <c r="D430" s="41"/>
      <c r="E430" s="41"/>
      <c r="F430" s="41"/>
      <c r="G430" s="34"/>
      <c r="H430" s="42"/>
    </row>
    <row r="431" spans="2:8" x14ac:dyDescent="0.25">
      <c r="B431" s="40"/>
      <c r="C431" s="41"/>
      <c r="D431" s="41"/>
      <c r="E431" s="41"/>
      <c r="F431" s="41"/>
      <c r="G431" s="34"/>
      <c r="H431" s="42"/>
    </row>
    <row r="432" spans="2:8" x14ac:dyDescent="0.25">
      <c r="B432" s="40"/>
      <c r="C432" s="41"/>
      <c r="D432" s="41"/>
      <c r="E432" s="41"/>
      <c r="F432" s="41"/>
      <c r="G432" s="34"/>
      <c r="H432" s="42"/>
    </row>
    <row r="433" spans="2:8" x14ac:dyDescent="0.25">
      <c r="B433" s="40"/>
      <c r="C433" s="41"/>
      <c r="D433" s="41"/>
      <c r="E433" s="41"/>
      <c r="F433" s="41"/>
      <c r="G433" s="34"/>
      <c r="H433" s="42"/>
    </row>
    <row r="434" spans="2:8" x14ac:dyDescent="0.25">
      <c r="B434" s="40"/>
      <c r="C434" s="41"/>
      <c r="D434" s="41"/>
      <c r="E434" s="41"/>
      <c r="F434" s="41"/>
      <c r="G434" s="34"/>
      <c r="H434" s="42"/>
    </row>
    <row r="435" spans="2:8" x14ac:dyDescent="0.25">
      <c r="B435" s="40"/>
      <c r="C435" s="41"/>
      <c r="D435" s="41"/>
      <c r="E435" s="41"/>
      <c r="F435" s="41"/>
      <c r="G435" s="34"/>
      <c r="H435" s="42"/>
    </row>
    <row r="436" spans="2:8" x14ac:dyDescent="0.25">
      <c r="B436" s="40"/>
      <c r="C436" s="41"/>
      <c r="D436" s="41"/>
      <c r="E436" s="41"/>
      <c r="F436" s="41"/>
      <c r="G436" s="34"/>
      <c r="H436" s="42"/>
    </row>
    <row r="437" spans="2:8" x14ac:dyDescent="0.25">
      <c r="B437" s="40"/>
      <c r="C437" s="41"/>
      <c r="D437" s="41"/>
      <c r="E437" s="41"/>
      <c r="F437" s="41"/>
      <c r="G437" s="34"/>
      <c r="H437" s="42"/>
    </row>
    <row r="438" spans="2:8" x14ac:dyDescent="0.25">
      <c r="B438" s="40"/>
      <c r="C438" s="41"/>
      <c r="D438" s="41"/>
      <c r="E438" s="41"/>
      <c r="F438" s="41"/>
      <c r="G438" s="34"/>
      <c r="H438" s="42"/>
    </row>
    <row r="439" spans="2:8" x14ac:dyDescent="0.25">
      <c r="B439" s="40"/>
      <c r="C439" s="41"/>
      <c r="D439" s="41"/>
      <c r="E439" s="41"/>
      <c r="F439" s="41"/>
      <c r="G439" s="34"/>
      <c r="H439" s="42"/>
    </row>
    <row r="440" spans="2:8" x14ac:dyDescent="0.25">
      <c r="B440" s="40"/>
      <c r="C440" s="41"/>
      <c r="D440" s="41"/>
      <c r="E440" s="41"/>
      <c r="F440" s="41"/>
      <c r="G440" s="34"/>
      <c r="H440" s="42"/>
    </row>
    <row r="441" spans="2:8" x14ac:dyDescent="0.25">
      <c r="B441" s="40"/>
      <c r="C441" s="41"/>
      <c r="D441" s="41"/>
      <c r="E441" s="41"/>
      <c r="F441" s="41"/>
      <c r="G441" s="34"/>
      <c r="H441" s="42"/>
    </row>
    <row r="442" spans="2:8" x14ac:dyDescent="0.25">
      <c r="B442" s="40"/>
      <c r="C442" s="41"/>
      <c r="D442" s="41"/>
      <c r="E442" s="41"/>
      <c r="F442" s="41"/>
      <c r="G442" s="34"/>
      <c r="H442" s="42"/>
    </row>
    <row r="443" spans="2:8" x14ac:dyDescent="0.25">
      <c r="B443" s="40"/>
      <c r="C443" s="41"/>
      <c r="D443" s="41"/>
      <c r="E443" s="41"/>
      <c r="F443" s="41"/>
      <c r="G443" s="34"/>
      <c r="H443" s="42"/>
    </row>
    <row r="444" spans="2:8" x14ac:dyDescent="0.25">
      <c r="B444" s="40"/>
      <c r="C444" s="41"/>
      <c r="D444" s="41"/>
      <c r="E444" s="41"/>
      <c r="F444" s="41"/>
      <c r="G444" s="34"/>
      <c r="H444" s="42"/>
    </row>
    <row r="445" spans="2:8" x14ac:dyDescent="0.25">
      <c r="B445" s="40"/>
      <c r="C445" s="41"/>
      <c r="D445" s="41"/>
      <c r="E445" s="41"/>
      <c r="F445" s="41"/>
      <c r="G445" s="34"/>
      <c r="H445" s="42"/>
    </row>
    <row r="446" spans="2:8" x14ac:dyDescent="0.25">
      <c r="B446" s="40"/>
      <c r="C446" s="41"/>
      <c r="D446" s="41"/>
      <c r="E446" s="41"/>
      <c r="F446" s="41"/>
      <c r="G446" s="34"/>
      <c r="H446" s="42"/>
    </row>
    <row r="447" spans="2:8" x14ac:dyDescent="0.25">
      <c r="B447" s="40"/>
      <c r="C447" s="41"/>
      <c r="D447" s="41"/>
      <c r="E447" s="41"/>
      <c r="F447" s="41"/>
      <c r="G447" s="34"/>
      <c r="H447" s="42"/>
    </row>
    <row r="448" spans="2:8" x14ac:dyDescent="0.25">
      <c r="B448" s="40"/>
      <c r="C448" s="41"/>
      <c r="D448" s="41"/>
      <c r="E448" s="41"/>
      <c r="F448" s="41"/>
      <c r="G448" s="34"/>
      <c r="H448" s="42"/>
    </row>
    <row r="449" spans="2:8" x14ac:dyDescent="0.25">
      <c r="B449" s="40"/>
      <c r="C449" s="41"/>
      <c r="D449" s="41"/>
      <c r="E449" s="41"/>
      <c r="F449" s="41"/>
      <c r="G449" s="34"/>
      <c r="H449" s="42"/>
    </row>
    <row r="450" spans="2:8" x14ac:dyDescent="0.25">
      <c r="B450" s="40"/>
      <c r="C450" s="41"/>
      <c r="D450" s="41"/>
      <c r="E450" s="41"/>
      <c r="F450" s="41"/>
      <c r="G450" s="34"/>
      <c r="H450" s="42"/>
    </row>
    <row r="451" spans="2:8" x14ac:dyDescent="0.25">
      <c r="B451" s="40"/>
      <c r="C451" s="41"/>
      <c r="D451" s="41"/>
      <c r="E451" s="41"/>
      <c r="F451" s="41"/>
      <c r="G451" s="34"/>
      <c r="H451" s="42"/>
    </row>
    <row r="452" spans="2:8" x14ac:dyDescent="0.25">
      <c r="B452" s="40"/>
      <c r="C452" s="41"/>
      <c r="D452" s="41"/>
      <c r="E452" s="41"/>
      <c r="F452" s="41"/>
      <c r="G452" s="34"/>
      <c r="H452" s="42"/>
    </row>
    <row r="453" spans="2:8" x14ac:dyDescent="0.25">
      <c r="B453" s="40"/>
      <c r="C453" s="41"/>
      <c r="D453" s="41"/>
      <c r="E453" s="41"/>
      <c r="F453" s="41"/>
      <c r="G453" s="34"/>
      <c r="H453" s="42"/>
    </row>
    <row r="454" spans="2:8" x14ac:dyDescent="0.25">
      <c r="B454" s="40"/>
      <c r="C454" s="41"/>
      <c r="D454" s="41"/>
      <c r="E454" s="41"/>
      <c r="F454" s="41"/>
      <c r="G454" s="34"/>
      <c r="H454" s="42"/>
    </row>
    <row r="455" spans="2:8" x14ac:dyDescent="0.25">
      <c r="B455" s="40"/>
      <c r="C455" s="41"/>
      <c r="D455" s="41"/>
      <c r="E455" s="41"/>
      <c r="F455" s="41"/>
      <c r="G455" s="34"/>
      <c r="H455" s="42"/>
    </row>
    <row r="456" spans="2:8" x14ac:dyDescent="0.25">
      <c r="B456" s="40"/>
      <c r="C456" s="41"/>
      <c r="D456" s="41"/>
      <c r="E456" s="41"/>
      <c r="F456" s="41"/>
      <c r="G456" s="34"/>
      <c r="H456" s="42"/>
    </row>
    <row r="457" spans="2:8" x14ac:dyDescent="0.25">
      <c r="B457" s="40"/>
      <c r="C457" s="41"/>
      <c r="D457" s="41"/>
      <c r="E457" s="41"/>
      <c r="F457" s="41"/>
      <c r="G457" s="34"/>
      <c r="H457" s="42"/>
    </row>
    <row r="458" spans="2:8" x14ac:dyDescent="0.25">
      <c r="B458" s="40"/>
      <c r="C458" s="41"/>
      <c r="D458" s="41"/>
      <c r="E458" s="41"/>
      <c r="F458" s="41"/>
      <c r="G458" s="34"/>
      <c r="H458" s="42"/>
    </row>
    <row r="459" spans="2:8" x14ac:dyDescent="0.25">
      <c r="B459" s="40"/>
      <c r="C459" s="41"/>
      <c r="D459" s="41"/>
      <c r="E459" s="41"/>
      <c r="F459" s="41"/>
      <c r="G459" s="34"/>
      <c r="H459" s="42"/>
    </row>
    <row r="460" spans="2:8" x14ac:dyDescent="0.25">
      <c r="B460" s="40"/>
      <c r="C460" s="41"/>
      <c r="D460" s="41"/>
      <c r="E460" s="41"/>
      <c r="F460" s="41"/>
      <c r="G460" s="34"/>
      <c r="H460" s="42"/>
    </row>
    <row r="461" spans="2:8" x14ac:dyDescent="0.25">
      <c r="B461" s="40"/>
      <c r="C461" s="41"/>
      <c r="D461" s="41"/>
      <c r="E461" s="41"/>
      <c r="F461" s="41"/>
      <c r="G461" s="34"/>
      <c r="H461" s="42"/>
    </row>
    <row r="462" spans="2:8" x14ac:dyDescent="0.25">
      <c r="B462" s="40"/>
      <c r="C462" s="41"/>
      <c r="D462" s="41"/>
      <c r="E462" s="41"/>
      <c r="F462" s="41"/>
      <c r="G462" s="34"/>
      <c r="H462" s="42"/>
    </row>
    <row r="463" spans="2:8" x14ac:dyDescent="0.25">
      <c r="B463" s="40"/>
      <c r="C463" s="41"/>
      <c r="D463" s="41"/>
      <c r="E463" s="41"/>
      <c r="F463" s="41"/>
      <c r="G463" s="34"/>
      <c r="H463" s="42"/>
    </row>
    <row r="464" spans="2:8" x14ac:dyDescent="0.25">
      <c r="B464" s="40"/>
      <c r="C464" s="41"/>
      <c r="D464" s="41"/>
      <c r="E464" s="41"/>
      <c r="F464" s="41"/>
      <c r="G464" s="34"/>
      <c r="H464" s="42"/>
    </row>
    <row r="465" spans="2:8" x14ac:dyDescent="0.25">
      <c r="B465" s="40"/>
      <c r="C465" s="41"/>
      <c r="D465" s="41"/>
      <c r="E465" s="41"/>
      <c r="F465" s="41"/>
      <c r="G465" s="34"/>
      <c r="H465" s="42"/>
    </row>
    <row r="466" spans="2:8" x14ac:dyDescent="0.25">
      <c r="B466" s="40"/>
      <c r="C466" s="41"/>
      <c r="D466" s="41"/>
      <c r="E466" s="41"/>
      <c r="F466" s="41"/>
      <c r="G466" s="34"/>
      <c r="H466" s="42"/>
    </row>
    <row r="467" spans="2:8" x14ac:dyDescent="0.25">
      <c r="B467" s="40"/>
      <c r="C467" s="41"/>
      <c r="D467" s="41"/>
      <c r="E467" s="41"/>
      <c r="F467" s="41"/>
      <c r="G467" s="34"/>
      <c r="H467" s="42"/>
    </row>
    <row r="468" spans="2:8" x14ac:dyDescent="0.25">
      <c r="B468" s="40"/>
      <c r="C468" s="41"/>
      <c r="D468" s="41"/>
      <c r="E468" s="41"/>
      <c r="F468" s="41"/>
      <c r="G468" s="34"/>
      <c r="H468" s="42"/>
    </row>
    <row r="469" spans="2:8" x14ac:dyDescent="0.25">
      <c r="B469" s="40"/>
      <c r="C469" s="41"/>
      <c r="D469" s="41"/>
      <c r="E469" s="41"/>
      <c r="F469" s="41"/>
      <c r="G469" s="34"/>
      <c r="H469" s="42"/>
    </row>
    <row r="470" spans="2:8" x14ac:dyDescent="0.25">
      <c r="B470" s="40"/>
      <c r="C470" s="41"/>
      <c r="D470" s="41"/>
      <c r="E470" s="41"/>
      <c r="F470" s="41"/>
      <c r="G470" s="34"/>
      <c r="H470" s="42"/>
    </row>
    <row r="471" spans="2:8" x14ac:dyDescent="0.25">
      <c r="B471" s="40"/>
      <c r="C471" s="41"/>
      <c r="D471" s="41"/>
      <c r="E471" s="41"/>
      <c r="F471" s="41"/>
      <c r="G471" s="34"/>
      <c r="H471" s="42"/>
    </row>
    <row r="472" spans="2:8" x14ac:dyDescent="0.25">
      <c r="B472" s="40"/>
      <c r="C472" s="41"/>
      <c r="D472" s="41"/>
      <c r="E472" s="41"/>
      <c r="F472" s="41"/>
      <c r="G472" s="34"/>
      <c r="H472" s="42"/>
    </row>
    <row r="473" spans="2:8" x14ac:dyDescent="0.25">
      <c r="B473" s="40"/>
      <c r="C473" s="41"/>
      <c r="D473" s="41"/>
      <c r="E473" s="41"/>
      <c r="F473" s="41"/>
      <c r="G473" s="34"/>
      <c r="H473" s="42"/>
    </row>
    <row r="474" spans="2:8" x14ac:dyDescent="0.25">
      <c r="B474" s="40"/>
      <c r="C474" s="41"/>
      <c r="D474" s="41"/>
      <c r="E474" s="41"/>
      <c r="F474" s="41"/>
      <c r="G474" s="34"/>
      <c r="H474" s="42"/>
    </row>
    <row r="475" spans="2:8" x14ac:dyDescent="0.25">
      <c r="B475" s="40"/>
      <c r="C475" s="41"/>
      <c r="D475" s="41"/>
      <c r="E475" s="41"/>
      <c r="F475" s="41"/>
      <c r="G475" s="34"/>
      <c r="H475" s="42"/>
    </row>
    <row r="476" spans="2:8" x14ac:dyDescent="0.25">
      <c r="B476" s="40"/>
      <c r="C476" s="41"/>
      <c r="D476" s="41"/>
      <c r="E476" s="41"/>
      <c r="F476" s="41"/>
      <c r="G476" s="34"/>
      <c r="H476" s="42"/>
    </row>
    <row r="477" spans="2:8" x14ac:dyDescent="0.25">
      <c r="B477" s="40"/>
      <c r="C477" s="41"/>
      <c r="D477" s="41"/>
      <c r="E477" s="41"/>
      <c r="F477" s="41"/>
      <c r="G477" s="34"/>
      <c r="H477" s="42"/>
    </row>
    <row r="478" spans="2:8" x14ac:dyDescent="0.25">
      <c r="B478" s="40"/>
      <c r="C478" s="41"/>
      <c r="D478" s="41"/>
      <c r="E478" s="41"/>
      <c r="F478" s="41"/>
      <c r="G478" s="34"/>
      <c r="H478" s="42"/>
    </row>
    <row r="479" spans="2:8" x14ac:dyDescent="0.25">
      <c r="B479" s="40"/>
      <c r="C479" s="41"/>
      <c r="D479" s="41"/>
      <c r="E479" s="41"/>
      <c r="F479" s="41"/>
      <c r="G479" s="34"/>
      <c r="H479" s="42"/>
    </row>
    <row r="480" spans="2:8" x14ac:dyDescent="0.25">
      <c r="B480" s="40"/>
      <c r="C480" s="41"/>
      <c r="D480" s="41"/>
      <c r="E480" s="41"/>
      <c r="F480" s="41"/>
      <c r="G480" s="34"/>
      <c r="H480" s="42"/>
    </row>
    <row r="481" spans="2:8" x14ac:dyDescent="0.25">
      <c r="B481" s="40"/>
      <c r="C481" s="41"/>
      <c r="D481" s="41"/>
      <c r="E481" s="41"/>
      <c r="F481" s="41"/>
      <c r="G481" s="34"/>
      <c r="H481" s="42"/>
    </row>
    <row r="482" spans="2:8" x14ac:dyDescent="0.25">
      <c r="B482" s="40"/>
      <c r="C482" s="41"/>
      <c r="D482" s="41"/>
      <c r="E482" s="41"/>
      <c r="F482" s="41"/>
      <c r="G482" s="34"/>
      <c r="H482" s="42"/>
    </row>
    <row r="483" spans="2:8" x14ac:dyDescent="0.25">
      <c r="B483" s="40"/>
      <c r="C483" s="41"/>
      <c r="D483" s="41"/>
      <c r="E483" s="41"/>
      <c r="F483" s="41"/>
      <c r="G483" s="34"/>
      <c r="H483" s="42"/>
    </row>
    <row r="484" spans="2:8" x14ac:dyDescent="0.25">
      <c r="B484" s="40"/>
      <c r="C484" s="41"/>
      <c r="D484" s="41"/>
      <c r="E484" s="41"/>
      <c r="F484" s="41"/>
      <c r="G484" s="34"/>
      <c r="H484" s="42"/>
    </row>
    <row r="485" spans="2:8" x14ac:dyDescent="0.25">
      <c r="B485" s="40"/>
      <c r="C485" s="41"/>
      <c r="D485" s="41"/>
      <c r="E485" s="41"/>
      <c r="F485" s="41"/>
      <c r="G485" s="34"/>
      <c r="H485" s="42"/>
    </row>
    <row r="486" spans="2:8" x14ac:dyDescent="0.25">
      <c r="B486" s="40"/>
      <c r="C486" s="41"/>
      <c r="D486" s="41"/>
      <c r="E486" s="41"/>
      <c r="F486" s="41"/>
      <c r="G486" s="34"/>
      <c r="H486" s="42"/>
    </row>
    <row r="487" spans="2:8" x14ac:dyDescent="0.25">
      <c r="B487" s="40"/>
      <c r="C487" s="41"/>
      <c r="D487" s="41"/>
      <c r="E487" s="41"/>
      <c r="F487" s="41"/>
      <c r="G487" s="34"/>
      <c r="H487" s="42"/>
    </row>
    <row r="488" spans="2:8" x14ac:dyDescent="0.25">
      <c r="B488" s="40"/>
      <c r="C488" s="41"/>
      <c r="D488" s="41"/>
      <c r="E488" s="41"/>
      <c r="F488" s="41"/>
      <c r="G488" s="34"/>
      <c r="H488" s="42"/>
    </row>
    <row r="489" spans="2:8" x14ac:dyDescent="0.25">
      <c r="B489" s="40"/>
      <c r="C489" s="41"/>
      <c r="D489" s="41"/>
      <c r="E489" s="41"/>
      <c r="F489" s="41"/>
      <c r="G489" s="34"/>
      <c r="H489" s="42"/>
    </row>
    <row r="490" spans="2:8" x14ac:dyDescent="0.25">
      <c r="B490" s="40"/>
      <c r="C490" s="41"/>
      <c r="D490" s="41"/>
      <c r="E490" s="41"/>
      <c r="F490" s="41"/>
      <c r="G490" s="34"/>
      <c r="H490" s="42"/>
    </row>
    <row r="491" spans="2:8" x14ac:dyDescent="0.25">
      <c r="B491" s="40"/>
      <c r="C491" s="41"/>
      <c r="D491" s="41"/>
      <c r="E491" s="41"/>
      <c r="F491" s="41"/>
      <c r="G491" s="34"/>
      <c r="H491" s="42"/>
    </row>
    <row r="492" spans="2:8" x14ac:dyDescent="0.25">
      <c r="B492" s="40"/>
      <c r="C492" s="41"/>
      <c r="D492" s="41"/>
      <c r="E492" s="41"/>
      <c r="F492" s="41"/>
      <c r="G492" s="34"/>
      <c r="H492" s="42"/>
    </row>
    <row r="493" spans="2:8" x14ac:dyDescent="0.25">
      <c r="B493" s="40"/>
      <c r="C493" s="41"/>
      <c r="D493" s="41"/>
      <c r="E493" s="41"/>
      <c r="F493" s="41"/>
      <c r="G493" s="34"/>
      <c r="H493" s="42"/>
    </row>
    <row r="494" spans="2:8" x14ac:dyDescent="0.25">
      <c r="B494" s="40"/>
      <c r="C494" s="41"/>
      <c r="D494" s="41"/>
      <c r="E494" s="41"/>
      <c r="F494" s="41"/>
      <c r="G494" s="34"/>
      <c r="H494" s="42"/>
    </row>
    <row r="495" spans="2:8" x14ac:dyDescent="0.25">
      <c r="B495" s="40"/>
      <c r="C495" s="41"/>
      <c r="D495" s="41"/>
      <c r="E495" s="41"/>
      <c r="F495" s="41"/>
      <c r="G495" s="34"/>
      <c r="H495" s="42"/>
    </row>
    <row r="496" spans="2:8" x14ac:dyDescent="0.25">
      <c r="B496" s="40"/>
      <c r="C496" s="41"/>
      <c r="D496" s="41"/>
      <c r="E496" s="41"/>
      <c r="F496" s="41"/>
      <c r="G496" s="34"/>
      <c r="H496" s="42"/>
    </row>
    <row r="497" spans="2:8" x14ac:dyDescent="0.25">
      <c r="B497" s="40"/>
      <c r="C497" s="41"/>
      <c r="D497" s="41"/>
      <c r="E497" s="41"/>
      <c r="F497" s="41"/>
      <c r="G497" s="34"/>
      <c r="H497" s="42"/>
    </row>
    <row r="498" spans="2:8" x14ac:dyDescent="0.25">
      <c r="B498" s="40"/>
      <c r="C498" s="41"/>
      <c r="D498" s="41"/>
      <c r="E498" s="41"/>
      <c r="F498" s="41"/>
      <c r="G498" s="34"/>
      <c r="H498" s="42"/>
    </row>
    <row r="499" spans="2:8" x14ac:dyDescent="0.25">
      <c r="B499" s="40"/>
      <c r="C499" s="41"/>
      <c r="D499" s="41"/>
      <c r="E499" s="41"/>
      <c r="F499" s="41"/>
      <c r="G499" s="34"/>
      <c r="H499" s="42"/>
    </row>
    <row r="500" spans="2:8" x14ac:dyDescent="0.25">
      <c r="B500" s="40"/>
      <c r="C500" s="41"/>
      <c r="D500" s="41"/>
      <c r="E500" s="41"/>
      <c r="F500" s="41"/>
      <c r="G500" s="34"/>
      <c r="H500" s="42"/>
    </row>
    <row r="501" spans="2:8" x14ac:dyDescent="0.25">
      <c r="B501" s="40"/>
      <c r="C501" s="41"/>
      <c r="D501" s="41"/>
      <c r="E501" s="41"/>
      <c r="F501" s="41"/>
      <c r="G501" s="34"/>
      <c r="H501" s="42"/>
    </row>
    <row r="502" spans="2:8" x14ac:dyDescent="0.25">
      <c r="B502" s="40"/>
      <c r="C502" s="41"/>
      <c r="D502" s="41"/>
      <c r="E502" s="41"/>
      <c r="F502" s="41"/>
      <c r="G502" s="34"/>
      <c r="H502" s="42"/>
    </row>
    <row r="503" spans="2:8" x14ac:dyDescent="0.25">
      <c r="B503" s="40"/>
      <c r="C503" s="41"/>
      <c r="D503" s="41"/>
      <c r="E503" s="41"/>
      <c r="F503" s="41"/>
      <c r="G503" s="34"/>
      <c r="H503" s="42"/>
    </row>
    <row r="504" spans="2:8" x14ac:dyDescent="0.25">
      <c r="B504" s="40"/>
      <c r="C504" s="41"/>
      <c r="D504" s="41"/>
      <c r="E504" s="41"/>
      <c r="F504" s="41"/>
      <c r="G504" s="34"/>
      <c r="H504" s="42"/>
    </row>
    <row r="505" spans="2:8" x14ac:dyDescent="0.25">
      <c r="B505" s="40"/>
      <c r="C505" s="41"/>
      <c r="D505" s="41"/>
      <c r="E505" s="41"/>
      <c r="F505" s="41"/>
      <c r="G505" s="34"/>
      <c r="H505" s="42"/>
    </row>
    <row r="506" spans="2:8" x14ac:dyDescent="0.25">
      <c r="B506" s="40"/>
      <c r="C506" s="41"/>
      <c r="D506" s="41"/>
      <c r="E506" s="41"/>
      <c r="F506" s="41"/>
      <c r="G506" s="34"/>
      <c r="H506" s="42"/>
    </row>
    <row r="507" spans="2:8" x14ac:dyDescent="0.25">
      <c r="B507" s="40"/>
      <c r="C507" s="41"/>
      <c r="D507" s="41"/>
      <c r="E507" s="41"/>
      <c r="F507" s="41"/>
      <c r="G507" s="34"/>
      <c r="H507" s="42"/>
    </row>
    <row r="508" spans="2:8" x14ac:dyDescent="0.25">
      <c r="B508" s="40"/>
      <c r="C508" s="41"/>
      <c r="D508" s="41"/>
      <c r="E508" s="41"/>
      <c r="F508" s="41"/>
      <c r="G508" s="34"/>
      <c r="H508" s="42"/>
    </row>
    <row r="509" spans="2:8" x14ac:dyDescent="0.25">
      <c r="B509" s="40"/>
      <c r="C509" s="41"/>
      <c r="D509" s="41"/>
      <c r="E509" s="41"/>
      <c r="F509" s="41"/>
      <c r="G509" s="34"/>
      <c r="H509" s="42"/>
    </row>
    <row r="510" spans="2:8" x14ac:dyDescent="0.25">
      <c r="B510" s="40"/>
      <c r="C510" s="41"/>
      <c r="D510" s="41"/>
      <c r="E510" s="41"/>
      <c r="F510" s="41"/>
      <c r="G510" s="34"/>
      <c r="H510" s="42"/>
    </row>
    <row r="511" spans="2:8" x14ac:dyDescent="0.25">
      <c r="B511" s="40"/>
      <c r="C511" s="41"/>
      <c r="D511" s="41"/>
      <c r="E511" s="41"/>
      <c r="F511" s="41"/>
      <c r="G511" s="34"/>
      <c r="H511" s="42"/>
    </row>
    <row r="512" spans="2:8" x14ac:dyDescent="0.25">
      <c r="B512" s="40"/>
      <c r="C512" s="41"/>
      <c r="D512" s="41"/>
      <c r="E512" s="41"/>
      <c r="F512" s="41"/>
      <c r="G512" s="34"/>
      <c r="H512" s="42"/>
    </row>
    <row r="513" spans="2:8" x14ac:dyDescent="0.25">
      <c r="B513" s="40"/>
      <c r="C513" s="41"/>
      <c r="D513" s="41"/>
      <c r="E513" s="41"/>
      <c r="F513" s="41"/>
      <c r="G513" s="34"/>
      <c r="H513" s="42"/>
    </row>
    <row r="514" spans="2:8" x14ac:dyDescent="0.25">
      <c r="B514" s="40"/>
      <c r="C514" s="41"/>
      <c r="D514" s="41"/>
      <c r="E514" s="41"/>
      <c r="F514" s="41"/>
      <c r="G514" s="34"/>
      <c r="H514" s="42"/>
    </row>
    <row r="515" spans="2:8" x14ac:dyDescent="0.25">
      <c r="B515" s="40"/>
      <c r="C515" s="41"/>
      <c r="D515" s="41"/>
      <c r="E515" s="41"/>
      <c r="F515" s="41"/>
      <c r="G515" s="34"/>
      <c r="H515" s="42"/>
    </row>
    <row r="516" spans="2:8" x14ac:dyDescent="0.25">
      <c r="B516" s="40"/>
      <c r="C516" s="41"/>
      <c r="D516" s="41"/>
      <c r="E516" s="41"/>
      <c r="F516" s="41"/>
      <c r="G516" s="34"/>
      <c r="H516" s="42"/>
    </row>
    <row r="517" spans="2:8" x14ac:dyDescent="0.25">
      <c r="B517" s="40"/>
      <c r="C517" s="41"/>
      <c r="D517" s="41"/>
      <c r="E517" s="41"/>
      <c r="F517" s="41"/>
      <c r="G517" s="34"/>
      <c r="H517" s="42"/>
    </row>
    <row r="518" spans="2:8" x14ac:dyDescent="0.25">
      <c r="B518" s="40"/>
      <c r="C518" s="41"/>
      <c r="D518" s="41"/>
      <c r="E518" s="41"/>
      <c r="F518" s="41"/>
      <c r="G518" s="34"/>
      <c r="H518" s="42"/>
    </row>
    <row r="519" spans="2:8" x14ac:dyDescent="0.25">
      <c r="B519" s="40"/>
      <c r="C519" s="41"/>
      <c r="D519" s="41"/>
      <c r="E519" s="41"/>
      <c r="F519" s="41"/>
      <c r="G519" s="34"/>
      <c r="H519" s="42"/>
    </row>
    <row r="520" spans="2:8" x14ac:dyDescent="0.25">
      <c r="B520" s="40"/>
      <c r="C520" s="41"/>
      <c r="D520" s="41"/>
      <c r="E520" s="41"/>
      <c r="F520" s="41"/>
      <c r="G520" s="34"/>
      <c r="H520" s="42"/>
    </row>
    <row r="521" spans="2:8" x14ac:dyDescent="0.25">
      <c r="B521" s="40"/>
      <c r="C521" s="41"/>
      <c r="D521" s="41"/>
      <c r="E521" s="41"/>
      <c r="F521" s="41"/>
      <c r="G521" s="34"/>
      <c r="H521" s="42"/>
    </row>
    <row r="522" spans="2:8" x14ac:dyDescent="0.25">
      <c r="B522" s="40"/>
      <c r="C522" s="41"/>
      <c r="D522" s="41"/>
      <c r="E522" s="41"/>
      <c r="F522" s="41"/>
      <c r="G522" s="34"/>
      <c r="H522" s="42"/>
    </row>
    <row r="523" spans="2:8" x14ac:dyDescent="0.25">
      <c r="B523" s="40"/>
      <c r="C523" s="41"/>
      <c r="D523" s="41"/>
      <c r="E523" s="41"/>
      <c r="F523" s="41"/>
      <c r="G523" s="34"/>
      <c r="H523" s="42"/>
    </row>
    <row r="524" spans="2:8" x14ac:dyDescent="0.25">
      <c r="B524" s="40"/>
      <c r="C524" s="41"/>
      <c r="D524" s="41"/>
      <c r="E524" s="41"/>
      <c r="F524" s="41"/>
      <c r="G524" s="34"/>
      <c r="H524" s="42"/>
    </row>
    <row r="525" spans="2:8" x14ac:dyDescent="0.25">
      <c r="B525" s="40"/>
      <c r="C525" s="41"/>
      <c r="D525" s="41"/>
      <c r="E525" s="41"/>
      <c r="F525" s="41"/>
      <c r="G525" s="34"/>
      <c r="H525" s="42"/>
    </row>
    <row r="526" spans="2:8" x14ac:dyDescent="0.25">
      <c r="B526" s="40"/>
      <c r="C526" s="41"/>
      <c r="D526" s="41"/>
      <c r="E526" s="41"/>
      <c r="F526" s="41"/>
      <c r="G526" s="34"/>
      <c r="H526" s="42"/>
    </row>
    <row r="527" spans="2:8" x14ac:dyDescent="0.25">
      <c r="B527" s="40"/>
      <c r="C527" s="41"/>
      <c r="D527" s="41"/>
      <c r="E527" s="41"/>
      <c r="F527" s="41"/>
      <c r="G527" s="34"/>
      <c r="H527" s="42"/>
    </row>
    <row r="528" spans="2:8" x14ac:dyDescent="0.25">
      <c r="B528" s="40"/>
      <c r="C528" s="41"/>
      <c r="D528" s="41"/>
      <c r="E528" s="41"/>
      <c r="F528" s="41"/>
      <c r="G528" s="34"/>
      <c r="H528" s="42"/>
    </row>
    <row r="529" spans="2:8" x14ac:dyDescent="0.25">
      <c r="B529" s="40"/>
      <c r="C529" s="41"/>
      <c r="D529" s="41"/>
      <c r="E529" s="41"/>
      <c r="F529" s="41"/>
      <c r="G529" s="34"/>
      <c r="H529" s="42"/>
    </row>
    <row r="530" spans="2:8" x14ac:dyDescent="0.25">
      <c r="B530" s="40"/>
      <c r="C530" s="41"/>
      <c r="D530" s="41"/>
      <c r="E530" s="41"/>
      <c r="F530" s="41"/>
      <c r="G530" s="34"/>
      <c r="H530" s="42"/>
    </row>
    <row r="531" spans="2:8" x14ac:dyDescent="0.25">
      <c r="B531" s="40"/>
      <c r="C531" s="41"/>
      <c r="D531" s="41"/>
      <c r="E531" s="41"/>
      <c r="F531" s="41"/>
      <c r="G531" s="34"/>
      <c r="H531" s="42"/>
    </row>
    <row r="532" spans="2:8" x14ac:dyDescent="0.25">
      <c r="B532" s="40"/>
      <c r="C532" s="41"/>
      <c r="D532" s="41"/>
      <c r="E532" s="41"/>
      <c r="F532" s="41"/>
      <c r="G532" s="34"/>
      <c r="H532" s="42"/>
    </row>
    <row r="533" spans="2:8" x14ac:dyDescent="0.25">
      <c r="B533" s="40"/>
      <c r="C533" s="41"/>
      <c r="D533" s="41"/>
      <c r="E533" s="41"/>
      <c r="F533" s="41"/>
      <c r="G533" s="34"/>
      <c r="H533" s="42"/>
    </row>
    <row r="534" spans="2:8" x14ac:dyDescent="0.25">
      <c r="B534" s="40"/>
      <c r="C534" s="41"/>
      <c r="D534" s="41"/>
      <c r="E534" s="41"/>
      <c r="F534" s="41"/>
      <c r="G534" s="34"/>
      <c r="H534" s="42"/>
    </row>
    <row r="535" spans="2:8" x14ac:dyDescent="0.25">
      <c r="B535" s="40"/>
      <c r="C535" s="41"/>
      <c r="D535" s="41"/>
      <c r="E535" s="41"/>
      <c r="F535" s="41"/>
      <c r="G535" s="34"/>
      <c r="H535" s="42"/>
    </row>
    <row r="536" spans="2:8" x14ac:dyDescent="0.25">
      <c r="B536" s="40"/>
      <c r="C536" s="41"/>
      <c r="D536" s="41"/>
      <c r="E536" s="41"/>
      <c r="F536" s="41"/>
      <c r="G536" s="34"/>
      <c r="H536" s="42"/>
    </row>
    <row r="537" spans="2:8" x14ac:dyDescent="0.25">
      <c r="B537" s="40"/>
      <c r="C537" s="41"/>
      <c r="D537" s="41"/>
      <c r="E537" s="41"/>
      <c r="F537" s="41"/>
      <c r="G537" s="34"/>
      <c r="H537" s="42"/>
    </row>
    <row r="538" spans="2:8" x14ac:dyDescent="0.25">
      <c r="B538" s="40"/>
      <c r="C538" s="41"/>
      <c r="D538" s="41"/>
      <c r="E538" s="41"/>
      <c r="F538" s="41"/>
      <c r="G538" s="34"/>
      <c r="H538" s="42"/>
    </row>
    <row r="539" spans="2:8" x14ac:dyDescent="0.25">
      <c r="B539" s="40"/>
      <c r="C539" s="41"/>
      <c r="D539" s="41"/>
      <c r="E539" s="41"/>
      <c r="F539" s="41"/>
      <c r="G539" s="34"/>
      <c r="H539" s="42"/>
    </row>
    <row r="540" spans="2:8" x14ac:dyDescent="0.25">
      <c r="B540" s="40"/>
      <c r="C540" s="41"/>
      <c r="D540" s="41"/>
      <c r="E540" s="41"/>
      <c r="F540" s="41"/>
      <c r="G540" s="34"/>
      <c r="H540" s="42"/>
    </row>
    <row r="541" spans="2:8" x14ac:dyDescent="0.25">
      <c r="B541" s="40"/>
      <c r="C541" s="41"/>
      <c r="D541" s="41"/>
      <c r="E541" s="41"/>
      <c r="F541" s="41"/>
      <c r="G541" s="34"/>
      <c r="H541" s="42"/>
    </row>
    <row r="542" spans="2:8" x14ac:dyDescent="0.25">
      <c r="B542" s="40"/>
      <c r="C542" s="41"/>
      <c r="D542" s="41"/>
      <c r="E542" s="41"/>
      <c r="F542" s="41"/>
      <c r="G542" s="34"/>
      <c r="H542" s="42"/>
    </row>
    <row r="543" spans="2:8" x14ac:dyDescent="0.25">
      <c r="B543" s="40"/>
      <c r="C543" s="41"/>
      <c r="D543" s="41"/>
      <c r="E543" s="41"/>
      <c r="F543" s="41"/>
      <c r="G543" s="34"/>
      <c r="H543" s="42"/>
    </row>
    <row r="544" spans="2:8" x14ac:dyDescent="0.25">
      <c r="B544" s="40"/>
      <c r="C544" s="41"/>
      <c r="D544" s="41"/>
      <c r="E544" s="41"/>
      <c r="F544" s="41"/>
      <c r="G544" s="34"/>
      <c r="H544" s="42"/>
    </row>
    <row r="545" spans="2:8" x14ac:dyDescent="0.25">
      <c r="B545" s="40"/>
      <c r="C545" s="41"/>
      <c r="D545" s="41"/>
      <c r="E545" s="41"/>
      <c r="F545" s="41"/>
      <c r="G545" s="34"/>
      <c r="H545" s="42"/>
    </row>
    <row r="546" spans="2:8" x14ac:dyDescent="0.25">
      <c r="B546" s="40"/>
      <c r="C546" s="41"/>
      <c r="D546" s="41"/>
      <c r="E546" s="41"/>
      <c r="F546" s="41"/>
      <c r="G546" s="34"/>
      <c r="H546" s="42"/>
    </row>
    <row r="547" spans="2:8" x14ac:dyDescent="0.25">
      <c r="B547" s="40"/>
      <c r="C547" s="41"/>
      <c r="D547" s="41"/>
      <c r="E547" s="41"/>
      <c r="F547" s="41"/>
      <c r="G547" s="34"/>
      <c r="H547" s="42"/>
    </row>
    <row r="548" spans="2:8" x14ac:dyDescent="0.25">
      <c r="B548" s="40"/>
      <c r="C548" s="41"/>
      <c r="D548" s="41"/>
      <c r="E548" s="41"/>
      <c r="F548" s="41"/>
      <c r="G548" s="34"/>
      <c r="H548" s="42"/>
    </row>
    <row r="549" spans="2:8" x14ac:dyDescent="0.25">
      <c r="B549" s="40"/>
      <c r="C549" s="41"/>
      <c r="D549" s="41"/>
      <c r="E549" s="41"/>
      <c r="F549" s="41"/>
      <c r="G549" s="34"/>
      <c r="H549" s="42"/>
    </row>
    <row r="550" spans="2:8" x14ac:dyDescent="0.25">
      <c r="B550" s="40"/>
      <c r="C550" s="41"/>
      <c r="D550" s="41"/>
      <c r="E550" s="41"/>
      <c r="F550" s="41"/>
      <c r="G550" s="34"/>
      <c r="H550" s="42"/>
    </row>
    <row r="551" spans="2:8" x14ac:dyDescent="0.25">
      <c r="B551" s="40"/>
      <c r="C551" s="41"/>
      <c r="D551" s="41"/>
      <c r="E551" s="41"/>
      <c r="F551" s="41"/>
      <c r="G551" s="34"/>
      <c r="H551" s="42"/>
    </row>
    <row r="552" spans="2:8" x14ac:dyDescent="0.25">
      <c r="B552" s="40"/>
      <c r="C552" s="41"/>
      <c r="D552" s="41"/>
      <c r="E552" s="41"/>
      <c r="F552" s="41"/>
      <c r="G552" s="34"/>
      <c r="H552" s="42"/>
    </row>
    <row r="553" spans="2:8" x14ac:dyDescent="0.25">
      <c r="B553" s="40"/>
      <c r="C553" s="41"/>
      <c r="D553" s="41"/>
      <c r="E553" s="41"/>
      <c r="F553" s="41"/>
      <c r="G553" s="34"/>
      <c r="H553" s="42"/>
    </row>
    <row r="554" spans="2:8" x14ac:dyDescent="0.25">
      <c r="B554" s="40"/>
      <c r="C554" s="41"/>
      <c r="D554" s="41"/>
      <c r="E554" s="41"/>
      <c r="F554" s="41"/>
      <c r="G554" s="34"/>
      <c r="H554" s="42"/>
    </row>
    <row r="555" spans="2:8" x14ac:dyDescent="0.25">
      <c r="B555" s="40"/>
      <c r="C555" s="41"/>
      <c r="D555" s="41"/>
      <c r="E555" s="41"/>
      <c r="F555" s="41"/>
      <c r="G555" s="34"/>
      <c r="H555" s="42"/>
    </row>
    <row r="556" spans="2:8" x14ac:dyDescent="0.25">
      <c r="B556" s="40"/>
      <c r="C556" s="41"/>
      <c r="D556" s="41"/>
      <c r="E556" s="41"/>
      <c r="F556" s="41"/>
      <c r="G556" s="34"/>
      <c r="H556" s="42"/>
    </row>
    <row r="557" spans="2:8" x14ac:dyDescent="0.25">
      <c r="B557" s="40"/>
      <c r="C557" s="41"/>
      <c r="D557" s="41"/>
      <c r="E557" s="41"/>
      <c r="F557" s="41"/>
      <c r="G557" s="34"/>
      <c r="H557" s="42"/>
    </row>
    <row r="558" spans="2:8" x14ac:dyDescent="0.25">
      <c r="B558" s="40"/>
      <c r="C558" s="41"/>
      <c r="D558" s="41"/>
      <c r="E558" s="41"/>
      <c r="F558" s="41"/>
      <c r="G558" s="34"/>
      <c r="H558" s="42"/>
    </row>
    <row r="559" spans="2:8" x14ac:dyDescent="0.25">
      <c r="B559" s="40"/>
      <c r="C559" s="41"/>
      <c r="D559" s="41"/>
      <c r="E559" s="41"/>
      <c r="F559" s="41"/>
      <c r="G559" s="34"/>
      <c r="H559" s="42"/>
    </row>
    <row r="560" spans="2:8" x14ac:dyDescent="0.25">
      <c r="B560" s="40"/>
      <c r="C560" s="41"/>
      <c r="D560" s="41"/>
      <c r="E560" s="41"/>
      <c r="F560" s="41"/>
      <c r="G560" s="34"/>
      <c r="H560" s="42"/>
    </row>
    <row r="561" spans="2:8" x14ac:dyDescent="0.25">
      <c r="B561" s="40"/>
      <c r="C561" s="41"/>
      <c r="D561" s="41"/>
      <c r="E561" s="41"/>
      <c r="F561" s="41"/>
      <c r="G561" s="34"/>
      <c r="H561" s="42"/>
    </row>
    <row r="562" spans="2:8" x14ac:dyDescent="0.25">
      <c r="B562" s="40"/>
      <c r="C562" s="41"/>
      <c r="D562" s="41"/>
      <c r="E562" s="41"/>
      <c r="F562" s="41"/>
      <c r="G562" s="34"/>
      <c r="H562" s="42"/>
    </row>
    <row r="563" spans="2:8" x14ac:dyDescent="0.25">
      <c r="B563" s="40"/>
      <c r="C563" s="41"/>
      <c r="D563" s="41"/>
      <c r="E563" s="41"/>
      <c r="F563" s="41"/>
      <c r="G563" s="34"/>
      <c r="H563" s="42"/>
    </row>
    <row r="564" spans="2:8" x14ac:dyDescent="0.25">
      <c r="B564" s="40"/>
      <c r="C564" s="41"/>
      <c r="D564" s="41"/>
      <c r="E564" s="41"/>
      <c r="F564" s="41"/>
      <c r="G564" s="34"/>
      <c r="H564" s="42"/>
    </row>
    <row r="565" spans="2:8" x14ac:dyDescent="0.25">
      <c r="B565" s="40"/>
      <c r="C565" s="41"/>
      <c r="D565" s="41"/>
      <c r="E565" s="41"/>
      <c r="F565" s="41"/>
      <c r="G565" s="34"/>
      <c r="H565" s="42"/>
    </row>
    <row r="566" spans="2:8" x14ac:dyDescent="0.25">
      <c r="B566" s="40"/>
      <c r="C566" s="41"/>
      <c r="D566" s="41"/>
      <c r="E566" s="41"/>
      <c r="F566" s="41"/>
      <c r="G566" s="34"/>
      <c r="H566" s="42"/>
    </row>
    <row r="567" spans="2:8" x14ac:dyDescent="0.25">
      <c r="B567" s="40"/>
      <c r="C567" s="41"/>
      <c r="D567" s="41"/>
      <c r="E567" s="41"/>
      <c r="F567" s="41"/>
      <c r="G567" s="34"/>
      <c r="H567" s="42"/>
    </row>
    <row r="568" spans="2:8" x14ac:dyDescent="0.25">
      <c r="B568" s="40"/>
      <c r="C568" s="41"/>
      <c r="D568" s="41"/>
      <c r="E568" s="41"/>
      <c r="F568" s="41"/>
      <c r="G568" s="34"/>
      <c r="H568" s="42"/>
    </row>
    <row r="569" spans="2:8" x14ac:dyDescent="0.25">
      <c r="B569" s="40"/>
      <c r="C569" s="41"/>
      <c r="D569" s="41"/>
      <c r="E569" s="41"/>
      <c r="F569" s="41"/>
      <c r="G569" s="34"/>
      <c r="H569" s="42"/>
    </row>
    <row r="570" spans="2:8" x14ac:dyDescent="0.25">
      <c r="B570" s="40"/>
      <c r="C570" s="41"/>
      <c r="D570" s="41"/>
      <c r="E570" s="41"/>
      <c r="F570" s="41"/>
      <c r="G570" s="34"/>
      <c r="H570" s="42"/>
    </row>
    <row r="571" spans="2:8" x14ac:dyDescent="0.25">
      <c r="B571" s="40"/>
      <c r="C571" s="41"/>
      <c r="D571" s="41"/>
      <c r="E571" s="41"/>
      <c r="F571" s="41"/>
      <c r="G571" s="34"/>
      <c r="H571" s="42"/>
    </row>
    <row r="572" spans="2:8" x14ac:dyDescent="0.25">
      <c r="B572" s="40"/>
      <c r="C572" s="41"/>
      <c r="D572" s="41"/>
      <c r="E572" s="41"/>
      <c r="F572" s="41"/>
      <c r="G572" s="34"/>
      <c r="H572" s="42"/>
    </row>
    <row r="573" spans="2:8" x14ac:dyDescent="0.25">
      <c r="B573" s="40"/>
      <c r="C573" s="41"/>
      <c r="D573" s="41"/>
      <c r="E573" s="41"/>
      <c r="F573" s="41"/>
      <c r="G573" s="34"/>
      <c r="H573" s="42"/>
    </row>
    <row r="574" spans="2:8" x14ac:dyDescent="0.25">
      <c r="B574" s="40"/>
      <c r="C574" s="41"/>
      <c r="D574" s="41"/>
      <c r="E574" s="41"/>
      <c r="F574" s="41"/>
      <c r="G574" s="34"/>
      <c r="H574" s="42"/>
    </row>
    <row r="575" spans="2:8" x14ac:dyDescent="0.25">
      <c r="B575" s="40"/>
      <c r="C575" s="41"/>
      <c r="D575" s="41"/>
      <c r="E575" s="41"/>
      <c r="F575" s="41"/>
      <c r="G575" s="34"/>
      <c r="H575" s="42"/>
    </row>
    <row r="576" spans="2:8" x14ac:dyDescent="0.25">
      <c r="B576" s="40"/>
      <c r="C576" s="41"/>
      <c r="D576" s="41"/>
      <c r="E576" s="41"/>
      <c r="F576" s="41"/>
      <c r="G576" s="34"/>
      <c r="H576" s="42"/>
    </row>
    <row r="577" spans="2:8" x14ac:dyDescent="0.25">
      <c r="B577" s="40"/>
      <c r="C577" s="41"/>
      <c r="D577" s="41"/>
      <c r="E577" s="41"/>
      <c r="F577" s="41"/>
      <c r="G577" s="34"/>
      <c r="H577" s="42"/>
    </row>
    <row r="578" spans="2:8" x14ac:dyDescent="0.25">
      <c r="B578" s="40"/>
      <c r="C578" s="41"/>
      <c r="D578" s="41"/>
      <c r="E578" s="41"/>
      <c r="F578" s="41"/>
      <c r="G578" s="34"/>
      <c r="H578" s="42"/>
    </row>
    <row r="579" spans="2:8" x14ac:dyDescent="0.25">
      <c r="B579" s="40"/>
      <c r="C579" s="41"/>
      <c r="D579" s="41"/>
      <c r="E579" s="41"/>
      <c r="F579" s="41"/>
      <c r="G579" s="34"/>
      <c r="H579" s="42"/>
    </row>
    <row r="580" spans="2:8" x14ac:dyDescent="0.25">
      <c r="B580" s="40"/>
      <c r="C580" s="41"/>
      <c r="D580" s="41"/>
      <c r="E580" s="41"/>
      <c r="F580" s="41"/>
      <c r="G580" s="34"/>
      <c r="H580" s="42"/>
    </row>
    <row r="581" spans="2:8" x14ac:dyDescent="0.25">
      <c r="B581" s="40"/>
      <c r="C581" s="41"/>
      <c r="D581" s="41"/>
      <c r="E581" s="41"/>
      <c r="F581" s="41"/>
      <c r="G581" s="34"/>
      <c r="H581" s="42"/>
    </row>
    <row r="582" spans="2:8" x14ac:dyDescent="0.25">
      <c r="B582" s="40"/>
      <c r="C582" s="41"/>
      <c r="D582" s="41"/>
      <c r="E582" s="41"/>
      <c r="F582" s="41"/>
      <c r="G582" s="34"/>
      <c r="H582" s="42"/>
    </row>
    <row r="583" spans="2:8" x14ac:dyDescent="0.25">
      <c r="B583" s="40"/>
      <c r="C583" s="41"/>
      <c r="D583" s="41"/>
      <c r="E583" s="41"/>
      <c r="F583" s="41"/>
      <c r="G583" s="34"/>
      <c r="H583" s="42"/>
    </row>
    <row r="584" spans="2:8" x14ac:dyDescent="0.25">
      <c r="B584" s="40"/>
      <c r="C584" s="41"/>
      <c r="D584" s="41"/>
      <c r="E584" s="41"/>
      <c r="F584" s="41"/>
      <c r="G584" s="34"/>
      <c r="H584" s="42"/>
    </row>
    <row r="585" spans="2:8" x14ac:dyDescent="0.25">
      <c r="B585" s="40"/>
      <c r="C585" s="41"/>
      <c r="D585" s="41"/>
      <c r="E585" s="41"/>
      <c r="F585" s="41"/>
      <c r="G585" s="34"/>
      <c r="H585" s="42"/>
    </row>
    <row r="586" spans="2:8" x14ac:dyDescent="0.25">
      <c r="B586" s="40"/>
      <c r="C586" s="41"/>
      <c r="D586" s="41"/>
      <c r="E586" s="41"/>
      <c r="F586" s="41"/>
      <c r="G586" s="34"/>
      <c r="H586" s="42"/>
    </row>
    <row r="587" spans="2:8" x14ac:dyDescent="0.25">
      <c r="B587" s="40"/>
      <c r="C587" s="41"/>
      <c r="D587" s="41"/>
      <c r="E587" s="41"/>
      <c r="F587" s="41"/>
      <c r="G587" s="34"/>
      <c r="H587" s="42"/>
    </row>
    <row r="588" spans="2:8" x14ac:dyDescent="0.25">
      <c r="B588" s="40"/>
      <c r="C588" s="41"/>
      <c r="D588" s="41"/>
      <c r="E588" s="41"/>
      <c r="F588" s="41"/>
      <c r="G588" s="34"/>
      <c r="H588" s="42"/>
    </row>
    <row r="589" spans="2:8" x14ac:dyDescent="0.25">
      <c r="B589" s="40"/>
      <c r="C589" s="41"/>
      <c r="D589" s="41"/>
      <c r="E589" s="41"/>
      <c r="F589" s="41"/>
      <c r="G589" s="34"/>
      <c r="H589" s="42"/>
    </row>
    <row r="590" spans="2:8" x14ac:dyDescent="0.25">
      <c r="B590" s="40"/>
      <c r="C590" s="41"/>
      <c r="D590" s="41"/>
      <c r="E590" s="41"/>
      <c r="F590" s="41"/>
      <c r="G590" s="34"/>
      <c r="H590" s="42"/>
    </row>
    <row r="591" spans="2:8" x14ac:dyDescent="0.25">
      <c r="B591" s="40"/>
      <c r="C591" s="41"/>
      <c r="D591" s="41"/>
      <c r="E591" s="41"/>
      <c r="F591" s="41"/>
      <c r="G591" s="34"/>
      <c r="H591" s="42"/>
    </row>
    <row r="592" spans="2:8" x14ac:dyDescent="0.25">
      <c r="B592" s="40"/>
      <c r="C592" s="41"/>
      <c r="D592" s="41"/>
      <c r="E592" s="41"/>
      <c r="F592" s="41"/>
      <c r="G592" s="34"/>
      <c r="H592" s="42"/>
    </row>
    <row r="593" spans="2:8" x14ac:dyDescent="0.25">
      <c r="B593" s="40"/>
      <c r="C593" s="41"/>
      <c r="D593" s="41"/>
      <c r="E593" s="41"/>
      <c r="F593" s="41"/>
      <c r="G593" s="34"/>
      <c r="H593" s="42"/>
    </row>
    <row r="594" spans="2:8" x14ac:dyDescent="0.25">
      <c r="B594" s="40"/>
      <c r="C594" s="41"/>
      <c r="D594" s="41"/>
      <c r="E594" s="41"/>
      <c r="F594" s="41"/>
      <c r="G594" s="34"/>
      <c r="H594" s="42"/>
    </row>
    <row r="595" spans="2:8" x14ac:dyDescent="0.25">
      <c r="B595" s="40"/>
      <c r="C595" s="41"/>
      <c r="D595" s="41"/>
      <c r="E595" s="41"/>
      <c r="F595" s="41"/>
      <c r="G595" s="34"/>
      <c r="H595" s="42"/>
    </row>
    <row r="596" spans="2:8" x14ac:dyDescent="0.25">
      <c r="B596" s="40"/>
      <c r="C596" s="41"/>
      <c r="D596" s="41"/>
      <c r="E596" s="41"/>
      <c r="F596" s="41"/>
      <c r="G596" s="34"/>
      <c r="H596" s="42"/>
    </row>
    <row r="597" spans="2:8" x14ac:dyDescent="0.25">
      <c r="B597" s="40"/>
      <c r="C597" s="41"/>
      <c r="D597" s="41"/>
      <c r="E597" s="41"/>
      <c r="F597" s="41"/>
      <c r="G597" s="34"/>
      <c r="H597" s="42"/>
    </row>
    <row r="598" spans="2:8" x14ac:dyDescent="0.25">
      <c r="B598" s="40"/>
      <c r="C598" s="41"/>
      <c r="D598" s="41"/>
      <c r="E598" s="41"/>
      <c r="F598" s="41"/>
      <c r="G598" s="34"/>
      <c r="H598" s="42"/>
    </row>
    <row r="599" spans="2:8" x14ac:dyDescent="0.25">
      <c r="B599" s="40"/>
      <c r="C599" s="41"/>
      <c r="D599" s="41"/>
      <c r="E599" s="41"/>
      <c r="F599" s="41"/>
      <c r="G599" s="34"/>
      <c r="H599" s="42"/>
    </row>
    <row r="600" spans="2:8" x14ac:dyDescent="0.25">
      <c r="B600" s="40"/>
      <c r="C600" s="41"/>
      <c r="D600" s="41"/>
      <c r="E600" s="41"/>
      <c r="F600" s="41"/>
      <c r="G600" s="34"/>
      <c r="H600" s="42"/>
    </row>
    <row r="601" spans="2:8" x14ac:dyDescent="0.25">
      <c r="B601" s="40"/>
      <c r="C601" s="41"/>
      <c r="D601" s="41"/>
      <c r="E601" s="41"/>
      <c r="F601" s="41"/>
      <c r="G601" s="34"/>
      <c r="H601" s="42"/>
    </row>
    <row r="602" spans="2:8" x14ac:dyDescent="0.25">
      <c r="B602" s="40"/>
      <c r="C602" s="41"/>
      <c r="D602" s="41"/>
      <c r="E602" s="41"/>
      <c r="F602" s="41"/>
      <c r="G602" s="34"/>
      <c r="H602" s="42"/>
    </row>
    <row r="603" spans="2:8" x14ac:dyDescent="0.25">
      <c r="B603" s="40"/>
      <c r="C603" s="41"/>
      <c r="D603" s="41"/>
      <c r="E603" s="41"/>
      <c r="F603" s="41"/>
      <c r="G603" s="34"/>
      <c r="H603" s="42"/>
    </row>
    <row r="604" spans="2:8" x14ac:dyDescent="0.25">
      <c r="B604" s="40"/>
      <c r="C604" s="41"/>
      <c r="D604" s="41"/>
      <c r="E604" s="41"/>
      <c r="F604" s="41"/>
      <c r="G604" s="34"/>
      <c r="H604" s="42"/>
    </row>
    <row r="605" spans="2:8" x14ac:dyDescent="0.25">
      <c r="B605" s="40"/>
      <c r="C605" s="41"/>
      <c r="D605" s="41"/>
      <c r="E605" s="41"/>
      <c r="F605" s="41"/>
      <c r="G605" s="34"/>
      <c r="H605" s="42"/>
    </row>
    <row r="606" spans="2:8" x14ac:dyDescent="0.25">
      <c r="B606" s="40"/>
      <c r="C606" s="41"/>
      <c r="D606" s="41"/>
      <c r="E606" s="41"/>
      <c r="F606" s="41"/>
      <c r="G606" s="34"/>
      <c r="H606" s="42"/>
    </row>
    <row r="607" spans="2:8" x14ac:dyDescent="0.25">
      <c r="B607" s="40"/>
      <c r="C607" s="41"/>
      <c r="D607" s="41"/>
      <c r="E607" s="41"/>
      <c r="F607" s="41"/>
      <c r="G607" s="34"/>
      <c r="H607" s="42"/>
    </row>
    <row r="608" spans="2:8" x14ac:dyDescent="0.25">
      <c r="B608" s="40"/>
      <c r="C608" s="41"/>
      <c r="D608" s="41"/>
      <c r="E608" s="41"/>
      <c r="F608" s="41"/>
      <c r="G608" s="34"/>
      <c r="H608" s="42"/>
    </row>
    <row r="609" spans="2:8" x14ac:dyDescent="0.25">
      <c r="B609" s="40"/>
      <c r="C609" s="41"/>
      <c r="D609" s="41"/>
      <c r="E609" s="41"/>
      <c r="F609" s="41"/>
      <c r="G609" s="34"/>
      <c r="H609" s="42"/>
    </row>
    <row r="610" spans="2:8" x14ac:dyDescent="0.25">
      <c r="B610" s="40"/>
      <c r="C610" s="41"/>
      <c r="D610" s="41"/>
      <c r="E610" s="41"/>
      <c r="F610" s="41"/>
      <c r="G610" s="34"/>
      <c r="H610" s="42"/>
    </row>
    <row r="611" spans="2:8" x14ac:dyDescent="0.25">
      <c r="B611" s="40"/>
      <c r="C611" s="41"/>
      <c r="D611" s="41"/>
      <c r="E611" s="41"/>
      <c r="F611" s="41"/>
      <c r="G611" s="34"/>
      <c r="H611" s="42"/>
    </row>
    <row r="612" spans="2:8" x14ac:dyDescent="0.25">
      <c r="B612" s="40"/>
      <c r="C612" s="41"/>
      <c r="D612" s="41"/>
      <c r="E612" s="41"/>
      <c r="F612" s="41"/>
      <c r="G612" s="34"/>
      <c r="H612" s="42"/>
    </row>
    <row r="613" spans="2:8" x14ac:dyDescent="0.25">
      <c r="B613" s="40"/>
      <c r="C613" s="41"/>
      <c r="D613" s="41"/>
      <c r="E613" s="41"/>
      <c r="F613" s="41"/>
      <c r="G613" s="34"/>
      <c r="H613" s="42"/>
    </row>
    <row r="614" spans="2:8" x14ac:dyDescent="0.25">
      <c r="B614" s="40"/>
      <c r="C614" s="41"/>
      <c r="D614" s="41"/>
      <c r="E614" s="41"/>
      <c r="F614" s="41"/>
      <c r="G614" s="34"/>
      <c r="H614" s="42"/>
    </row>
    <row r="615" spans="2:8" x14ac:dyDescent="0.25">
      <c r="B615" s="40"/>
      <c r="C615" s="41"/>
      <c r="D615" s="41"/>
      <c r="E615" s="41"/>
      <c r="F615" s="41"/>
      <c r="G615" s="34"/>
      <c r="H615" s="42"/>
    </row>
    <row r="616" spans="2:8" x14ac:dyDescent="0.25">
      <c r="B616" s="40"/>
      <c r="C616" s="41"/>
      <c r="D616" s="41"/>
      <c r="E616" s="41"/>
      <c r="F616" s="41"/>
      <c r="G616" s="34"/>
      <c r="H616" s="42"/>
    </row>
    <row r="617" spans="2:8" x14ac:dyDescent="0.25">
      <c r="B617" s="40"/>
      <c r="C617" s="41"/>
      <c r="D617" s="41"/>
      <c r="E617" s="41"/>
      <c r="F617" s="41"/>
      <c r="G617" s="34"/>
      <c r="H617" s="42"/>
    </row>
    <row r="618" spans="2:8" x14ac:dyDescent="0.25">
      <c r="B618" s="40"/>
      <c r="C618" s="41"/>
      <c r="D618" s="41"/>
      <c r="E618" s="41"/>
      <c r="F618" s="41"/>
      <c r="G618" s="34"/>
      <c r="H618" s="42"/>
    </row>
    <row r="619" spans="2:8" x14ac:dyDescent="0.25">
      <c r="B619" s="40"/>
      <c r="C619" s="41"/>
      <c r="D619" s="41"/>
      <c r="E619" s="41"/>
      <c r="F619" s="41"/>
      <c r="G619" s="34"/>
      <c r="H619" s="42"/>
    </row>
    <row r="620" spans="2:8" x14ac:dyDescent="0.25">
      <c r="B620" s="40"/>
      <c r="C620" s="41"/>
      <c r="D620" s="41"/>
      <c r="E620" s="41"/>
      <c r="F620" s="41"/>
      <c r="G620" s="34"/>
      <c r="H620" s="42"/>
    </row>
    <row r="621" spans="2:8" x14ac:dyDescent="0.25">
      <c r="B621" s="40"/>
      <c r="C621" s="41"/>
      <c r="D621" s="41"/>
      <c r="E621" s="41"/>
      <c r="F621" s="41"/>
      <c r="G621" s="34"/>
      <c r="H621" s="42"/>
    </row>
    <row r="622" spans="2:8" x14ac:dyDescent="0.25">
      <c r="B622" s="40"/>
      <c r="C622" s="41"/>
      <c r="D622" s="41"/>
      <c r="E622" s="41"/>
      <c r="F622" s="41"/>
      <c r="G622" s="34"/>
      <c r="H622" s="42"/>
    </row>
    <row r="623" spans="2:8" x14ac:dyDescent="0.25">
      <c r="B623" s="40"/>
      <c r="C623" s="41"/>
      <c r="D623" s="41"/>
      <c r="E623" s="41"/>
      <c r="F623" s="41"/>
      <c r="G623" s="34"/>
      <c r="H623" s="42"/>
    </row>
    <row r="624" spans="2:8" x14ac:dyDescent="0.25">
      <c r="B624" s="40"/>
      <c r="C624" s="41"/>
      <c r="D624" s="41"/>
      <c r="E624" s="41"/>
      <c r="F624" s="41"/>
      <c r="G624" s="34"/>
      <c r="H624" s="42"/>
    </row>
    <row r="625" spans="2:8" x14ac:dyDescent="0.25">
      <c r="B625" s="40"/>
      <c r="C625" s="41"/>
      <c r="D625" s="41"/>
      <c r="E625" s="41"/>
      <c r="F625" s="41"/>
      <c r="G625" s="34"/>
      <c r="H625" s="42"/>
    </row>
    <row r="626" spans="2:8" x14ac:dyDescent="0.25">
      <c r="B626" s="40"/>
      <c r="C626" s="41"/>
      <c r="D626" s="41"/>
      <c r="E626" s="41"/>
      <c r="F626" s="41"/>
      <c r="G626" s="34"/>
      <c r="H626" s="42"/>
    </row>
    <row r="627" spans="2:8" x14ac:dyDescent="0.25">
      <c r="B627" s="40"/>
      <c r="C627" s="41"/>
      <c r="D627" s="41"/>
      <c r="E627" s="41"/>
      <c r="F627" s="41"/>
      <c r="G627" s="34"/>
      <c r="H627" s="42"/>
    </row>
    <row r="628" spans="2:8" x14ac:dyDescent="0.25">
      <c r="B628" s="40"/>
      <c r="C628" s="41"/>
      <c r="D628" s="41"/>
      <c r="E628" s="41"/>
      <c r="F628" s="41"/>
      <c r="G628" s="34"/>
      <c r="H628" s="42"/>
    </row>
    <row r="629" spans="2:8" x14ac:dyDescent="0.25">
      <c r="B629" s="40"/>
      <c r="C629" s="41"/>
      <c r="D629" s="41"/>
      <c r="E629" s="41"/>
      <c r="F629" s="41"/>
      <c r="G629" s="34"/>
      <c r="H629" s="42"/>
    </row>
    <row r="630" spans="2:8" x14ac:dyDescent="0.25">
      <c r="B630" s="40"/>
      <c r="C630" s="41"/>
      <c r="D630" s="41"/>
      <c r="E630" s="41"/>
      <c r="F630" s="41"/>
      <c r="G630" s="34"/>
      <c r="H630" s="42"/>
    </row>
    <row r="631" spans="2:8" x14ac:dyDescent="0.25">
      <c r="B631" s="40"/>
      <c r="C631" s="41"/>
      <c r="D631" s="41"/>
      <c r="E631" s="41"/>
      <c r="F631" s="41"/>
      <c r="G631" s="34"/>
      <c r="H631" s="42"/>
    </row>
    <row r="632" spans="2:8" x14ac:dyDescent="0.25">
      <c r="B632" s="40"/>
      <c r="C632" s="41"/>
      <c r="D632" s="41"/>
      <c r="E632" s="41"/>
      <c r="F632" s="41"/>
      <c r="G632" s="34"/>
      <c r="H632" s="42"/>
    </row>
    <row r="633" spans="2:8" x14ac:dyDescent="0.25">
      <c r="B633" s="40"/>
      <c r="C633" s="41"/>
      <c r="D633" s="41"/>
      <c r="E633" s="41"/>
      <c r="F633" s="41"/>
      <c r="G633" s="34"/>
      <c r="H633" s="42"/>
    </row>
    <row r="634" spans="2:8" x14ac:dyDescent="0.25">
      <c r="B634" s="40"/>
      <c r="C634" s="41"/>
      <c r="D634" s="41"/>
      <c r="E634" s="41"/>
      <c r="F634" s="41"/>
      <c r="G634" s="34"/>
      <c r="H634" s="42"/>
    </row>
    <row r="635" spans="2:8" x14ac:dyDescent="0.25">
      <c r="B635" s="40"/>
      <c r="C635" s="41"/>
      <c r="D635" s="41"/>
      <c r="E635" s="41"/>
      <c r="F635" s="41"/>
      <c r="G635" s="34"/>
      <c r="H635" s="42"/>
    </row>
    <row r="636" spans="2:8" x14ac:dyDescent="0.25">
      <c r="B636" s="40"/>
      <c r="C636" s="41"/>
      <c r="D636" s="41"/>
      <c r="E636" s="41"/>
      <c r="F636" s="41"/>
      <c r="G636" s="34"/>
      <c r="H636" s="42"/>
    </row>
    <row r="637" spans="2:8" x14ac:dyDescent="0.25">
      <c r="B637" s="40"/>
      <c r="C637" s="41"/>
      <c r="D637" s="41"/>
      <c r="E637" s="41"/>
      <c r="F637" s="41"/>
      <c r="G637" s="34"/>
      <c r="H637" s="42"/>
    </row>
    <row r="638" spans="2:8" x14ac:dyDescent="0.25">
      <c r="B638" s="40"/>
      <c r="C638" s="41"/>
      <c r="D638" s="41"/>
      <c r="E638" s="41"/>
      <c r="F638" s="41"/>
      <c r="G638" s="34"/>
      <c r="H638" s="42"/>
    </row>
    <row r="639" spans="2:8" x14ac:dyDescent="0.25">
      <c r="B639" s="40"/>
      <c r="C639" s="41"/>
      <c r="D639" s="41"/>
      <c r="E639" s="41"/>
      <c r="F639" s="41"/>
      <c r="G639" s="34"/>
      <c r="H639" s="42"/>
    </row>
    <row r="640" spans="2:8" x14ac:dyDescent="0.25">
      <c r="B640" s="40"/>
      <c r="C640" s="41"/>
      <c r="D640" s="41"/>
      <c r="E640" s="41"/>
      <c r="F640" s="41"/>
      <c r="G640" s="34"/>
      <c r="H640" s="42"/>
    </row>
    <row r="641" spans="2:8" x14ac:dyDescent="0.25">
      <c r="B641" s="40"/>
      <c r="C641" s="41"/>
      <c r="D641" s="41"/>
      <c r="E641" s="41"/>
      <c r="F641" s="41"/>
      <c r="G641" s="34"/>
      <c r="H641" s="42"/>
    </row>
    <row r="642" spans="2:8" x14ac:dyDescent="0.25">
      <c r="B642" s="40"/>
      <c r="C642" s="41"/>
      <c r="D642" s="41"/>
      <c r="E642" s="41"/>
      <c r="F642" s="41"/>
      <c r="G642" s="34"/>
      <c r="H642" s="42"/>
    </row>
    <row r="643" spans="2:8" x14ac:dyDescent="0.25">
      <c r="B643" s="40"/>
      <c r="C643" s="41"/>
      <c r="D643" s="41"/>
      <c r="E643" s="41"/>
      <c r="F643" s="41"/>
      <c r="G643" s="34"/>
      <c r="H643" s="42"/>
    </row>
    <row r="644" spans="2:8" x14ac:dyDescent="0.25">
      <c r="B644" s="40"/>
      <c r="C644" s="41"/>
      <c r="D644" s="41"/>
      <c r="E644" s="41"/>
      <c r="F644" s="41"/>
      <c r="G644" s="34"/>
      <c r="H644" s="42"/>
    </row>
    <row r="645" spans="2:8" x14ac:dyDescent="0.25">
      <c r="B645" s="40"/>
      <c r="C645" s="41"/>
      <c r="D645" s="41"/>
      <c r="E645" s="41"/>
      <c r="F645" s="41"/>
      <c r="G645" s="34"/>
      <c r="H645" s="42"/>
    </row>
  </sheetData>
  <mergeCells count="1">
    <mergeCell ref="B5:K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C00000"/>
  </sheetPr>
  <dimension ref="A1:A71"/>
  <sheetViews>
    <sheetView workbookViewId="0"/>
  </sheetViews>
  <sheetFormatPr defaultRowHeight="15" x14ac:dyDescent="0.25"/>
  <cols>
    <col min="1" max="1" width="14.140625" bestFit="1" customWidth="1"/>
  </cols>
  <sheetData>
    <row r="1" spans="1:1" x14ac:dyDescent="0.25">
      <c r="A1" s="3" t="s">
        <v>130</v>
      </c>
    </row>
    <row r="2" spans="1:1" x14ac:dyDescent="0.25">
      <c r="A2" s="4">
        <f t="shared" ref="A2:A13" si="0">A3-14</f>
        <v>42370</v>
      </c>
    </row>
    <row r="3" spans="1:1" x14ac:dyDescent="0.25">
      <c r="A3" s="4">
        <f t="shared" si="0"/>
        <v>42384</v>
      </c>
    </row>
    <row r="4" spans="1:1" x14ac:dyDescent="0.25">
      <c r="A4" s="4">
        <f t="shared" si="0"/>
        <v>42398</v>
      </c>
    </row>
    <row r="5" spans="1:1" x14ac:dyDescent="0.25">
      <c r="A5" s="4">
        <f t="shared" si="0"/>
        <v>42412</v>
      </c>
    </row>
    <row r="6" spans="1:1" x14ac:dyDescent="0.25">
      <c r="A6" s="4">
        <f t="shared" si="0"/>
        <v>42426</v>
      </c>
    </row>
    <row r="7" spans="1:1" x14ac:dyDescent="0.25">
      <c r="A7" s="4">
        <f t="shared" si="0"/>
        <v>42440</v>
      </c>
    </row>
    <row r="8" spans="1:1" x14ac:dyDescent="0.25">
      <c r="A8" s="4">
        <f t="shared" si="0"/>
        <v>42454</v>
      </c>
    </row>
    <row r="9" spans="1:1" x14ac:dyDescent="0.25">
      <c r="A9" s="4">
        <f t="shared" si="0"/>
        <v>42468</v>
      </c>
    </row>
    <row r="10" spans="1:1" x14ac:dyDescent="0.25">
      <c r="A10" s="4">
        <f t="shared" si="0"/>
        <v>42482</v>
      </c>
    </row>
    <row r="11" spans="1:1" x14ac:dyDescent="0.25">
      <c r="A11" s="4">
        <f t="shared" si="0"/>
        <v>42496</v>
      </c>
    </row>
    <row r="12" spans="1:1" x14ac:dyDescent="0.25">
      <c r="A12" s="4">
        <f t="shared" si="0"/>
        <v>42510</v>
      </c>
    </row>
    <row r="13" spans="1:1" x14ac:dyDescent="0.25">
      <c r="A13" s="4">
        <f t="shared" si="0"/>
        <v>42524</v>
      </c>
    </row>
    <row r="14" spans="1:1" x14ac:dyDescent="0.25">
      <c r="A14" s="4">
        <f>DATE(2016,6,17)</f>
        <v>42538</v>
      </c>
    </row>
    <row r="15" spans="1:1" x14ac:dyDescent="0.25">
      <c r="A15" s="4">
        <f t="shared" ref="A15:A28" si="1">A14+14</f>
        <v>42552</v>
      </c>
    </row>
    <row r="16" spans="1:1" x14ac:dyDescent="0.25">
      <c r="A16" s="4">
        <f t="shared" si="1"/>
        <v>42566</v>
      </c>
    </row>
    <row r="17" spans="1:1" x14ac:dyDescent="0.25">
      <c r="A17" s="4">
        <f t="shared" si="1"/>
        <v>42580</v>
      </c>
    </row>
    <row r="18" spans="1:1" x14ac:dyDescent="0.25">
      <c r="A18" s="4">
        <f t="shared" si="1"/>
        <v>42594</v>
      </c>
    </row>
    <row r="19" spans="1:1" x14ac:dyDescent="0.25">
      <c r="A19" s="4">
        <f t="shared" si="1"/>
        <v>42608</v>
      </c>
    </row>
    <row r="20" spans="1:1" x14ac:dyDescent="0.25">
      <c r="A20" s="4">
        <f t="shared" si="1"/>
        <v>42622</v>
      </c>
    </row>
    <row r="21" spans="1:1" x14ac:dyDescent="0.25">
      <c r="A21" s="4">
        <f t="shared" si="1"/>
        <v>42636</v>
      </c>
    </row>
    <row r="22" spans="1:1" x14ac:dyDescent="0.25">
      <c r="A22" s="4">
        <f t="shared" si="1"/>
        <v>42650</v>
      </c>
    </row>
    <row r="23" spans="1:1" x14ac:dyDescent="0.25">
      <c r="A23" s="4">
        <f t="shared" si="1"/>
        <v>42664</v>
      </c>
    </row>
    <row r="24" spans="1:1" x14ac:dyDescent="0.25">
      <c r="A24" s="4">
        <f t="shared" si="1"/>
        <v>42678</v>
      </c>
    </row>
    <row r="25" spans="1:1" x14ac:dyDescent="0.25">
      <c r="A25" s="4">
        <f t="shared" si="1"/>
        <v>42692</v>
      </c>
    </row>
    <row r="26" spans="1:1" x14ac:dyDescent="0.25">
      <c r="A26" s="4">
        <f t="shared" si="1"/>
        <v>42706</v>
      </c>
    </row>
    <row r="27" spans="1:1" x14ac:dyDescent="0.25">
      <c r="A27" s="4">
        <f t="shared" si="1"/>
        <v>42720</v>
      </c>
    </row>
    <row r="28" spans="1:1" x14ac:dyDescent="0.25">
      <c r="A28" s="4">
        <f t="shared" si="1"/>
        <v>42734</v>
      </c>
    </row>
    <row r="29" spans="1:1" x14ac:dyDescent="0.25">
      <c r="A29" s="4">
        <f>DATE(2016,7,4)</f>
        <v>42555</v>
      </c>
    </row>
    <row r="30" spans="1:1" x14ac:dyDescent="0.25">
      <c r="A30" s="4">
        <v>42618</v>
      </c>
    </row>
    <row r="31" spans="1:1" x14ac:dyDescent="0.25">
      <c r="A31" s="4">
        <v>42698</v>
      </c>
    </row>
    <row r="32" spans="1:1" x14ac:dyDescent="0.25">
      <c r="A32" s="4">
        <v>42699</v>
      </c>
    </row>
    <row r="33" spans="1:1" x14ac:dyDescent="0.25">
      <c r="A33" s="4">
        <v>42727</v>
      </c>
    </row>
    <row r="34" spans="1:1" x14ac:dyDescent="0.25">
      <c r="A34" s="4">
        <v>42729</v>
      </c>
    </row>
    <row r="35" spans="1:1" x14ac:dyDescent="0.25">
      <c r="A35" s="4">
        <v>42730</v>
      </c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3:K13"/>
  <sheetViews>
    <sheetView workbookViewId="0">
      <selection activeCell="G3" sqref="G3"/>
    </sheetView>
  </sheetViews>
  <sheetFormatPr defaultRowHeight="15" x14ac:dyDescent="0.25"/>
  <cols>
    <col min="1" max="1" width="13.5703125" bestFit="1" customWidth="1"/>
  </cols>
  <sheetData>
    <row r="3" spans="1:11" x14ac:dyDescent="0.25">
      <c r="A3" t="s">
        <v>530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</row>
    <row r="4" spans="1:11" x14ac:dyDescent="0.25">
      <c r="A4" t="s">
        <v>502</v>
      </c>
      <c r="B4">
        <v>93</v>
      </c>
      <c r="C4">
        <v>77</v>
      </c>
      <c r="D4">
        <v>61</v>
      </c>
      <c r="E4">
        <v>45</v>
      </c>
      <c r="F4">
        <v>29</v>
      </c>
      <c r="G4">
        <v>19</v>
      </c>
      <c r="H4">
        <v>18</v>
      </c>
    </row>
    <row r="5" spans="1:11" x14ac:dyDescent="0.25">
      <c r="A5" t="s">
        <v>531</v>
      </c>
      <c r="C5">
        <f>100*((B4-C4)/B4)</f>
        <v>17.20430107526882</v>
      </c>
      <c r="D5">
        <f t="shared" ref="D5:H5" si="0">100*((C4-D4)/C4)</f>
        <v>20.779220779220779</v>
      </c>
      <c r="E5">
        <f t="shared" si="0"/>
        <v>26.229508196721312</v>
      </c>
      <c r="F5">
        <f t="shared" si="0"/>
        <v>35.555555555555557</v>
      </c>
      <c r="G5">
        <f t="shared" si="0"/>
        <v>34.482758620689658</v>
      </c>
      <c r="H5">
        <f t="shared" si="0"/>
        <v>5.2631578947368416</v>
      </c>
    </row>
    <row r="7" spans="1:11" x14ac:dyDescent="0.25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</row>
    <row r="8" spans="1:11" x14ac:dyDescent="0.25">
      <c r="B8">
        <v>115</v>
      </c>
      <c r="C8">
        <v>81</v>
      </c>
      <c r="D8">
        <v>48</v>
      </c>
      <c r="E8">
        <v>44</v>
      </c>
      <c r="F8">
        <v>40</v>
      </c>
      <c r="G8">
        <v>36</v>
      </c>
      <c r="H8">
        <v>32</v>
      </c>
      <c r="I8">
        <v>28</v>
      </c>
      <c r="J8">
        <v>24</v>
      </c>
      <c r="K8">
        <v>20</v>
      </c>
    </row>
    <row r="9" spans="1:11" x14ac:dyDescent="0.25">
      <c r="C9">
        <f>100*((B8-C8)/B8)</f>
        <v>29.565217391304348</v>
      </c>
      <c r="D9">
        <f t="shared" ref="D9:H9" si="1">100*((C8-D8)/C8)</f>
        <v>40.74074074074074</v>
      </c>
      <c r="E9">
        <f t="shared" si="1"/>
        <v>8.3333333333333321</v>
      </c>
      <c r="F9">
        <f t="shared" si="1"/>
        <v>9.0909090909090917</v>
      </c>
      <c r="G9">
        <f t="shared" si="1"/>
        <v>10</v>
      </c>
      <c r="H9">
        <f t="shared" si="1"/>
        <v>11.111111111111111</v>
      </c>
      <c r="I9">
        <f t="shared" ref="I9" si="2">100*((H8-I8)/H8)</f>
        <v>12.5</v>
      </c>
      <c r="J9">
        <f t="shared" ref="J9" si="3">100*((I8-J8)/I8)</f>
        <v>14.285714285714285</v>
      </c>
      <c r="K9">
        <f t="shared" ref="K9" si="4">100*((J8-K8)/J8)</f>
        <v>16.666666666666664</v>
      </c>
    </row>
    <row r="11" spans="1:11" x14ac:dyDescent="0.25">
      <c r="B11">
        <v>1</v>
      </c>
      <c r="C11">
        <v>2</v>
      </c>
      <c r="D11">
        <v>3</v>
      </c>
      <c r="E11">
        <v>4</v>
      </c>
    </row>
    <row r="12" spans="1:11" x14ac:dyDescent="0.25">
      <c r="B12">
        <v>18</v>
      </c>
      <c r="C12">
        <v>11</v>
      </c>
      <c r="D12">
        <v>4</v>
      </c>
      <c r="E12">
        <v>0</v>
      </c>
    </row>
    <row r="13" spans="1:11" x14ac:dyDescent="0.25">
      <c r="C13">
        <f>100*((B12-C12)/B12)</f>
        <v>38.888888888888893</v>
      </c>
      <c r="D13">
        <f t="shared" ref="D13:E13" si="5">100*((C12-D12)/C12)</f>
        <v>63.636363636363633</v>
      </c>
      <c r="E13">
        <f t="shared" si="5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Analysis</vt:lpstr>
      <vt:lpstr>Pivot</vt:lpstr>
      <vt:lpstr>Data</vt:lpstr>
      <vt:lpstr>Summary</vt:lpstr>
      <vt:lpstr>Rules</vt:lpstr>
      <vt:lpstr>Exclusion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Roddy Ezell</dc:creator>
  <cp:lastModifiedBy>Roddy Ezell</cp:lastModifiedBy>
  <cp:lastPrinted>2016-08-09T17:11:52Z</cp:lastPrinted>
  <dcterms:created xsi:type="dcterms:W3CDTF">2016-07-14T12:00:34Z</dcterms:created>
  <dcterms:modified xsi:type="dcterms:W3CDTF">2018-11-06T14:54:31Z</dcterms:modified>
</cp:coreProperties>
</file>